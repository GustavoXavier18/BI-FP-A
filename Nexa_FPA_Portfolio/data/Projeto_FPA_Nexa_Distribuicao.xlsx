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LEIA_ME" sheetId="1" r:id="rId1"/>
    <sheet name="09_VENDAS" sheetId="2" r:id="rId2"/>
    <sheet name="10_DESPESAS" sheetId="3" r:id="rId3"/>
    <sheet name="08_PREMISSAS" sheetId="4" r:id="rId4"/>
    <sheet name="11_SALDO_INICIAL" sheetId="5" r:id="rId5"/>
    <sheet name="12_MODELO" sheetId="6" r:id="rId6"/>
    <sheet name="13_DIARIO" sheetId="7" r:id="rId7"/>
    <sheet name="14_PLANO_CONTAS" sheetId="8" r:id="rId8"/>
    <sheet name="15_CONCILIACAO" sheetId="9" r:id="rId9"/>
    <sheet name="01_PAINEL" sheetId="10" r:id="rId10"/>
    <sheet name="02_DRE" sheetId="11" r:id="rId11"/>
    <sheet name="03_BALANCO" sheetId="12" r:id="rId12"/>
    <sheet name="04_DFC" sheetId="13" r:id="rId13"/>
    <sheet name="05_INDICADORES" sheetId="14" r:id="rId14"/>
    <sheet name="06_VARIACOES" sheetId="15" r:id="rId15"/>
    <sheet name="16_PONTE_PRECO_VOLUME" sheetId="16" r:id="rId16"/>
    <sheet name="07_CHECKS" sheetId="17" r:id="rId17"/>
  </sheets>
  <definedNames>
    <definedName name="_xlnm._FilterDatabase" localSheetId="3" hidden="1">'08_PREMISSAS'!$A$1:$Y$97</definedName>
    <definedName name="_xlnm._FilterDatabase" localSheetId="1" hidden="1">'09_VENDAS'!$A$1:$J$433</definedName>
    <definedName name="_xlnm._FilterDatabase" localSheetId="2" hidden="1">'10_DESPESAS'!$A$1:$D$123</definedName>
    <definedName name="_xlnm._FilterDatabase" localSheetId="4" hidden="1">'11_SALDO_INICIAL'!$A$1:$B$13</definedName>
    <definedName name="_xlnm._FilterDatabase" localSheetId="5" hidden="1">'12_MODELO'!$A$1:$BU$97</definedName>
    <definedName name="_xlnm._FilterDatabase" localSheetId="6" hidden="1">'13_DIARIO'!$A$1:$J$1443</definedName>
    <definedName name="_xlnm._FilterDatabase" localSheetId="7" hidden="1">'14_PLANO_CONTAS'!$A$1:$E$24</definedName>
    <definedName name="_xlnm._FilterDatabase" localSheetId="8" hidden="1">'15_CONCILIACAO'!$A$1:$F$289</definedName>
    <definedName name="_xlnm._FilterDatabase" localSheetId="15" hidden="1">'16_PONTE_PRECO_VOLUME'!$A$1:$J$217</definedName>
    <definedName name="_xlnm.Print_Area" localSheetId="9">'01_PAINEL'!$B$2:$P$49</definedName>
    <definedName name="_xlnm.Print_Area" localSheetId="10">'02_DRE'!$B$2:$O$28</definedName>
    <definedName name="_xlnm.Print_Area" localSheetId="11">'03_BALANCO'!$B$2:$O$30</definedName>
    <definedName name="_xlnm.Print_Area" localSheetId="12">'04_DFC'!$B$2:$O$26</definedName>
    <definedName name="_xlnm.Print_Area" localSheetId="13">'05_INDICADORES'!$B$2:$O$27</definedName>
  </definedNames>
  <calcPr calcId="124519" fullCalcOnLoad="1"/>
</workbook>
</file>

<file path=xl/sharedStrings.xml><?xml version="1.0" encoding="utf-8"?>
<sst xmlns="http://schemas.openxmlformats.org/spreadsheetml/2006/main" count="12585" uniqueCount="992">
  <si>
    <t>NEXA | FP&amp;A INTEGRADO</t>
  </si>
  <si>
    <t>Projeto</t>
  </si>
  <si>
    <t>Projeto autoral demonstrativo de Gustavo Xavier. Empresa, operações e resultados integralmente fictícios.</t>
  </si>
  <si>
    <t>Negócio</t>
  </si>
  <si>
    <t>Distribuidora B2B de equipamentos tecnológicos: três famílias de produtos, três regiões e dois canais de venda.</t>
  </si>
  <si>
    <t>Período</t>
  </si>
  <si>
    <t>24 meses realizados: jan/2024 a dez/2025. Orçamento dos dois anos. Forecast 2025 com corte em jun/2025 e três cenários para 2026.</t>
  </si>
  <si>
    <t>Comece aqui</t>
  </si>
  <si>
    <t>Abra 01_PAINEL. Selecione cenário e ano. DRE, BP, DFC e indicadores mensais acompanham essa seleção.</t>
  </si>
  <si>
    <t>Planejamento</t>
  </si>
  <si>
    <t>Premissas em azul na aba 08_PREMISSAS. Forecast 6+6 usa jan–jun realizados e premissas de jul–dez. Os cenários 2026 partem do BP de dez/2025 realizado.</t>
  </si>
  <si>
    <t>Integração</t>
  </si>
  <si>
    <t>Receita e CMV → resultado. Clientes, estoque e fornecedores → capital de giro. Capex e depreciação → imobilizado. Lucro → PL. Fluxos → caixa.</t>
  </si>
  <si>
    <t>Auditoria</t>
  </si>
  <si>
    <t>07_CHECKS compara ativo/passivo/PL, DFC direto/indireto e os valores realizados com o diário de partidas dobradas. Tolerância: R$ 0,01.</t>
  </si>
  <si>
    <t>Base histórica</t>
  </si>
  <si>
    <t>Vendas, despesas e diário são snapshots fictícios. Alterações no histórico exigem regenerar as bases e o diário com o script; mudanças de planejamento recalculam por fórmulas.</t>
  </si>
  <si>
    <t>Convenções</t>
  </si>
  <si>
    <t>DRE: despesas positivas subtraídas nos subtotais. DFC: entradas positivas e saídas negativas. MoM/YoY sem base disponível ficam vazios, nunca zero.</t>
  </si>
  <si>
    <t>Simplificações</t>
  </si>
  <si>
    <t>Tributos são premissas pedagógicas; sem créditos tributários, diferidos ou enquadramento fiscal. Juros pagos classificados em operação. Dividendos em financiamento. Receita reconhecida na entrega.</t>
  </si>
  <si>
    <t>Saldos</t>
  </si>
  <si>
    <t>Saldo inicial em 31/12/2023 explícito. BP e DFC de orçamento seguem trilha própria; a diferença de dezembro/2024 orçado x realizado é preservada.</t>
  </si>
  <si>
    <t>Tecnologias</t>
  </si>
  <si>
    <t>Excel 2021+ sem VBA e sem funções exclusivas do Microsoft 365. CSV UTF-8 e medidas DAX para desenvolver o relatório em Power BI.</t>
  </si>
  <si>
    <t>Uso comercial</t>
  </si>
  <si>
    <t>Apresentar como Projeto Autoral. Não atribuir os resultados simulados a clientes ou à experiência profissional anterior.</t>
  </si>
  <si>
    <t>Data</t>
  </si>
  <si>
    <t>ProdutoID</t>
  </si>
  <si>
    <t>Produto</t>
  </si>
  <si>
    <t>Regiao</t>
  </si>
  <si>
    <t>Canal</t>
  </si>
  <si>
    <t>Quantidade</t>
  </si>
  <si>
    <t>PrecoUnitario</t>
  </si>
  <si>
    <t>CustoUnitario</t>
  </si>
  <si>
    <t>ReceitaBruta</t>
  </si>
  <si>
    <t>CMV</t>
  </si>
  <si>
    <t>P01</t>
  </si>
  <si>
    <t>Estações de trabalho</t>
  </si>
  <si>
    <t>Sudeste</t>
  </si>
  <si>
    <t>Venda direta</t>
  </si>
  <si>
    <t>Parceiros</t>
  </si>
  <si>
    <t>Sul</t>
  </si>
  <si>
    <t>Nordeste</t>
  </si>
  <si>
    <t>P02</t>
  </si>
  <si>
    <t>Equipamentos de rede</t>
  </si>
  <si>
    <t>P03</t>
  </si>
  <si>
    <t>Periféricos profissionais</t>
  </si>
  <si>
    <t>CentroCusto</t>
  </si>
  <si>
    <t>Conta</t>
  </si>
  <si>
    <t>Valor</t>
  </si>
  <si>
    <t>Pessoal</t>
  </si>
  <si>
    <t>Comercial</t>
  </si>
  <si>
    <t>Comissões</t>
  </si>
  <si>
    <t>Administrativo</t>
  </si>
  <si>
    <t>Aluguel e serviços</t>
  </si>
  <si>
    <t>Tecnologia</t>
  </si>
  <si>
    <t>Software e infraestrutura</t>
  </si>
  <si>
    <t>Operações</t>
  </si>
  <si>
    <t>Logística</t>
  </si>
  <si>
    <t>Implantação ERP</t>
  </si>
  <si>
    <t>Cenario</t>
  </si>
  <si>
    <t>TicketMedio</t>
  </si>
  <si>
    <t>CMVPercentual</t>
  </si>
  <si>
    <t>TaxaComercial</t>
  </si>
  <si>
    <t>TaxaLogistica</t>
  </si>
  <si>
    <t>Logistica</t>
  </si>
  <si>
    <t>DSO</t>
  </si>
  <si>
    <t>DIO</t>
  </si>
  <si>
    <t>DPO</t>
  </si>
  <si>
    <t>TaxaVenda</t>
  </si>
  <si>
    <t>TaxaIR</t>
  </si>
  <si>
    <t>TaxaJuros</t>
  </si>
  <si>
    <t>TaxaDep</t>
  </si>
  <si>
    <t>Capex</t>
  </si>
  <si>
    <t>Captacao</t>
  </si>
  <si>
    <t>Amortizacao</t>
  </si>
  <si>
    <t>Dividendos</t>
  </si>
  <si>
    <t>Realizado</t>
  </si>
  <si>
    <t>Orçamento</t>
  </si>
  <si>
    <t>Forecast 6+6</t>
  </si>
  <si>
    <t>Base 2026</t>
  </si>
  <si>
    <t>Otimista 2026</t>
  </si>
  <si>
    <t>Adverso 2026</t>
  </si>
  <si>
    <t>Saldo</t>
  </si>
  <si>
    <t>CaixaFinal</t>
  </si>
  <si>
    <t>Clientes</t>
  </si>
  <si>
    <t>Estoque</t>
  </si>
  <si>
    <t>Fornecedores</t>
  </si>
  <si>
    <t>SalariosPagar</t>
  </si>
  <si>
    <t>TributosVendaPagar</t>
  </si>
  <si>
    <t>IRPagar</t>
  </si>
  <si>
    <t>ImobilizadoBruto</t>
  </si>
  <si>
    <t>DepAcumulada</t>
  </si>
  <si>
    <t>Divida</t>
  </si>
  <si>
    <t>Capital</t>
  </si>
  <si>
    <t>LucrosAcumulados</t>
  </si>
  <si>
    <t>Deducoes</t>
  </si>
  <si>
    <t>ReceitaLiquida</t>
  </si>
  <si>
    <t>LucroBruto</t>
  </si>
  <si>
    <t>Opex</t>
  </si>
  <si>
    <t>EBITDA</t>
  </si>
  <si>
    <t>Depreciacao</t>
  </si>
  <si>
    <t>EBIT</t>
  </si>
  <si>
    <t>Juros</t>
  </si>
  <si>
    <t>LAIR</t>
  </si>
  <si>
    <t>IRSimulado</t>
  </si>
  <si>
    <t>LucroLiquido</t>
  </si>
  <si>
    <t>Compras</t>
  </si>
  <si>
    <t>Recebimentos</t>
  </si>
  <si>
    <t>PagFornecedores</t>
  </si>
  <si>
    <t>PagOpex</t>
  </si>
  <si>
    <t>PagTributosVenda</t>
  </si>
  <si>
    <t>PagIR</t>
  </si>
  <si>
    <t>FCO_Direto</t>
  </si>
  <si>
    <t>FCO_Indireto</t>
  </si>
  <si>
    <t>FCI</t>
  </si>
  <si>
    <t>FCF</t>
  </si>
  <si>
    <t>VariacaoCaixa</t>
  </si>
  <si>
    <t>CaixaInicial</t>
  </si>
  <si>
    <t>Ativo</t>
  </si>
  <si>
    <t>Passivo</t>
  </si>
  <si>
    <t>PL</t>
  </si>
  <si>
    <t>CheckBP</t>
  </si>
  <si>
    <t>CheckDFC</t>
  </si>
  <si>
    <t>MargemEBITDA</t>
  </si>
  <si>
    <t>MargemLiquida</t>
  </si>
  <si>
    <t>FC_Livre</t>
  </si>
  <si>
    <t>NCG</t>
  </si>
  <si>
    <t>DividaLiquida</t>
  </si>
  <si>
    <t>CheckDiario</t>
  </si>
  <si>
    <t>AtivoCirculante</t>
  </si>
  <si>
    <t>AtivoNaoCirculante</t>
  </si>
  <si>
    <t>DividaCP</t>
  </si>
  <si>
    <t>DividaLP</t>
  </si>
  <si>
    <t>PassivoCirculante</t>
  </si>
  <si>
    <t>PassivoNaoCirculante</t>
  </si>
  <si>
    <t>LiquidezCorrente</t>
  </si>
  <si>
    <t>Lancamento</t>
  </si>
  <si>
    <t>ContaID</t>
  </si>
  <si>
    <t>Grupo</t>
  </si>
  <si>
    <t>Historico</t>
  </si>
  <si>
    <t>Debito</t>
  </si>
  <si>
    <t>Credito</t>
  </si>
  <si>
    <t>Movimento</t>
  </si>
  <si>
    <t>L00001</t>
  </si>
  <si>
    <t>1102</t>
  </si>
  <si>
    <t>Vendas por competência</t>
  </si>
  <si>
    <t>4101</t>
  </si>
  <si>
    <t>Receita bruta</t>
  </si>
  <si>
    <t>Resultado</t>
  </si>
  <si>
    <t>L00002</t>
  </si>
  <si>
    <t>5101</t>
  </si>
  <si>
    <t>Deduções</t>
  </si>
  <si>
    <t>Corporativo</t>
  </si>
  <si>
    <t>Deduções sobre vendas simuladas</t>
  </si>
  <si>
    <t>2103</t>
  </si>
  <si>
    <t>Tributos sobre venda</t>
  </si>
  <si>
    <t>L00003</t>
  </si>
  <si>
    <t>1103</t>
  </si>
  <si>
    <t>Estoques</t>
  </si>
  <si>
    <t>Compras de mercadorias</t>
  </si>
  <si>
    <t>2101</t>
  </si>
  <si>
    <t>L00004</t>
  </si>
  <si>
    <t>5102</t>
  </si>
  <si>
    <t>Baixa de mercadorias vendidas</t>
  </si>
  <si>
    <t>L00005</t>
  </si>
  <si>
    <t>5201</t>
  </si>
  <si>
    <t>Folha por competência</t>
  </si>
  <si>
    <t>2102</t>
  </si>
  <si>
    <t>Salários a pagar</t>
  </si>
  <si>
    <t>L00006</t>
  </si>
  <si>
    <t>Pagamento de pessoal</t>
  </si>
  <si>
    <t>1101</t>
  </si>
  <si>
    <t>Caixa</t>
  </si>
  <si>
    <t>L00007</t>
  </si>
  <si>
    <t>5202</t>
  </si>
  <si>
    <t>Despesa paga no mês</t>
  </si>
  <si>
    <t>L00008</t>
  </si>
  <si>
    <t>5203</t>
  </si>
  <si>
    <t>L00009</t>
  </si>
  <si>
    <t>5204</t>
  </si>
  <si>
    <t>L00010</t>
  </si>
  <si>
    <t>5205</t>
  </si>
  <si>
    <t>L00011</t>
  </si>
  <si>
    <t>5301</t>
  </si>
  <si>
    <t>Depreciação</t>
  </si>
  <si>
    <t>Depreciação mensal</t>
  </si>
  <si>
    <t>1202</t>
  </si>
  <si>
    <t>Depreciação acumulada</t>
  </si>
  <si>
    <t>L00012</t>
  </si>
  <si>
    <t>5401</t>
  </si>
  <si>
    <t>Juros pagos</t>
  </si>
  <si>
    <t>L00013</t>
  </si>
  <si>
    <t>5501</t>
  </si>
  <si>
    <t>IR simulado</t>
  </si>
  <si>
    <t>Tributo sobre lucro simulado</t>
  </si>
  <si>
    <t>2104</t>
  </si>
  <si>
    <t>IR simulado a pagar</t>
  </si>
  <si>
    <t>L00014</t>
  </si>
  <si>
    <t>Recebimento de clientes</t>
  </si>
  <si>
    <t>L00015</t>
  </si>
  <si>
    <t>Liquidação fornecedores</t>
  </si>
  <si>
    <t>L00016</t>
  </si>
  <si>
    <t>Pagamento tributos venda</t>
  </si>
  <si>
    <t>L00017</t>
  </si>
  <si>
    <t>Pagamento tributo lucro</t>
  </si>
  <si>
    <t>L00018</t>
  </si>
  <si>
    <t>1201</t>
  </si>
  <si>
    <t>Imobilizado bruto</t>
  </si>
  <si>
    <t>Investimento em imobilizado</t>
  </si>
  <si>
    <t>L00019</t>
  </si>
  <si>
    <t>2201</t>
  </si>
  <si>
    <t>Empréstimos</t>
  </si>
  <si>
    <t>Amortização principal</t>
  </si>
  <si>
    <t>L00020</t>
  </si>
  <si>
    <t>Encerramento de resultado</t>
  </si>
  <si>
    <t>3102</t>
  </si>
  <si>
    <t>Lucros acumulados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</si>
  <si>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</si>
  <si>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</si>
  <si>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</si>
  <si>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</si>
  <si>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</si>
  <si>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</si>
  <si>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</si>
  <si>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</si>
  <si>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</si>
  <si>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</si>
  <si>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</si>
  <si>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</si>
  <si>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</si>
  <si>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</si>
  <si>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</si>
  <si>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</si>
  <si>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</si>
  <si>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</si>
  <si>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</si>
  <si>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</si>
  <si>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</si>
  <si>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</si>
  <si>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</si>
  <si>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</si>
  <si>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</si>
  <si>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</si>
  <si>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</si>
  <si>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</si>
  <si>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</si>
  <si>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</si>
  <si>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</si>
  <si>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</si>
  <si>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</si>
  <si>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</si>
  <si>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</si>
  <si>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</si>
  <si>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</si>
  <si>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</si>
  <si>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</si>
  <si>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</si>
  <si>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</si>
  <si>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</si>
  <si>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</si>
  <si>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</si>
  <si>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</si>
  <si>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</si>
  <si>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</si>
  <si>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</si>
  <si>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</si>
  <si>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</si>
  <si>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</si>
  <si>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</si>
  <si>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</si>
  <si>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</si>
  <si>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</si>
  <si>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</si>
  <si>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</si>
  <si>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</si>
  <si>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</si>
  <si>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</si>
  <si>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</si>
  <si>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</si>
  <si>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</si>
  <si>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</si>
  <si>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</si>
  <si>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</si>
  <si>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</si>
  <si>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</si>
  <si>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</si>
  <si>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</si>
  <si>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</si>
  <si>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</si>
  <si>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</si>
  <si>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</si>
  <si>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</si>
  <si>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</si>
  <si>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</si>
  <si>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</si>
  <si>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</si>
  <si>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</si>
  <si>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</si>
  <si>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</si>
  <si>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</si>
  <si>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</si>
  <si>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</si>
  <si>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</si>
  <si>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</si>
  <si>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</si>
  <si>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</si>
  <si>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</si>
  <si>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</si>
  <si>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</si>
  <si>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</si>
  <si>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</si>
  <si>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</si>
  <si>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</si>
  <si>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</si>
  <si>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</si>
  <si>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</si>
  <si>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</si>
  <si>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</si>
  <si>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</si>
  <si>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</si>
  <si>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</si>
  <si>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</si>
  <si>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</si>
  <si>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</si>
  <si>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</si>
  <si>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</si>
  <si>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</si>
  <si>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</si>
  <si>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</si>
  <si>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</si>
  <si>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</si>
  <si>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</si>
  <si>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</si>
  <si>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</si>
  <si>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</si>
  <si>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</si>
  <si>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</si>
  <si>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</si>
  <si>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</si>
  <si>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</si>
  <si>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</si>
  <si>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</si>
  <si>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</si>
  <si>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</si>
  <si>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</si>
  <si>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</si>
  <si>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</si>
  <si>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</si>
  <si>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</si>
  <si>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</si>
  <si>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</si>
  <si>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</si>
  <si>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</si>
  <si>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</si>
  <si>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</si>
  <si>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</si>
  <si>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</si>
  <si>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</si>
  <si>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</si>
  <si>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</si>
  <si>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</si>
  <si>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</si>
  <si>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</si>
  <si>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</si>
  <si>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</si>
  <si>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</si>
  <si>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</si>
  <si>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</si>
  <si>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</si>
  <si>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</si>
  <si>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</si>
  <si>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</si>
  <si>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</si>
  <si>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</si>
  <si>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</si>
  <si>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</si>
  <si>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</si>
  <si>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</si>
  <si>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</si>
  <si>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</si>
  <si>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</si>
  <si>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</si>
  <si>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</si>
  <si>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</si>
  <si>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</si>
  <si>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</si>
  <si>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</si>
  <si>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</si>
  <si>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</si>
  <si>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</si>
  <si>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</si>
  <si>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</si>
  <si>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</si>
  <si>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</si>
  <si>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</si>
  <si>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</si>
  <si>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</si>
  <si>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</si>
  <si>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</si>
  <si>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</si>
  <si>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</si>
  <si>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</si>
  <si>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</si>
  <si>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</si>
  <si>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</si>
  <si>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</si>
  <si>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</si>
  <si>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</si>
  <si>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</si>
  <si>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</si>
  <si>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</si>
  <si>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</si>
  <si>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</si>
  <si>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</si>
  <si>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</si>
  <si>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</si>
  <si>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</si>
  <si>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</si>
  <si>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</si>
  <si>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</si>
  <si>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</si>
  <si>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</si>
  <si>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</si>
  <si>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</si>
  <si>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</si>
  <si>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</si>
  <si>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</si>
  <si>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</si>
  <si>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</si>
  <si>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</si>
  <si>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</si>
  <si>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</si>
  <si>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</si>
  <si>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</si>
  <si>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</si>
  <si>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</si>
  <si>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</si>
  <si>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</si>
  <si>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</si>
  <si>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</si>
  <si>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</si>
  <si>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</si>
  <si>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</si>
  <si>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</si>
  <si>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</si>
  <si>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</si>
  <si>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</si>
  <si>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</si>
  <si>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</si>
  <si>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</si>
  <si>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</si>
  <si>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</si>
  <si>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</si>
  <si>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</si>
  <si>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</si>
  <si>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</si>
  <si>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</si>
  <si>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</si>
  <si>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</si>
  <si>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</si>
  <si>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</si>
  <si>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</si>
  <si>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</si>
  <si>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</si>
  <si>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</si>
  <si>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</si>
  <si>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</si>
  <si>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</si>
  <si>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</si>
  <si>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</si>
  <si>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</si>
  <si>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</si>
  <si>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</si>
  <si>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</si>
  <si>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</si>
  <si>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</si>
  <si>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</si>
  <si>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</si>
  <si>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</si>
  <si>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</si>
  <si>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</si>
  <si>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</si>
  <si>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</si>
  <si>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</si>
  <si>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</si>
  <si>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</si>
  <si>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</si>
  <si>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</si>
  <si>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</si>
  <si>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</si>
  <si>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</si>
  <si>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</si>
  <si>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</si>
  <si>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</si>
  <si>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</si>
  <si>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</si>
  <si>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</si>
  <si>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</si>
  <si>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</si>
  <si>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</si>
  <si>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</si>
  <si>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</si>
  <si>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</si>
  <si>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</si>
  <si>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</si>
  <si>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</si>
  <si>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</si>
  <si>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</si>
  <si>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</si>
  <si>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</si>
  <si>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</si>
  <si>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</si>
  <si>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</si>
  <si>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</si>
  <si>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</si>
  <si>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</si>
  <si>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</si>
  <si>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</si>
  <si>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</si>
  <si>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</si>
  <si>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</si>
  <si>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</si>
  <si>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</si>
  <si>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</si>
  <si>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</si>
  <si>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</si>
  <si>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</si>
  <si>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</si>
  <si>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</si>
  <si>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</si>
  <si>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</si>
  <si>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</si>
  <si>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</si>
  <si>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</si>
  <si>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</si>
  <si>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</si>
  <si>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</si>
  <si>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</si>
  <si>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</si>
  <si>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</si>
  <si>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</si>
  <si>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</si>
  <si>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</si>
  <si>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</si>
  <si>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</si>
  <si>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</si>
  <si>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</si>
  <si>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</si>
  <si>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</si>
  <si>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</si>
  <si>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</si>
  <si>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</si>
  <si>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</si>
  <si>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</si>
  <si>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</si>
  <si>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</si>
  <si>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</si>
  <si>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</si>
  <si>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</si>
  <si>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</si>
  <si>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</si>
  <si>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</si>
  <si>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</si>
  <si>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</si>
  <si>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</si>
  <si>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</si>
  <si>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</si>
  <si>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</si>
  <si>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</si>
  <si>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</si>
  <si>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</si>
  <si>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</si>
  <si>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</si>
  <si>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</si>
  <si>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</si>
  <si>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</si>
  <si>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</si>
  <si>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</si>
  <si>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</si>
  <si>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</si>
  <si>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</si>
  <si>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</si>
  <si>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</si>
  <si>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</si>
  <si>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</si>
  <si>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</si>
  <si>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</si>
  <si>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</si>
  <si>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</si>
  <si>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</si>
  <si>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</si>
  <si>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</si>
  <si>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</si>
  <si>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</si>
  <si>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</si>
  <si>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</si>
  <si>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</si>
  <si>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</si>
  <si>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</si>
  <si>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</si>
  <si>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</si>
  <si>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</si>
  <si>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</si>
  <si>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</si>
  <si>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</si>
  <si>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</si>
  <si>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</si>
  <si>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</si>
  <si>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</si>
  <si>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</si>
  <si>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</si>
  <si>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</si>
  <si>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</si>
  <si>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</si>
  <si>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</si>
  <si>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</si>
  <si>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</si>
  <si>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</si>
  <si>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</si>
  <si>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</si>
  <si>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</si>
  <si>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</si>
  <si>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</si>
  <si>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</si>
  <si>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</si>
  <si>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</si>
  <si>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</si>
  <si>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</si>
  <si>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</si>
  <si>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</si>
  <si>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</si>
  <si>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</si>
  <si>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</si>
  <si>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</si>
  <si>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</si>
  <si>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</si>
  <si>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</si>
  <si>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</si>
  <si>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</si>
  <si>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</si>
  <si>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</si>
  <si>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</si>
  <si>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</si>
  <si>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</si>
  <si>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</si>
  <si>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</si>
  <si>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</si>
  <si>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</si>
  <si>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</si>
  <si>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</si>
  <si>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</si>
  <si>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</si>
  <si>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</si>
  <si>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</si>
  <si>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</si>
  <si>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</si>
  <si>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</si>
  <si>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</si>
  <si>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</si>
  <si>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</si>
  <si>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</si>
  <si>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</si>
  <si>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</si>
  <si>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</si>
  <si>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</si>
  <si>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</si>
  <si>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Captação de empréstimo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</si>
  <si>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</si>
  <si>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</si>
  <si>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</si>
  <si>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</si>
  <si>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</si>
  <si>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</si>
  <si>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</si>
  <si>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</si>
  <si>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</si>
  <si>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</si>
  <si>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</si>
  <si>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</si>
  <si>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</si>
  <si>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</si>
  <si>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</si>
  <si>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</si>
  <si>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</si>
  <si>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</si>
  <si>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</si>
  <si>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</si>
  <si>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</si>
  <si>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</si>
  <si>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</si>
  <si>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</si>
  <si>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</si>
  <si>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</si>
  <si>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</si>
  <si>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</si>
  <si>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</si>
  <si>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</si>
  <si>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</si>
  <si>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</si>
  <si>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</si>
  <si>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</si>
  <si>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</si>
  <si>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</si>
  <si>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</si>
  <si>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</si>
  <si>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</si>
  <si>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</si>
  <si>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</si>
  <si>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</si>
  <si>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</si>
  <si>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</si>
  <si>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</si>
  <si>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</si>
  <si>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</si>
  <si>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</si>
  <si>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</si>
  <si>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</si>
  <si>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</si>
  <si>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</si>
  <si>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</si>
  <si>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</si>
  <si>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</si>
  <si>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</si>
  <si>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</si>
  <si>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</si>
  <si>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</si>
  <si>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</si>
  <si>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</si>
  <si>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</si>
  <si>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</si>
  <si>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</si>
  <si>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</si>
  <si>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</si>
  <si>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</si>
  <si>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</si>
  <si>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</si>
  <si>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</si>
  <si>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</si>
  <si>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</si>
  <si>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</si>
  <si>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</si>
  <si>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</si>
  <si>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</si>
  <si>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</si>
  <si>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</si>
  <si>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</si>
  <si>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</si>
  <si>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</si>
  <si>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</si>
  <si>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</si>
  <si>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</si>
  <si>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</si>
  <si>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</si>
  <si>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</si>
  <si>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</si>
  <si>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</si>
  <si>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</si>
  <si>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</si>
  <si>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</si>
  <si>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</si>
  <si>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</si>
  <si>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</si>
  <si>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</si>
  <si>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</si>
  <si>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</si>
  <si>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</si>
  <si>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</si>
  <si>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</si>
  <si>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</si>
  <si>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</si>
  <si>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</si>
  <si>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</si>
  <si>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</si>
  <si>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</si>
  <si>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</si>
  <si>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</si>
  <si>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</si>
  <si>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</si>
  <si>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</si>
  <si>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</si>
  <si>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</si>
  <si>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</si>
  <si>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</si>
  <si>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</si>
  <si>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</si>
  <si>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</si>
  <si>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</si>
  <si>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</si>
  <si>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</si>
  <si>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</si>
  <si>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</si>
  <si>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</si>
  <si>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</si>
  <si>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</si>
  <si>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</si>
  <si>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</si>
  <si>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</si>
  <si>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</si>
  <si>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</si>
  <si>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</si>
  <si>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</si>
  <si>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</si>
  <si>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</si>
  <si>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</si>
  <si>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</si>
  <si>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</si>
  <si>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</si>
  <si>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</si>
  <si>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</si>
  <si>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</si>
  <si>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</si>
  <si>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</si>
  <si>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</si>
  <si>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</si>
  <si>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</si>
  <si>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</si>
  <si>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</si>
  <si>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</si>
  <si>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</si>
  <si>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</si>
  <si>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</si>
  <si>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</si>
  <si>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</si>
  <si>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</si>
  <si>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</si>
  <si>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</si>
  <si>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</si>
  <si>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</si>
  <si>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</si>
  <si>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</si>
  <si>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</si>
  <si>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</si>
  <si>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</si>
  <si>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</si>
  <si>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</si>
  <si>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</si>
  <si>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</si>
  <si>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</si>
  <si>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</si>
  <si>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</si>
  <si>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</si>
  <si>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</si>
  <si>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</si>
  <si>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</si>
  <si>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</si>
  <si>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</si>
  <si>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</si>
  <si>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</si>
  <si>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</si>
  <si>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</si>
  <si>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</si>
  <si>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</si>
  <si>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</si>
  <si>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</si>
  <si>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</si>
  <si>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</si>
  <si>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</si>
  <si>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</si>
  <si>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</si>
  <si>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</si>
  <si>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</si>
  <si>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</si>
  <si>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</si>
  <si>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</si>
  <si>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</si>
  <si>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</si>
  <si>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</si>
  <si>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</si>
  <si>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</si>
  <si>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</si>
  <si>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</si>
  <si>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</si>
  <si>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</si>
  <si>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</si>
  <si>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</si>
  <si>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</si>
  <si>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</si>
  <si>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</si>
  <si>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</si>
  <si>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</si>
  <si>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</si>
  <si>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</si>
  <si>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</si>
  <si>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</si>
  <si>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</si>
  <si>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</si>
  <si>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</si>
  <si>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</si>
  <si>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</si>
  <si>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</si>
  <si>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</si>
  <si>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</si>
  <si>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</si>
  <si>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</si>
  <si>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</si>
  <si>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</si>
  <si>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</si>
  <si>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</si>
  <si>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</si>
  <si>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</si>
  <si>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</si>
  <si>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</si>
  <si>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</si>
  <si>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</si>
  <si>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</si>
  <si>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</si>
  <si>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</si>
  <si>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</si>
  <si>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</si>
  <si>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</si>
  <si>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</si>
  <si>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</si>
  <si>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</si>
  <si>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</si>
  <si>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</si>
  <si>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</si>
  <si>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</si>
  <si>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</si>
  <si>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</si>
  <si>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Natureza</t>
  </si>
  <si>
    <t>CampoModelo</t>
  </si>
  <si>
    <t>Devedora</t>
  </si>
  <si>
    <t>Credora</t>
  </si>
  <si>
    <t>3101</t>
  </si>
  <si>
    <t>Campo</t>
  </si>
  <si>
    <t>SaldoDiario</t>
  </si>
  <si>
    <t>SaldoModelo</t>
  </si>
  <si>
    <t>Diferenca</t>
  </si>
  <si>
    <t>NEXA | RESULTADO, CAPITAL E CAIXA</t>
  </si>
  <si>
    <t>Gustavo Xavier • Projeto autoral • Dados fictícios</t>
  </si>
  <si>
    <t>Cenário</t>
  </si>
  <si>
    <t>Ano</t>
  </si>
  <si>
    <t>Se o cenário não existir no ano, o painel solicita outra combinação.</t>
  </si>
  <si>
    <t>Receita líquida</t>
  </si>
  <si>
    <t>Margem EBITDA</t>
  </si>
  <si>
    <t>Caixa em dezembro</t>
  </si>
  <si>
    <t>Fluxo de caixa livre</t>
  </si>
  <si>
    <t>Capital de giro (NCG)</t>
  </si>
  <si>
    <t>DRE | NEXA</t>
  </si>
  <si>
    <t>Cenário e ano selecionados no painel • valores em R$ • base fictícia</t>
  </si>
  <si>
    <t>Ano / posição</t>
  </si>
  <si>
    <t>IR sobre lucro (simulado)</t>
  </si>
  <si>
    <t>BALANCO | NEXA</t>
  </si>
  <si>
    <t>Posição dez/ano</t>
  </si>
  <si>
    <t>DFC | NEXA</t>
  </si>
  <si>
    <t>(-) Aumento de clientes</t>
  </si>
  <si>
    <t>(-) Aumento de estoques</t>
  </si>
  <si>
    <t>(+) Aumento de fornecedores</t>
  </si>
  <si>
    <t>(+) Variação de salários a pagar</t>
  </si>
  <si>
    <t>(+) Variação tributos venda</t>
  </si>
  <si>
    <t>(+) Variação IR a pagar</t>
  </si>
  <si>
    <t>Investimentos (capex)</t>
  </si>
  <si>
    <t>Fluxo de financiamento</t>
  </si>
  <si>
    <t>INDICADORES | NEXA</t>
  </si>
  <si>
    <t>Ciclo de caixa (dias)</t>
  </si>
  <si>
    <t>Receita líquida YoY %</t>
  </si>
  <si>
    <t>Receita líquida MoM %</t>
  </si>
  <si>
    <t>EBITDA YoY %</t>
  </si>
  <si>
    <t>EBITDA MoM %</t>
  </si>
  <si>
    <t>REALIZADO × ORÇAMENTO</t>
  </si>
  <si>
    <t>Ano do painel; comparação exclusiva entre realizado e orçamento. Favorável depende da natureza da linha.</t>
  </si>
  <si>
    <t>Linha</t>
  </si>
  <si>
    <t>Desvio R$</t>
  </si>
  <si>
    <t>Desvio %</t>
  </si>
  <si>
    <t>Favorável?</t>
  </si>
  <si>
    <t>Leitura</t>
  </si>
  <si>
    <t>Maior valor é favorável</t>
  </si>
  <si>
    <t>Menor valor é favorável</t>
  </si>
  <si>
    <t>MoM e YoY ficam em 05_INDICADORES. Percentual usa base absoluta para preservar o sinal quando há prejuízo. Comparações sem base ficam vazias.</t>
  </si>
  <si>
    <t>FORECAST 6+6 | corte em junho/2025</t>
  </si>
  <si>
    <t>Orçamento 2025</t>
  </si>
  <si>
    <t>Revisão R$</t>
  </si>
  <si>
    <t>Realizado 2025</t>
  </si>
  <si>
    <t>Erro forecast R$</t>
  </si>
  <si>
    <t>Erro %</t>
  </si>
  <si>
    <t>Receita2024</t>
  </si>
  <si>
    <t>Receita2025</t>
  </si>
  <si>
    <t>EfeitoVolume</t>
  </si>
  <si>
    <t>EfeitoPreco</t>
  </si>
  <si>
    <t>Variacao</t>
  </si>
  <si>
    <t>Check</t>
  </si>
  <si>
    <t>BP R$</t>
  </si>
  <si>
    <t>DFC R$</t>
  </si>
  <si>
    <t>Diário R$</t>
  </si>
  <si>
    <t>Caixa final</t>
  </si>
  <si>
    <t>Status</t>
  </si>
  <si>
    <t>Alerta caixa</t>
  </si>
  <si>
    <t>COMO LER O MODELO</t>
  </si>
  <si>
    <t>Compare crescimento e margem. Depois verifique o dinheiro retido em clientes e estoques. O EBITDA sozinho não explica a liquidez.</t>
  </si>
  <si>
    <t>Cenários de 2026: alterar prazos, receita, custos, capex e dívida em 08_PREMISSAS. Revise os alertas de financiamento em 07_CHECKS.</t>
  </si>
</sst>
</file>

<file path=xl/styles.xml><?xml version="1.0" encoding="utf-8"?>
<styleSheet xmlns="http://schemas.openxmlformats.org/spreadsheetml/2006/main">
  <numFmts count="5">
    <numFmt numFmtId="164" formatCode="mmm/yy"/>
    <numFmt numFmtId="165" formatCode="#,##0.00;[Red](#,##0.00);–"/>
    <numFmt numFmtId="166" formatCode="#,##0.00"/>
    <numFmt numFmtId="167" formatCode="0.0%"/>
    <numFmt numFmtId="168" formatCode="0.0%;[Red](0.0%);–"/>
  </numFmts>
  <fonts count="7">
    <font>
      <sz val="11"/>
      <color theme="1"/>
      <name val="Calibri"/>
      <family val="2"/>
      <scheme val="minor"/>
    </font>
    <font>
      <b/>
      <sz val="22"/>
      <color rgb="FF102B46"/>
      <name val="Calibri"/>
      <family val="2"/>
      <scheme val="minor"/>
    </font>
    <font>
      <b/>
      <sz val="11"/>
      <color rgb="FF102B46"/>
      <name val="Calibri"/>
      <family val="2"/>
      <scheme val="minor"/>
    </font>
    <font>
      <sz val="11"/>
      <color rgb="FF54697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768AC"/>
      <name val="Calibri"/>
      <family val="2"/>
      <scheme val="minor"/>
    </font>
    <font>
      <sz val="11"/>
      <color rgb="FF102B4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102B46"/>
        <bgColor indexed="64"/>
      </patternFill>
    </fill>
    <fill>
      <patternFill patternType="solid">
        <fgColor rgb="FFF0F7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wrapText="1"/>
    </xf>
    <xf numFmtId="0" fontId="4" fillId="3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6" fontId="5" fillId="4" borderId="0" xfId="0" applyNumberFormat="1" applyFont="1" applyFill="1"/>
    <xf numFmtId="167" fontId="5" fillId="4" borderId="0" xfId="0" applyNumberFormat="1" applyFont="1" applyFill="1"/>
    <xf numFmtId="168" fontId="0" fillId="0" borderId="0" xfId="0" applyNumberFormat="1"/>
    <xf numFmtId="165" fontId="2" fillId="2" borderId="0" xfId="0" applyNumberFormat="1" applyFont="1" applyFill="1"/>
    <xf numFmtId="0" fontId="6" fillId="0" borderId="0" xfId="0" applyFont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102B46"/>
                </a:solidFill>
              </a:defRPr>
            </a:pPr>
            <a:r>
              <a:rPr lang="en-US" sz="1200" baseline="0">
                <a:solidFill>
                  <a:srgbClr val="102B46"/>
                </a:solidFill>
              </a:rPr>
              <a:t>Receita líquida por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Receita líquida por mês</c:v>
          </c:tx>
          <c:spPr>
            <a:solidFill>
              <a:srgbClr val="1768AC"/>
            </a:solidFill>
            <a:ln w="31750">
              <a:solidFill>
                <a:srgbClr val="1768AC"/>
              </a:solidFill>
            </a:ln>
          </c:spPr>
          <c:cat>
            <c:numRef>
              <c:f>'02_DRE'!$C$6:$N$6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'02_DRE'!$C$10:$N$10</c:f>
              <c:numCache>
                <c:formatCode>General</c:formatCode>
                <c:ptCount val="12"/>
                <c:pt idx="0">
                  <c:v>1053248.71335</c:v>
                </c:pt>
                <c:pt idx="1">
                  <c:v>1076709.5604</c:v>
                </c:pt>
                <c:pt idx="2">
                  <c:v>1271807.0682</c:v>
                </c:pt>
                <c:pt idx="3">
                  <c:v>1266631.9563</c:v>
                </c:pt>
                <c:pt idx="4">
                  <c:v>1326455.85495</c:v>
                </c:pt>
                <c:pt idx="5">
                  <c:v>1346112.28755</c:v>
                </c:pt>
                <c:pt idx="6">
                  <c:v>1104690.9192</c:v>
                </c:pt>
                <c:pt idx="7">
                  <c:v>1188260.0286</c:v>
                </c:pt>
                <c:pt idx="8">
                  <c:v>1267559.88525</c:v>
                </c:pt>
                <c:pt idx="9">
                  <c:v>1423729.83435</c:v>
                </c:pt>
                <c:pt idx="10">
                  <c:v>1669339.4688</c:v>
                </c:pt>
                <c:pt idx="11">
                  <c:v>1551038.5332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m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AF0F5"/>
              </a:solidFill>
            </a:ln>
          </c:spPr>
        </c:majorGridlines>
        <c:numFmt formatCode="0,,&quot; mi&quot;" sourceLinked="0"/>
        <c:tickLblPos val="nextTo"/>
        <c:crossAx val="5001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102B46"/>
                </a:solidFill>
              </a:defRPr>
            </a:pPr>
            <a:r>
              <a:rPr lang="en-US" sz="1200" baseline="0">
                <a:solidFill>
                  <a:srgbClr val="102B46"/>
                </a:solidFill>
              </a:rPr>
              <a:t>EBITDA por mês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EBITDA por mês</c:v>
          </c:tx>
          <c:spPr>
            <a:solidFill>
              <a:srgbClr val="00A899"/>
            </a:solidFill>
            <a:ln w="31750">
              <a:solidFill>
                <a:srgbClr val="00A899"/>
              </a:solidFill>
            </a:ln>
          </c:spPr>
          <c:marker>
            <c:symbol val="none"/>
          </c:marker>
          <c:cat>
            <c:numRef>
              <c:f>'02_DRE'!$C$6:$N$6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'02_DRE'!$C$19:$N$19</c:f>
              <c:numCache>
                <c:formatCode>General</c:formatCode>
                <c:ptCount val="12"/>
                <c:pt idx="0">
                  <c:v>39498.833350000146</c:v>
                </c:pt>
                <c:pt idx="1">
                  <c:v>42646.86040000006</c:v>
                </c:pt>
                <c:pt idx="2">
                  <c:v>78892.86820000006</c:v>
                </c:pt>
                <c:pt idx="3">
                  <c:v>48247.03629999992</c:v>
                </c:pt>
                <c:pt idx="4">
                  <c:v>62551.09495000006</c:v>
                </c:pt>
                <c:pt idx="5">
                  <c:v>93570.01755000005</c:v>
                </c:pt>
                <c:pt idx="6">
                  <c:v>50340.11919999984</c:v>
                </c:pt>
                <c:pt idx="7">
                  <c:v>65564.5286000001</c:v>
                </c:pt>
                <c:pt idx="8">
                  <c:v>81868.90525000001</c:v>
                </c:pt>
                <c:pt idx="9">
                  <c:v>104213.61434999981</c:v>
                </c:pt>
                <c:pt idx="10">
                  <c:v>150044.8987999999</c:v>
                </c:pt>
                <c:pt idx="11">
                  <c:v>126571.17320000002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mmm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AF0F5"/>
              </a:solidFill>
            </a:ln>
          </c:spPr>
        </c:majorGridlines>
        <c:numFmt formatCode="0,,&quot; mi&quot;" sourceLinked="0"/>
        <c:tickLblPos val="nextTo"/>
        <c:crossAx val="5002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Liquidez | saldo de caixa mensal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Caixa final</c:v>
          </c:tx>
          <c:spPr>
            <a:ln w="31750">
              <a:solidFill>
                <a:srgbClr val="102B46"/>
              </a:solidFill>
            </a:ln>
          </c:spPr>
          <c:marker>
            <c:symbol val="none"/>
          </c:marker>
          <c:cat>
            <c:numRef>
              <c:f>'03_BALANCO'!$C$6:$N$6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'03_BALANCO'!$C$8:$N$8</c:f>
              <c:numCache>
                <c:formatCode>General</c:formatCode>
                <c:ptCount val="12"/>
                <c:pt idx="0">
                  <c:v>1707637.290778667</c:v>
                </c:pt>
                <c:pt idx="1">
                  <c:v>1654600.6491230004</c:v>
                </c:pt>
                <c:pt idx="2">
                  <c:v>1214670.768320333</c:v>
                </c:pt>
                <c:pt idx="3">
                  <c:v>1562533.5379990004</c:v>
                </c:pt>
                <c:pt idx="4">
                  <c:v>1451222.024957</c:v>
                </c:pt>
                <c:pt idx="5">
                  <c:v>1375665.142290667</c:v>
                </c:pt>
                <c:pt idx="6">
                  <c:v>1060377.6342070003</c:v>
                </c:pt>
                <c:pt idx="7">
                  <c:v>842526.8548790005</c:v>
                </c:pt>
                <c:pt idx="8">
                  <c:v>577513.7557550005</c:v>
                </c:pt>
                <c:pt idx="9">
                  <c:v>1210533.9128866668</c:v>
                </c:pt>
                <c:pt idx="10">
                  <c:v>789243.6640243335</c:v>
                </c:pt>
                <c:pt idx="11">
                  <c:v>1000255.5938990002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mmm" sourceLinked="0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0,,&quot; mi&quot;" sourceLinked="0"/>
        <c:tickLblPos val="nextTo"/>
        <c:crossAx val="5003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5</xdr:col>
      <xdr:colOff>638175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15</xdr:col>
      <xdr:colOff>9525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5</xdr:col>
      <xdr:colOff>638175</xdr:colOff>
      <xdr:row>47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A899"/>
  </sheetPr>
  <dimension ref="B2:J18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30.7109375" customWidth="1"/>
    <col min="3" max="10" width="12.7109375" customWidth="1"/>
  </cols>
  <sheetData>
    <row r="2" spans="2:10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>
      <c r="B3" s="1"/>
      <c r="C3" s="1"/>
      <c r="D3" s="1"/>
      <c r="E3" s="1"/>
      <c r="F3" s="1"/>
      <c r="G3" s="1"/>
      <c r="H3" s="1"/>
      <c r="I3" s="1"/>
      <c r="J3" s="1"/>
    </row>
    <row r="6" spans="2:10" ht="48" customHeight="1">
      <c r="B6" s="2" t="s">
        <v>1</v>
      </c>
      <c r="C6" s="3" t="s">
        <v>2</v>
      </c>
      <c r="D6" s="3"/>
      <c r="E6" s="3"/>
      <c r="F6" s="3"/>
      <c r="G6" s="3"/>
      <c r="H6" s="3"/>
      <c r="I6" s="3"/>
      <c r="J6" s="3"/>
    </row>
    <row r="7" spans="2:10" ht="48" customHeight="1">
      <c r="B7" s="2" t="s">
        <v>3</v>
      </c>
      <c r="C7" s="3" t="s">
        <v>4</v>
      </c>
      <c r="D7" s="3"/>
      <c r="E7" s="3"/>
      <c r="F7" s="3"/>
      <c r="G7" s="3"/>
      <c r="H7" s="3"/>
      <c r="I7" s="3"/>
      <c r="J7" s="3"/>
    </row>
    <row r="8" spans="2:10" ht="48" customHeight="1">
      <c r="B8" s="2" t="s">
        <v>5</v>
      </c>
      <c r="C8" s="3" t="s">
        <v>6</v>
      </c>
      <c r="D8" s="3"/>
      <c r="E8" s="3"/>
      <c r="F8" s="3"/>
      <c r="G8" s="3"/>
      <c r="H8" s="3"/>
      <c r="I8" s="3"/>
      <c r="J8" s="3"/>
    </row>
    <row r="9" spans="2:10" ht="48" customHeight="1">
      <c r="B9" s="2" t="s">
        <v>7</v>
      </c>
      <c r="C9" s="3" t="s">
        <v>8</v>
      </c>
      <c r="D9" s="3"/>
      <c r="E9" s="3"/>
      <c r="F9" s="3"/>
      <c r="G9" s="3"/>
      <c r="H9" s="3"/>
      <c r="I9" s="3"/>
      <c r="J9" s="3"/>
    </row>
    <row r="10" spans="2:10" ht="48" customHeight="1">
      <c r="B10" s="2" t="s">
        <v>9</v>
      </c>
      <c r="C10" s="3" t="s">
        <v>10</v>
      </c>
      <c r="D10" s="3"/>
      <c r="E10" s="3"/>
      <c r="F10" s="3"/>
      <c r="G10" s="3"/>
      <c r="H10" s="3"/>
      <c r="I10" s="3"/>
      <c r="J10" s="3"/>
    </row>
    <row r="11" spans="2:10" ht="48" customHeight="1">
      <c r="B11" s="2" t="s">
        <v>11</v>
      </c>
      <c r="C11" s="3" t="s">
        <v>12</v>
      </c>
      <c r="D11" s="3"/>
      <c r="E11" s="3"/>
      <c r="F11" s="3"/>
      <c r="G11" s="3"/>
      <c r="H11" s="3"/>
      <c r="I11" s="3"/>
      <c r="J11" s="3"/>
    </row>
    <row r="12" spans="2:10" ht="48" customHeight="1">
      <c r="B12" s="2" t="s">
        <v>13</v>
      </c>
      <c r="C12" s="3" t="s">
        <v>14</v>
      </c>
      <c r="D12" s="3"/>
      <c r="E12" s="3"/>
      <c r="F12" s="3"/>
      <c r="G12" s="3"/>
      <c r="H12" s="3"/>
      <c r="I12" s="3"/>
      <c r="J12" s="3"/>
    </row>
    <row r="13" spans="2:10" ht="48" customHeight="1">
      <c r="B13" s="2" t="s">
        <v>15</v>
      </c>
      <c r="C13" s="3" t="s">
        <v>16</v>
      </c>
      <c r="D13" s="3"/>
      <c r="E13" s="3"/>
      <c r="F13" s="3"/>
      <c r="G13" s="3"/>
      <c r="H13" s="3"/>
      <c r="I13" s="3"/>
      <c r="J13" s="3"/>
    </row>
    <row r="14" spans="2:10" ht="48" customHeight="1">
      <c r="B14" s="2" t="s">
        <v>17</v>
      </c>
      <c r="C14" s="3" t="s">
        <v>18</v>
      </c>
      <c r="D14" s="3"/>
      <c r="E14" s="3"/>
      <c r="F14" s="3"/>
      <c r="G14" s="3"/>
      <c r="H14" s="3"/>
      <c r="I14" s="3"/>
      <c r="J14" s="3"/>
    </row>
    <row r="15" spans="2:10" ht="48" customHeight="1">
      <c r="B15" s="2" t="s">
        <v>19</v>
      </c>
      <c r="C15" s="3" t="s">
        <v>20</v>
      </c>
      <c r="D15" s="3"/>
      <c r="E15" s="3"/>
      <c r="F15" s="3"/>
      <c r="G15" s="3"/>
      <c r="H15" s="3"/>
      <c r="I15" s="3"/>
      <c r="J15" s="3"/>
    </row>
    <row r="16" spans="2:10" ht="48" customHeight="1">
      <c r="B16" s="2" t="s">
        <v>21</v>
      </c>
      <c r="C16" s="3" t="s">
        <v>22</v>
      </c>
      <c r="D16" s="3"/>
      <c r="E16" s="3"/>
      <c r="F16" s="3"/>
      <c r="G16" s="3"/>
      <c r="H16" s="3"/>
      <c r="I16" s="3"/>
      <c r="J16" s="3"/>
    </row>
    <row r="17" spans="2:10" ht="48" customHeight="1">
      <c r="B17" s="2" t="s">
        <v>23</v>
      </c>
      <c r="C17" s="3" t="s">
        <v>24</v>
      </c>
      <c r="D17" s="3"/>
      <c r="E17" s="3"/>
      <c r="F17" s="3"/>
      <c r="G17" s="3"/>
      <c r="H17" s="3"/>
      <c r="I17" s="3"/>
      <c r="J17" s="3"/>
    </row>
    <row r="18" spans="2:10" ht="48" customHeight="1">
      <c r="B18" s="2" t="s">
        <v>25</v>
      </c>
      <c r="C18" s="3" t="s">
        <v>26</v>
      </c>
      <c r="D18" s="3"/>
      <c r="E18" s="3"/>
      <c r="F18" s="3"/>
      <c r="G18" s="3"/>
      <c r="H18" s="3"/>
      <c r="I18" s="3"/>
      <c r="J18" s="3"/>
    </row>
  </sheetData>
  <mergeCells count="14">
    <mergeCell ref="B2:J3"/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899"/>
  </sheetPr>
  <dimension ref="A1:J43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0" width="18.7109375" customWidth="1"/>
  </cols>
  <sheetData>
    <row r="1" spans="1:10" ht="34" customHeight="1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</row>
    <row r="2" spans="1:10">
      <c r="A2" s="5">
        <v>45292</v>
      </c>
      <c r="B2" t="s">
        <v>37</v>
      </c>
      <c r="C2" t="s">
        <v>38</v>
      </c>
      <c r="D2" t="s">
        <v>39</v>
      </c>
      <c r="E2" t="s">
        <v>40</v>
      </c>
      <c r="F2" s="6">
        <v>83</v>
      </c>
      <c r="G2" s="6">
        <v>2646.8</v>
      </c>
      <c r="H2" s="6">
        <v>1820</v>
      </c>
      <c r="I2" s="6">
        <v>219684.4</v>
      </c>
      <c r="J2" s="6">
        <v>151060</v>
      </c>
    </row>
    <row r="3" spans="1:10">
      <c r="A3" s="5">
        <v>45292</v>
      </c>
      <c r="B3" t="s">
        <v>37</v>
      </c>
      <c r="C3" t="s">
        <v>38</v>
      </c>
      <c r="D3" t="s">
        <v>39</v>
      </c>
      <c r="E3" t="s">
        <v>41</v>
      </c>
      <c r="F3" s="6">
        <v>46</v>
      </c>
      <c r="G3" s="6">
        <v>2496</v>
      </c>
      <c r="H3" s="6">
        <v>1820</v>
      </c>
      <c r="I3" s="6">
        <v>114816</v>
      </c>
      <c r="J3" s="6">
        <v>83720</v>
      </c>
    </row>
    <row r="4" spans="1:10">
      <c r="A4" s="5">
        <v>45292</v>
      </c>
      <c r="B4" t="s">
        <v>37</v>
      </c>
      <c r="C4" t="s">
        <v>38</v>
      </c>
      <c r="D4" t="s">
        <v>42</v>
      </c>
      <c r="E4" t="s">
        <v>40</v>
      </c>
      <c r="F4" s="6">
        <v>37</v>
      </c>
      <c r="G4" s="6">
        <v>2646.8</v>
      </c>
      <c r="H4" s="6">
        <v>1820</v>
      </c>
      <c r="I4" s="6">
        <v>97931.60000000001</v>
      </c>
      <c r="J4" s="6">
        <v>67340</v>
      </c>
    </row>
    <row r="5" spans="1:10">
      <c r="A5" s="5">
        <v>45292</v>
      </c>
      <c r="B5" t="s">
        <v>37</v>
      </c>
      <c r="C5" t="s">
        <v>38</v>
      </c>
      <c r="D5" t="s">
        <v>42</v>
      </c>
      <c r="E5" t="s">
        <v>41</v>
      </c>
      <c r="F5" s="6">
        <v>20</v>
      </c>
      <c r="G5" s="6">
        <v>2496</v>
      </c>
      <c r="H5" s="6">
        <v>1820</v>
      </c>
      <c r="I5" s="6">
        <v>49920</v>
      </c>
      <c r="J5" s="6">
        <v>36400</v>
      </c>
    </row>
    <row r="6" spans="1:10">
      <c r="A6" s="5">
        <v>45292</v>
      </c>
      <c r="B6" t="s">
        <v>37</v>
      </c>
      <c r="C6" t="s">
        <v>38</v>
      </c>
      <c r="D6" t="s">
        <v>43</v>
      </c>
      <c r="E6" t="s">
        <v>40</v>
      </c>
      <c r="F6" s="6">
        <v>26</v>
      </c>
      <c r="G6" s="6">
        <v>2646.8</v>
      </c>
      <c r="H6" s="6">
        <v>1820</v>
      </c>
      <c r="I6" s="6">
        <v>68816.8</v>
      </c>
      <c r="J6" s="6">
        <v>47320</v>
      </c>
    </row>
    <row r="7" spans="1:10">
      <c r="A7" s="5">
        <v>45292</v>
      </c>
      <c r="B7" t="s">
        <v>37</v>
      </c>
      <c r="C7" t="s">
        <v>38</v>
      </c>
      <c r="D7" t="s">
        <v>43</v>
      </c>
      <c r="E7" t="s">
        <v>41</v>
      </c>
      <c r="F7" s="6">
        <v>15</v>
      </c>
      <c r="G7" s="6">
        <v>2496</v>
      </c>
      <c r="H7" s="6">
        <v>1820</v>
      </c>
      <c r="I7" s="6">
        <v>37440</v>
      </c>
      <c r="J7" s="6">
        <v>27300</v>
      </c>
    </row>
    <row r="8" spans="1:10">
      <c r="A8" s="5">
        <v>45292</v>
      </c>
      <c r="B8" t="s">
        <v>44</v>
      </c>
      <c r="C8" t="s">
        <v>45</v>
      </c>
      <c r="D8" t="s">
        <v>39</v>
      </c>
      <c r="E8" t="s">
        <v>40</v>
      </c>
      <c r="F8" s="6">
        <v>60</v>
      </c>
      <c r="G8" s="6">
        <v>1679.7</v>
      </c>
      <c r="H8" s="6">
        <v>990</v>
      </c>
      <c r="I8" s="6">
        <v>100782</v>
      </c>
      <c r="J8" s="6">
        <v>59400</v>
      </c>
    </row>
    <row r="9" spans="1:10">
      <c r="A9" s="5">
        <v>45292</v>
      </c>
      <c r="B9" t="s">
        <v>44</v>
      </c>
      <c r="C9" t="s">
        <v>45</v>
      </c>
      <c r="D9" t="s">
        <v>39</v>
      </c>
      <c r="E9" t="s">
        <v>41</v>
      </c>
      <c r="F9" s="6">
        <v>32</v>
      </c>
      <c r="G9" s="6">
        <v>1584</v>
      </c>
      <c r="H9" s="6">
        <v>990</v>
      </c>
      <c r="I9" s="6">
        <v>50688</v>
      </c>
      <c r="J9" s="6">
        <v>31680</v>
      </c>
    </row>
    <row r="10" spans="1:10">
      <c r="A10" s="5">
        <v>45292</v>
      </c>
      <c r="B10" t="s">
        <v>44</v>
      </c>
      <c r="C10" t="s">
        <v>45</v>
      </c>
      <c r="D10" t="s">
        <v>42</v>
      </c>
      <c r="E10" t="s">
        <v>40</v>
      </c>
      <c r="F10" s="6">
        <v>27</v>
      </c>
      <c r="G10" s="6">
        <v>1679.7</v>
      </c>
      <c r="H10" s="6">
        <v>990</v>
      </c>
      <c r="I10" s="6">
        <v>45351.9</v>
      </c>
      <c r="J10" s="6">
        <v>26730</v>
      </c>
    </row>
    <row r="11" spans="1:10">
      <c r="A11" s="5">
        <v>45292</v>
      </c>
      <c r="B11" t="s">
        <v>44</v>
      </c>
      <c r="C11" t="s">
        <v>45</v>
      </c>
      <c r="D11" t="s">
        <v>42</v>
      </c>
      <c r="E11" t="s">
        <v>41</v>
      </c>
      <c r="F11" s="6">
        <v>13</v>
      </c>
      <c r="G11" s="6">
        <v>1584</v>
      </c>
      <c r="H11" s="6">
        <v>990</v>
      </c>
      <c r="I11" s="6">
        <v>20592</v>
      </c>
      <c r="J11" s="6">
        <v>12870</v>
      </c>
    </row>
    <row r="12" spans="1:10">
      <c r="A12" s="5">
        <v>45292</v>
      </c>
      <c r="B12" t="s">
        <v>44</v>
      </c>
      <c r="C12" t="s">
        <v>45</v>
      </c>
      <c r="D12" t="s">
        <v>43</v>
      </c>
      <c r="E12" t="s">
        <v>40</v>
      </c>
      <c r="F12" s="6">
        <v>20</v>
      </c>
      <c r="G12" s="6">
        <v>1679.7</v>
      </c>
      <c r="H12" s="6">
        <v>990</v>
      </c>
      <c r="I12" s="6">
        <v>33594</v>
      </c>
      <c r="J12" s="6">
        <v>19800</v>
      </c>
    </row>
    <row r="13" spans="1:10">
      <c r="A13" s="5">
        <v>45292</v>
      </c>
      <c r="B13" t="s">
        <v>44</v>
      </c>
      <c r="C13" t="s">
        <v>45</v>
      </c>
      <c r="D13" t="s">
        <v>43</v>
      </c>
      <c r="E13" t="s">
        <v>41</v>
      </c>
      <c r="F13" s="6">
        <v>10</v>
      </c>
      <c r="G13" s="6">
        <v>1584</v>
      </c>
      <c r="H13" s="6">
        <v>990</v>
      </c>
      <c r="I13" s="6">
        <v>15840</v>
      </c>
      <c r="J13" s="6">
        <v>9900</v>
      </c>
    </row>
    <row r="14" spans="1:10">
      <c r="A14" s="5">
        <v>45292</v>
      </c>
      <c r="B14" t="s">
        <v>46</v>
      </c>
      <c r="C14" t="s">
        <v>47</v>
      </c>
      <c r="D14" t="s">
        <v>39</v>
      </c>
      <c r="E14" t="s">
        <v>40</v>
      </c>
      <c r="F14" s="6">
        <v>40</v>
      </c>
      <c r="G14" s="6">
        <v>692.24</v>
      </c>
      <c r="H14" s="6">
        <v>380</v>
      </c>
      <c r="I14" s="6">
        <v>27689.6</v>
      </c>
      <c r="J14" s="6">
        <v>15200</v>
      </c>
    </row>
    <row r="15" spans="1:10">
      <c r="A15" s="5">
        <v>45292</v>
      </c>
      <c r="B15" t="s">
        <v>46</v>
      </c>
      <c r="C15" t="s">
        <v>47</v>
      </c>
      <c r="D15" t="s">
        <v>39</v>
      </c>
      <c r="E15" t="s">
        <v>41</v>
      </c>
      <c r="F15" s="6">
        <v>21</v>
      </c>
      <c r="G15" s="6">
        <v>652.8</v>
      </c>
      <c r="H15" s="6">
        <v>380</v>
      </c>
      <c r="I15" s="6">
        <v>13708.8</v>
      </c>
      <c r="J15" s="6">
        <v>7980</v>
      </c>
    </row>
    <row r="16" spans="1:10">
      <c r="A16" s="5">
        <v>45292</v>
      </c>
      <c r="B16" t="s">
        <v>46</v>
      </c>
      <c r="C16" t="s">
        <v>47</v>
      </c>
      <c r="D16" t="s">
        <v>42</v>
      </c>
      <c r="E16" t="s">
        <v>40</v>
      </c>
      <c r="F16" s="6">
        <v>18</v>
      </c>
      <c r="G16" s="6">
        <v>692.24</v>
      </c>
      <c r="H16" s="6">
        <v>380</v>
      </c>
      <c r="I16" s="6">
        <v>12460.32</v>
      </c>
      <c r="J16" s="6">
        <v>6840</v>
      </c>
    </row>
    <row r="17" spans="1:10">
      <c r="A17" s="5">
        <v>45292</v>
      </c>
      <c r="B17" t="s">
        <v>46</v>
      </c>
      <c r="C17" t="s">
        <v>47</v>
      </c>
      <c r="D17" t="s">
        <v>42</v>
      </c>
      <c r="E17" t="s">
        <v>41</v>
      </c>
      <c r="F17" s="6">
        <v>10</v>
      </c>
      <c r="G17" s="6">
        <v>652.8</v>
      </c>
      <c r="H17" s="6">
        <v>380</v>
      </c>
      <c r="I17" s="6">
        <v>6528</v>
      </c>
      <c r="J17" s="6">
        <v>3800</v>
      </c>
    </row>
    <row r="18" spans="1:10">
      <c r="A18" s="5">
        <v>45292</v>
      </c>
      <c r="B18" t="s">
        <v>46</v>
      </c>
      <c r="C18" t="s">
        <v>47</v>
      </c>
      <c r="D18" t="s">
        <v>43</v>
      </c>
      <c r="E18" t="s">
        <v>40</v>
      </c>
      <c r="F18" s="6">
        <v>14</v>
      </c>
      <c r="G18" s="6">
        <v>692.24</v>
      </c>
      <c r="H18" s="6">
        <v>380</v>
      </c>
      <c r="I18" s="6">
        <v>9691.360000000001</v>
      </c>
      <c r="J18" s="6">
        <v>5320</v>
      </c>
    </row>
    <row r="19" spans="1:10">
      <c r="A19" s="5">
        <v>45292</v>
      </c>
      <c r="B19" t="s">
        <v>46</v>
      </c>
      <c r="C19" t="s">
        <v>47</v>
      </c>
      <c r="D19" t="s">
        <v>43</v>
      </c>
      <c r="E19" t="s">
        <v>41</v>
      </c>
      <c r="F19" s="6">
        <v>7</v>
      </c>
      <c r="G19" s="6">
        <v>652.8</v>
      </c>
      <c r="H19" s="6">
        <v>380</v>
      </c>
      <c r="I19" s="6">
        <v>4569.6</v>
      </c>
      <c r="J19" s="6">
        <v>2660</v>
      </c>
    </row>
    <row r="20" spans="1:10">
      <c r="A20" s="5">
        <v>45323</v>
      </c>
      <c r="B20" t="s">
        <v>37</v>
      </c>
      <c r="C20" t="s">
        <v>38</v>
      </c>
      <c r="D20" t="s">
        <v>39</v>
      </c>
      <c r="E20" t="s">
        <v>40</v>
      </c>
      <c r="F20" s="6">
        <v>87</v>
      </c>
      <c r="G20" s="6">
        <v>2646.8</v>
      </c>
      <c r="H20" s="6">
        <v>1820</v>
      </c>
      <c r="I20" s="6">
        <v>230271.6</v>
      </c>
      <c r="J20" s="6">
        <v>158340</v>
      </c>
    </row>
    <row r="21" spans="1:10">
      <c r="A21" s="5">
        <v>45323</v>
      </c>
      <c r="B21" t="s">
        <v>37</v>
      </c>
      <c r="C21" t="s">
        <v>38</v>
      </c>
      <c r="D21" t="s">
        <v>39</v>
      </c>
      <c r="E21" t="s">
        <v>41</v>
      </c>
      <c r="F21" s="6">
        <v>46</v>
      </c>
      <c r="G21" s="6">
        <v>2496</v>
      </c>
      <c r="H21" s="6">
        <v>1820</v>
      </c>
      <c r="I21" s="6">
        <v>114816</v>
      </c>
      <c r="J21" s="6">
        <v>83720</v>
      </c>
    </row>
    <row r="22" spans="1:10">
      <c r="A22" s="5">
        <v>45323</v>
      </c>
      <c r="B22" t="s">
        <v>37</v>
      </c>
      <c r="C22" t="s">
        <v>38</v>
      </c>
      <c r="D22" t="s">
        <v>42</v>
      </c>
      <c r="E22" t="s">
        <v>40</v>
      </c>
      <c r="F22" s="6">
        <v>41</v>
      </c>
      <c r="G22" s="6">
        <v>2646.8</v>
      </c>
      <c r="H22" s="6">
        <v>1820</v>
      </c>
      <c r="I22" s="6">
        <v>108518.8</v>
      </c>
      <c r="J22" s="6">
        <v>74620</v>
      </c>
    </row>
    <row r="23" spans="1:10">
      <c r="A23" s="5">
        <v>45323</v>
      </c>
      <c r="B23" t="s">
        <v>37</v>
      </c>
      <c r="C23" t="s">
        <v>38</v>
      </c>
      <c r="D23" t="s">
        <v>42</v>
      </c>
      <c r="E23" t="s">
        <v>41</v>
      </c>
      <c r="F23" s="6">
        <v>20</v>
      </c>
      <c r="G23" s="6">
        <v>2496</v>
      </c>
      <c r="H23" s="6">
        <v>1820</v>
      </c>
      <c r="I23" s="6">
        <v>49920</v>
      </c>
      <c r="J23" s="6">
        <v>36400</v>
      </c>
    </row>
    <row r="24" spans="1:10">
      <c r="A24" s="5">
        <v>45323</v>
      </c>
      <c r="B24" t="s">
        <v>37</v>
      </c>
      <c r="C24" t="s">
        <v>38</v>
      </c>
      <c r="D24" t="s">
        <v>43</v>
      </c>
      <c r="E24" t="s">
        <v>40</v>
      </c>
      <c r="F24" s="6">
        <v>29</v>
      </c>
      <c r="G24" s="6">
        <v>2646.8</v>
      </c>
      <c r="H24" s="6">
        <v>1820</v>
      </c>
      <c r="I24" s="6">
        <v>76757.2</v>
      </c>
      <c r="J24" s="6">
        <v>52780</v>
      </c>
    </row>
    <row r="25" spans="1:10">
      <c r="A25" s="5">
        <v>45323</v>
      </c>
      <c r="B25" t="s">
        <v>37</v>
      </c>
      <c r="C25" t="s">
        <v>38</v>
      </c>
      <c r="D25" t="s">
        <v>43</v>
      </c>
      <c r="E25" t="s">
        <v>41</v>
      </c>
      <c r="F25" s="6">
        <v>14</v>
      </c>
      <c r="G25" s="6">
        <v>2496</v>
      </c>
      <c r="H25" s="6">
        <v>1820</v>
      </c>
      <c r="I25" s="6">
        <v>34944</v>
      </c>
      <c r="J25" s="6">
        <v>25480</v>
      </c>
    </row>
    <row r="26" spans="1:10">
      <c r="A26" s="5">
        <v>45323</v>
      </c>
      <c r="B26" t="s">
        <v>44</v>
      </c>
      <c r="C26" t="s">
        <v>45</v>
      </c>
      <c r="D26" t="s">
        <v>39</v>
      </c>
      <c r="E26" t="s">
        <v>40</v>
      </c>
      <c r="F26" s="6">
        <v>65</v>
      </c>
      <c r="G26" s="6">
        <v>1679.7</v>
      </c>
      <c r="H26" s="6">
        <v>990</v>
      </c>
      <c r="I26" s="6">
        <v>109180.5</v>
      </c>
      <c r="J26" s="6">
        <v>64350</v>
      </c>
    </row>
    <row r="27" spans="1:10">
      <c r="A27" s="5">
        <v>45323</v>
      </c>
      <c r="B27" t="s">
        <v>44</v>
      </c>
      <c r="C27" t="s">
        <v>45</v>
      </c>
      <c r="D27" t="s">
        <v>39</v>
      </c>
      <c r="E27" t="s">
        <v>41</v>
      </c>
      <c r="F27" s="6">
        <v>32</v>
      </c>
      <c r="G27" s="6">
        <v>1584</v>
      </c>
      <c r="H27" s="6">
        <v>990</v>
      </c>
      <c r="I27" s="6">
        <v>50688</v>
      </c>
      <c r="J27" s="6">
        <v>31680</v>
      </c>
    </row>
    <row r="28" spans="1:10">
      <c r="A28" s="5">
        <v>45323</v>
      </c>
      <c r="B28" t="s">
        <v>44</v>
      </c>
      <c r="C28" t="s">
        <v>45</v>
      </c>
      <c r="D28" t="s">
        <v>42</v>
      </c>
      <c r="E28" t="s">
        <v>40</v>
      </c>
      <c r="F28" s="6">
        <v>27</v>
      </c>
      <c r="G28" s="6">
        <v>1679.7</v>
      </c>
      <c r="H28" s="6">
        <v>990</v>
      </c>
      <c r="I28" s="6">
        <v>45351.9</v>
      </c>
      <c r="J28" s="6">
        <v>26730</v>
      </c>
    </row>
    <row r="29" spans="1:10">
      <c r="A29" s="5">
        <v>45323</v>
      </c>
      <c r="B29" t="s">
        <v>44</v>
      </c>
      <c r="C29" t="s">
        <v>45</v>
      </c>
      <c r="D29" t="s">
        <v>42</v>
      </c>
      <c r="E29" t="s">
        <v>41</v>
      </c>
      <c r="F29" s="6">
        <v>15</v>
      </c>
      <c r="G29" s="6">
        <v>1584</v>
      </c>
      <c r="H29" s="6">
        <v>990</v>
      </c>
      <c r="I29" s="6">
        <v>23760</v>
      </c>
      <c r="J29" s="6">
        <v>14850</v>
      </c>
    </row>
    <row r="30" spans="1:10">
      <c r="A30" s="5">
        <v>45323</v>
      </c>
      <c r="B30" t="s">
        <v>44</v>
      </c>
      <c r="C30" t="s">
        <v>45</v>
      </c>
      <c r="D30" t="s">
        <v>43</v>
      </c>
      <c r="E30" t="s">
        <v>40</v>
      </c>
      <c r="F30" s="6">
        <v>20</v>
      </c>
      <c r="G30" s="6">
        <v>1679.7</v>
      </c>
      <c r="H30" s="6">
        <v>990</v>
      </c>
      <c r="I30" s="6">
        <v>33594</v>
      </c>
      <c r="J30" s="6">
        <v>19800</v>
      </c>
    </row>
    <row r="31" spans="1:10">
      <c r="A31" s="5">
        <v>45323</v>
      </c>
      <c r="B31" t="s">
        <v>44</v>
      </c>
      <c r="C31" t="s">
        <v>45</v>
      </c>
      <c r="D31" t="s">
        <v>43</v>
      </c>
      <c r="E31" t="s">
        <v>41</v>
      </c>
      <c r="F31" s="6">
        <v>10</v>
      </c>
      <c r="G31" s="6">
        <v>1584</v>
      </c>
      <c r="H31" s="6">
        <v>990</v>
      </c>
      <c r="I31" s="6">
        <v>15840</v>
      </c>
      <c r="J31" s="6">
        <v>9900</v>
      </c>
    </row>
    <row r="32" spans="1:10">
      <c r="A32" s="5">
        <v>45323</v>
      </c>
      <c r="B32" t="s">
        <v>46</v>
      </c>
      <c r="C32" t="s">
        <v>47</v>
      </c>
      <c r="D32" t="s">
        <v>39</v>
      </c>
      <c r="E32" t="s">
        <v>40</v>
      </c>
      <c r="F32" s="6">
        <v>43</v>
      </c>
      <c r="G32" s="6">
        <v>692.24</v>
      </c>
      <c r="H32" s="6">
        <v>380</v>
      </c>
      <c r="I32" s="6">
        <v>29766.32</v>
      </c>
      <c r="J32" s="6">
        <v>16340</v>
      </c>
    </row>
    <row r="33" spans="1:10">
      <c r="A33" s="5">
        <v>45323</v>
      </c>
      <c r="B33" t="s">
        <v>46</v>
      </c>
      <c r="C33" t="s">
        <v>47</v>
      </c>
      <c r="D33" t="s">
        <v>39</v>
      </c>
      <c r="E33" t="s">
        <v>41</v>
      </c>
      <c r="F33" s="6">
        <v>23</v>
      </c>
      <c r="G33" s="6">
        <v>652.8</v>
      </c>
      <c r="H33" s="6">
        <v>380</v>
      </c>
      <c r="I33" s="6">
        <v>15014.4</v>
      </c>
      <c r="J33" s="6">
        <v>8740</v>
      </c>
    </row>
    <row r="34" spans="1:10">
      <c r="A34" s="5">
        <v>45323</v>
      </c>
      <c r="B34" t="s">
        <v>46</v>
      </c>
      <c r="C34" t="s">
        <v>47</v>
      </c>
      <c r="D34" t="s">
        <v>42</v>
      </c>
      <c r="E34" t="s">
        <v>40</v>
      </c>
      <c r="F34" s="6">
        <v>20</v>
      </c>
      <c r="G34" s="6">
        <v>692.24</v>
      </c>
      <c r="H34" s="6">
        <v>380</v>
      </c>
      <c r="I34" s="6">
        <v>13844.8</v>
      </c>
      <c r="J34" s="6">
        <v>7600</v>
      </c>
    </row>
    <row r="35" spans="1:10">
      <c r="A35" s="5">
        <v>45323</v>
      </c>
      <c r="B35" t="s">
        <v>46</v>
      </c>
      <c r="C35" t="s">
        <v>47</v>
      </c>
      <c r="D35" t="s">
        <v>42</v>
      </c>
      <c r="E35" t="s">
        <v>41</v>
      </c>
      <c r="F35" s="6">
        <v>10</v>
      </c>
      <c r="G35" s="6">
        <v>652.8</v>
      </c>
      <c r="H35" s="6">
        <v>380</v>
      </c>
      <c r="I35" s="6">
        <v>6528</v>
      </c>
      <c r="J35" s="6">
        <v>3800</v>
      </c>
    </row>
    <row r="36" spans="1:10">
      <c r="A36" s="5">
        <v>45323</v>
      </c>
      <c r="B36" t="s">
        <v>46</v>
      </c>
      <c r="C36" t="s">
        <v>47</v>
      </c>
      <c r="D36" t="s">
        <v>43</v>
      </c>
      <c r="E36" t="s">
        <v>40</v>
      </c>
      <c r="F36" s="6">
        <v>14</v>
      </c>
      <c r="G36" s="6">
        <v>692.24</v>
      </c>
      <c r="H36" s="6">
        <v>380</v>
      </c>
      <c r="I36" s="6">
        <v>9691.360000000001</v>
      </c>
      <c r="J36" s="6">
        <v>5320</v>
      </c>
    </row>
    <row r="37" spans="1:10">
      <c r="A37" s="5">
        <v>45323</v>
      </c>
      <c r="B37" t="s">
        <v>46</v>
      </c>
      <c r="C37" t="s">
        <v>47</v>
      </c>
      <c r="D37" t="s">
        <v>43</v>
      </c>
      <c r="E37" t="s">
        <v>41</v>
      </c>
      <c r="F37" s="6">
        <v>7</v>
      </c>
      <c r="G37" s="6">
        <v>652.8</v>
      </c>
      <c r="H37" s="6">
        <v>380</v>
      </c>
      <c r="I37" s="6">
        <v>4569.6</v>
      </c>
      <c r="J37" s="6">
        <v>2660</v>
      </c>
    </row>
    <row r="38" spans="1:10">
      <c r="A38" s="5">
        <v>45352</v>
      </c>
      <c r="B38" t="s">
        <v>37</v>
      </c>
      <c r="C38" t="s">
        <v>38</v>
      </c>
      <c r="D38" t="s">
        <v>39</v>
      </c>
      <c r="E38" t="s">
        <v>40</v>
      </c>
      <c r="F38" s="6">
        <v>101</v>
      </c>
      <c r="G38" s="6">
        <v>2646.8</v>
      </c>
      <c r="H38" s="6">
        <v>1820</v>
      </c>
      <c r="I38" s="6">
        <v>267326.8</v>
      </c>
      <c r="J38" s="6">
        <v>183820</v>
      </c>
    </row>
    <row r="39" spans="1:10">
      <c r="A39" s="5">
        <v>45352</v>
      </c>
      <c r="B39" t="s">
        <v>37</v>
      </c>
      <c r="C39" t="s">
        <v>38</v>
      </c>
      <c r="D39" t="s">
        <v>39</v>
      </c>
      <c r="E39" t="s">
        <v>41</v>
      </c>
      <c r="F39" s="6">
        <v>53</v>
      </c>
      <c r="G39" s="6">
        <v>2496</v>
      </c>
      <c r="H39" s="6">
        <v>1820</v>
      </c>
      <c r="I39" s="6">
        <v>132288</v>
      </c>
      <c r="J39" s="6">
        <v>96460</v>
      </c>
    </row>
    <row r="40" spans="1:10">
      <c r="A40" s="5">
        <v>45352</v>
      </c>
      <c r="B40" t="s">
        <v>37</v>
      </c>
      <c r="C40" t="s">
        <v>38</v>
      </c>
      <c r="D40" t="s">
        <v>42</v>
      </c>
      <c r="E40" t="s">
        <v>40</v>
      </c>
      <c r="F40" s="6">
        <v>49</v>
      </c>
      <c r="G40" s="6">
        <v>2646.8</v>
      </c>
      <c r="H40" s="6">
        <v>1820</v>
      </c>
      <c r="I40" s="6">
        <v>129693.2</v>
      </c>
      <c r="J40" s="6">
        <v>89180</v>
      </c>
    </row>
    <row r="41" spans="1:10">
      <c r="A41" s="5">
        <v>45352</v>
      </c>
      <c r="B41" t="s">
        <v>37</v>
      </c>
      <c r="C41" t="s">
        <v>38</v>
      </c>
      <c r="D41" t="s">
        <v>42</v>
      </c>
      <c r="E41" t="s">
        <v>41</v>
      </c>
      <c r="F41" s="6">
        <v>24</v>
      </c>
      <c r="G41" s="6">
        <v>2496</v>
      </c>
      <c r="H41" s="6">
        <v>1820</v>
      </c>
      <c r="I41" s="6">
        <v>59904</v>
      </c>
      <c r="J41" s="6">
        <v>43680</v>
      </c>
    </row>
    <row r="42" spans="1:10">
      <c r="A42" s="5">
        <v>45352</v>
      </c>
      <c r="B42" t="s">
        <v>37</v>
      </c>
      <c r="C42" t="s">
        <v>38</v>
      </c>
      <c r="D42" t="s">
        <v>43</v>
      </c>
      <c r="E42" t="s">
        <v>40</v>
      </c>
      <c r="F42" s="6">
        <v>32</v>
      </c>
      <c r="G42" s="6">
        <v>2646.8</v>
      </c>
      <c r="H42" s="6">
        <v>1820</v>
      </c>
      <c r="I42" s="6">
        <v>84697.60000000001</v>
      </c>
      <c r="J42" s="6">
        <v>58240</v>
      </c>
    </row>
    <row r="43" spans="1:10">
      <c r="A43" s="5">
        <v>45352</v>
      </c>
      <c r="B43" t="s">
        <v>37</v>
      </c>
      <c r="C43" t="s">
        <v>38</v>
      </c>
      <c r="D43" t="s">
        <v>43</v>
      </c>
      <c r="E43" t="s">
        <v>41</v>
      </c>
      <c r="F43" s="6">
        <v>18</v>
      </c>
      <c r="G43" s="6">
        <v>2496</v>
      </c>
      <c r="H43" s="6">
        <v>1820</v>
      </c>
      <c r="I43" s="6">
        <v>44928</v>
      </c>
      <c r="J43" s="6">
        <v>32760</v>
      </c>
    </row>
    <row r="44" spans="1:10">
      <c r="A44" s="5">
        <v>45352</v>
      </c>
      <c r="B44" t="s">
        <v>44</v>
      </c>
      <c r="C44" t="s">
        <v>45</v>
      </c>
      <c r="D44" t="s">
        <v>39</v>
      </c>
      <c r="E44" t="s">
        <v>40</v>
      </c>
      <c r="F44" s="6">
        <v>73</v>
      </c>
      <c r="G44" s="6">
        <v>1679.7</v>
      </c>
      <c r="H44" s="6">
        <v>990</v>
      </c>
      <c r="I44" s="6">
        <v>122618.1</v>
      </c>
      <c r="J44" s="6">
        <v>72270</v>
      </c>
    </row>
    <row r="45" spans="1:10">
      <c r="A45" s="5">
        <v>45352</v>
      </c>
      <c r="B45" t="s">
        <v>44</v>
      </c>
      <c r="C45" t="s">
        <v>45</v>
      </c>
      <c r="D45" t="s">
        <v>39</v>
      </c>
      <c r="E45" t="s">
        <v>41</v>
      </c>
      <c r="F45" s="6">
        <v>36</v>
      </c>
      <c r="G45" s="6">
        <v>1584</v>
      </c>
      <c r="H45" s="6">
        <v>990</v>
      </c>
      <c r="I45" s="6">
        <v>57024</v>
      </c>
      <c r="J45" s="6">
        <v>35640</v>
      </c>
    </row>
    <row r="46" spans="1:10">
      <c r="A46" s="5">
        <v>45352</v>
      </c>
      <c r="B46" t="s">
        <v>44</v>
      </c>
      <c r="C46" t="s">
        <v>45</v>
      </c>
      <c r="D46" t="s">
        <v>42</v>
      </c>
      <c r="E46" t="s">
        <v>40</v>
      </c>
      <c r="F46" s="6">
        <v>36</v>
      </c>
      <c r="G46" s="6">
        <v>1679.7</v>
      </c>
      <c r="H46" s="6">
        <v>990</v>
      </c>
      <c r="I46" s="6">
        <v>60469.2</v>
      </c>
      <c r="J46" s="6">
        <v>35640</v>
      </c>
    </row>
    <row r="47" spans="1:10">
      <c r="A47" s="5">
        <v>45352</v>
      </c>
      <c r="B47" t="s">
        <v>44</v>
      </c>
      <c r="C47" t="s">
        <v>45</v>
      </c>
      <c r="D47" t="s">
        <v>42</v>
      </c>
      <c r="E47" t="s">
        <v>41</v>
      </c>
      <c r="F47" s="6">
        <v>18</v>
      </c>
      <c r="G47" s="6">
        <v>1584</v>
      </c>
      <c r="H47" s="6">
        <v>990</v>
      </c>
      <c r="I47" s="6">
        <v>28512</v>
      </c>
      <c r="J47" s="6">
        <v>17820</v>
      </c>
    </row>
    <row r="48" spans="1:10">
      <c r="A48" s="5">
        <v>45352</v>
      </c>
      <c r="B48" t="s">
        <v>44</v>
      </c>
      <c r="C48" t="s">
        <v>45</v>
      </c>
      <c r="D48" t="s">
        <v>43</v>
      </c>
      <c r="E48" t="s">
        <v>40</v>
      </c>
      <c r="F48" s="6">
        <v>24</v>
      </c>
      <c r="G48" s="6">
        <v>1679.7</v>
      </c>
      <c r="H48" s="6">
        <v>990</v>
      </c>
      <c r="I48" s="6">
        <v>40312.8</v>
      </c>
      <c r="J48" s="6">
        <v>23760</v>
      </c>
    </row>
    <row r="49" spans="1:10">
      <c r="A49" s="5">
        <v>45352</v>
      </c>
      <c r="B49" t="s">
        <v>44</v>
      </c>
      <c r="C49" t="s">
        <v>45</v>
      </c>
      <c r="D49" t="s">
        <v>43</v>
      </c>
      <c r="E49" t="s">
        <v>41</v>
      </c>
      <c r="F49" s="6">
        <v>12</v>
      </c>
      <c r="G49" s="6">
        <v>1584</v>
      </c>
      <c r="H49" s="6">
        <v>990</v>
      </c>
      <c r="I49" s="6">
        <v>19008</v>
      </c>
      <c r="J49" s="6">
        <v>11880</v>
      </c>
    </row>
    <row r="50" spans="1:10">
      <c r="A50" s="5">
        <v>45352</v>
      </c>
      <c r="B50" t="s">
        <v>46</v>
      </c>
      <c r="C50" t="s">
        <v>47</v>
      </c>
      <c r="D50" t="s">
        <v>39</v>
      </c>
      <c r="E50" t="s">
        <v>40</v>
      </c>
      <c r="F50" s="6">
        <v>51</v>
      </c>
      <c r="G50" s="6">
        <v>692.24</v>
      </c>
      <c r="H50" s="6">
        <v>380</v>
      </c>
      <c r="I50" s="6">
        <v>35304.24</v>
      </c>
      <c r="J50" s="6">
        <v>19380</v>
      </c>
    </row>
    <row r="51" spans="1:10">
      <c r="A51" s="5">
        <v>45352</v>
      </c>
      <c r="B51" t="s">
        <v>46</v>
      </c>
      <c r="C51" t="s">
        <v>47</v>
      </c>
      <c r="D51" t="s">
        <v>39</v>
      </c>
      <c r="E51" t="s">
        <v>41</v>
      </c>
      <c r="F51" s="6">
        <v>25</v>
      </c>
      <c r="G51" s="6">
        <v>652.8</v>
      </c>
      <c r="H51" s="6">
        <v>380</v>
      </c>
      <c r="I51" s="6">
        <v>16320</v>
      </c>
      <c r="J51" s="6">
        <v>9500</v>
      </c>
    </row>
    <row r="52" spans="1:10">
      <c r="A52" s="5">
        <v>45352</v>
      </c>
      <c r="B52" t="s">
        <v>46</v>
      </c>
      <c r="C52" t="s">
        <v>47</v>
      </c>
      <c r="D52" t="s">
        <v>42</v>
      </c>
      <c r="E52" t="s">
        <v>40</v>
      </c>
      <c r="F52" s="6">
        <v>25</v>
      </c>
      <c r="G52" s="6">
        <v>692.24</v>
      </c>
      <c r="H52" s="6">
        <v>380</v>
      </c>
      <c r="I52" s="6">
        <v>17306</v>
      </c>
      <c r="J52" s="6">
        <v>9500</v>
      </c>
    </row>
    <row r="53" spans="1:10">
      <c r="A53" s="5">
        <v>45352</v>
      </c>
      <c r="B53" t="s">
        <v>46</v>
      </c>
      <c r="C53" t="s">
        <v>47</v>
      </c>
      <c r="D53" t="s">
        <v>42</v>
      </c>
      <c r="E53" t="s">
        <v>41</v>
      </c>
      <c r="F53" s="6">
        <v>12</v>
      </c>
      <c r="G53" s="6">
        <v>652.8</v>
      </c>
      <c r="H53" s="6">
        <v>380</v>
      </c>
      <c r="I53" s="6">
        <v>7833.6</v>
      </c>
      <c r="J53" s="6">
        <v>4560</v>
      </c>
    </row>
    <row r="54" spans="1:10">
      <c r="A54" s="5">
        <v>45352</v>
      </c>
      <c r="B54" t="s">
        <v>46</v>
      </c>
      <c r="C54" t="s">
        <v>47</v>
      </c>
      <c r="D54" t="s">
        <v>43</v>
      </c>
      <c r="E54" t="s">
        <v>40</v>
      </c>
      <c r="F54" s="6">
        <v>15</v>
      </c>
      <c r="G54" s="6">
        <v>692.24</v>
      </c>
      <c r="H54" s="6">
        <v>380</v>
      </c>
      <c r="I54" s="6">
        <v>10383.6</v>
      </c>
      <c r="J54" s="6">
        <v>5700</v>
      </c>
    </row>
    <row r="55" spans="1:10">
      <c r="A55" s="5">
        <v>45352</v>
      </c>
      <c r="B55" t="s">
        <v>46</v>
      </c>
      <c r="C55" t="s">
        <v>47</v>
      </c>
      <c r="D55" t="s">
        <v>43</v>
      </c>
      <c r="E55" t="s">
        <v>41</v>
      </c>
      <c r="F55" s="6">
        <v>8</v>
      </c>
      <c r="G55" s="6">
        <v>652.8</v>
      </c>
      <c r="H55" s="6">
        <v>380</v>
      </c>
      <c r="I55" s="6">
        <v>5222.4</v>
      </c>
      <c r="J55" s="6">
        <v>3040</v>
      </c>
    </row>
    <row r="56" spans="1:10">
      <c r="A56" s="5">
        <v>45383</v>
      </c>
      <c r="B56" t="s">
        <v>37</v>
      </c>
      <c r="C56" t="s">
        <v>38</v>
      </c>
      <c r="D56" t="s">
        <v>39</v>
      </c>
      <c r="E56" t="s">
        <v>40</v>
      </c>
      <c r="F56" s="6">
        <v>108</v>
      </c>
      <c r="G56" s="6">
        <v>2646.8</v>
      </c>
      <c r="H56" s="6">
        <v>1820</v>
      </c>
      <c r="I56" s="6">
        <v>285854.4</v>
      </c>
      <c r="J56" s="6">
        <v>196560</v>
      </c>
    </row>
    <row r="57" spans="1:10">
      <c r="A57" s="5">
        <v>45383</v>
      </c>
      <c r="B57" t="s">
        <v>37</v>
      </c>
      <c r="C57" t="s">
        <v>38</v>
      </c>
      <c r="D57" t="s">
        <v>39</v>
      </c>
      <c r="E57" t="s">
        <v>41</v>
      </c>
      <c r="F57" s="6">
        <v>51</v>
      </c>
      <c r="G57" s="6">
        <v>2496</v>
      </c>
      <c r="H57" s="6">
        <v>1820</v>
      </c>
      <c r="I57" s="6">
        <v>127296</v>
      </c>
      <c r="J57" s="6">
        <v>92820</v>
      </c>
    </row>
    <row r="58" spans="1:10">
      <c r="A58" s="5">
        <v>45383</v>
      </c>
      <c r="B58" t="s">
        <v>37</v>
      </c>
      <c r="C58" t="s">
        <v>38</v>
      </c>
      <c r="D58" t="s">
        <v>42</v>
      </c>
      <c r="E58" t="s">
        <v>40</v>
      </c>
      <c r="F58" s="6">
        <v>46</v>
      </c>
      <c r="G58" s="6">
        <v>2646.8</v>
      </c>
      <c r="H58" s="6">
        <v>1820</v>
      </c>
      <c r="I58" s="6">
        <v>121752.8</v>
      </c>
      <c r="J58" s="6">
        <v>83720</v>
      </c>
    </row>
    <row r="59" spans="1:10">
      <c r="A59" s="5">
        <v>45383</v>
      </c>
      <c r="B59" t="s">
        <v>37</v>
      </c>
      <c r="C59" t="s">
        <v>38</v>
      </c>
      <c r="D59" t="s">
        <v>42</v>
      </c>
      <c r="E59" t="s">
        <v>41</v>
      </c>
      <c r="F59" s="6">
        <v>25</v>
      </c>
      <c r="G59" s="6">
        <v>2496</v>
      </c>
      <c r="H59" s="6">
        <v>1820</v>
      </c>
      <c r="I59" s="6">
        <v>62400</v>
      </c>
      <c r="J59" s="6">
        <v>45500</v>
      </c>
    </row>
    <row r="60" spans="1:10">
      <c r="A60" s="5">
        <v>45383</v>
      </c>
      <c r="B60" t="s">
        <v>37</v>
      </c>
      <c r="C60" t="s">
        <v>38</v>
      </c>
      <c r="D60" t="s">
        <v>43</v>
      </c>
      <c r="E60" t="s">
        <v>40</v>
      </c>
      <c r="F60" s="6">
        <v>34</v>
      </c>
      <c r="G60" s="6">
        <v>2646.8</v>
      </c>
      <c r="H60" s="6">
        <v>1820</v>
      </c>
      <c r="I60" s="6">
        <v>89991.2</v>
      </c>
      <c r="J60" s="6">
        <v>61880</v>
      </c>
    </row>
    <row r="61" spans="1:10">
      <c r="A61" s="5">
        <v>45383</v>
      </c>
      <c r="B61" t="s">
        <v>37</v>
      </c>
      <c r="C61" t="s">
        <v>38</v>
      </c>
      <c r="D61" t="s">
        <v>43</v>
      </c>
      <c r="E61" t="s">
        <v>41</v>
      </c>
      <c r="F61" s="6">
        <v>17</v>
      </c>
      <c r="G61" s="6">
        <v>2496</v>
      </c>
      <c r="H61" s="6">
        <v>1820</v>
      </c>
      <c r="I61" s="6">
        <v>42432</v>
      </c>
      <c r="J61" s="6">
        <v>30940</v>
      </c>
    </row>
    <row r="62" spans="1:10">
      <c r="A62" s="5">
        <v>45383</v>
      </c>
      <c r="B62" t="s">
        <v>44</v>
      </c>
      <c r="C62" t="s">
        <v>45</v>
      </c>
      <c r="D62" t="s">
        <v>39</v>
      </c>
      <c r="E62" t="s">
        <v>40</v>
      </c>
      <c r="F62" s="6">
        <v>73</v>
      </c>
      <c r="G62" s="6">
        <v>1679.7</v>
      </c>
      <c r="H62" s="6">
        <v>990</v>
      </c>
      <c r="I62" s="6">
        <v>122618.1</v>
      </c>
      <c r="J62" s="6">
        <v>72270</v>
      </c>
    </row>
    <row r="63" spans="1:10">
      <c r="A63" s="5">
        <v>45383</v>
      </c>
      <c r="B63" t="s">
        <v>44</v>
      </c>
      <c r="C63" t="s">
        <v>45</v>
      </c>
      <c r="D63" t="s">
        <v>39</v>
      </c>
      <c r="E63" t="s">
        <v>41</v>
      </c>
      <c r="F63" s="6">
        <v>35</v>
      </c>
      <c r="G63" s="6">
        <v>1584</v>
      </c>
      <c r="H63" s="6">
        <v>990</v>
      </c>
      <c r="I63" s="6">
        <v>55440</v>
      </c>
      <c r="J63" s="6">
        <v>34650</v>
      </c>
    </row>
    <row r="64" spans="1:10">
      <c r="A64" s="5">
        <v>45383</v>
      </c>
      <c r="B64" t="s">
        <v>44</v>
      </c>
      <c r="C64" t="s">
        <v>45</v>
      </c>
      <c r="D64" t="s">
        <v>42</v>
      </c>
      <c r="E64" t="s">
        <v>40</v>
      </c>
      <c r="F64" s="6">
        <v>33</v>
      </c>
      <c r="G64" s="6">
        <v>1679.7</v>
      </c>
      <c r="H64" s="6">
        <v>990</v>
      </c>
      <c r="I64" s="6">
        <v>55430.1</v>
      </c>
      <c r="J64" s="6">
        <v>32670</v>
      </c>
    </row>
    <row r="65" spans="1:10">
      <c r="A65" s="5">
        <v>45383</v>
      </c>
      <c r="B65" t="s">
        <v>44</v>
      </c>
      <c r="C65" t="s">
        <v>45</v>
      </c>
      <c r="D65" t="s">
        <v>42</v>
      </c>
      <c r="E65" t="s">
        <v>41</v>
      </c>
      <c r="F65" s="6">
        <v>17</v>
      </c>
      <c r="G65" s="6">
        <v>1584</v>
      </c>
      <c r="H65" s="6">
        <v>990</v>
      </c>
      <c r="I65" s="6">
        <v>26928</v>
      </c>
      <c r="J65" s="6">
        <v>16830</v>
      </c>
    </row>
    <row r="66" spans="1:10">
      <c r="A66" s="5">
        <v>45383</v>
      </c>
      <c r="B66" t="s">
        <v>44</v>
      </c>
      <c r="C66" t="s">
        <v>45</v>
      </c>
      <c r="D66" t="s">
        <v>43</v>
      </c>
      <c r="E66" t="s">
        <v>40</v>
      </c>
      <c r="F66" s="6">
        <v>22</v>
      </c>
      <c r="G66" s="6">
        <v>1679.7</v>
      </c>
      <c r="H66" s="6">
        <v>990</v>
      </c>
      <c r="I66" s="6">
        <v>36953.4</v>
      </c>
      <c r="J66" s="6">
        <v>21780</v>
      </c>
    </row>
    <row r="67" spans="1:10">
      <c r="A67" s="5">
        <v>45383</v>
      </c>
      <c r="B67" t="s">
        <v>44</v>
      </c>
      <c r="C67" t="s">
        <v>45</v>
      </c>
      <c r="D67" t="s">
        <v>43</v>
      </c>
      <c r="E67" t="s">
        <v>41</v>
      </c>
      <c r="F67" s="6">
        <v>12</v>
      </c>
      <c r="G67" s="6">
        <v>1584</v>
      </c>
      <c r="H67" s="6">
        <v>990</v>
      </c>
      <c r="I67" s="6">
        <v>19008</v>
      </c>
      <c r="J67" s="6">
        <v>11880</v>
      </c>
    </row>
    <row r="68" spans="1:10">
      <c r="A68" s="5">
        <v>45383</v>
      </c>
      <c r="B68" t="s">
        <v>46</v>
      </c>
      <c r="C68" t="s">
        <v>47</v>
      </c>
      <c r="D68" t="s">
        <v>39</v>
      </c>
      <c r="E68" t="s">
        <v>40</v>
      </c>
      <c r="F68" s="6">
        <v>52</v>
      </c>
      <c r="G68" s="6">
        <v>692.24</v>
      </c>
      <c r="H68" s="6">
        <v>380</v>
      </c>
      <c r="I68" s="6">
        <v>35996.48</v>
      </c>
      <c r="J68" s="6">
        <v>19760</v>
      </c>
    </row>
    <row r="69" spans="1:10">
      <c r="A69" s="5">
        <v>45383</v>
      </c>
      <c r="B69" t="s">
        <v>46</v>
      </c>
      <c r="C69" t="s">
        <v>47</v>
      </c>
      <c r="D69" t="s">
        <v>39</v>
      </c>
      <c r="E69" t="s">
        <v>41</v>
      </c>
      <c r="F69" s="6">
        <v>25</v>
      </c>
      <c r="G69" s="6">
        <v>652.8</v>
      </c>
      <c r="H69" s="6">
        <v>380</v>
      </c>
      <c r="I69" s="6">
        <v>16320</v>
      </c>
      <c r="J69" s="6">
        <v>9500</v>
      </c>
    </row>
    <row r="70" spans="1:10">
      <c r="A70" s="5">
        <v>45383</v>
      </c>
      <c r="B70" t="s">
        <v>46</v>
      </c>
      <c r="C70" t="s">
        <v>47</v>
      </c>
      <c r="D70" t="s">
        <v>42</v>
      </c>
      <c r="E70" t="s">
        <v>40</v>
      </c>
      <c r="F70" s="6">
        <v>24</v>
      </c>
      <c r="G70" s="6">
        <v>692.24</v>
      </c>
      <c r="H70" s="6">
        <v>380</v>
      </c>
      <c r="I70" s="6">
        <v>16613.76</v>
      </c>
      <c r="J70" s="6">
        <v>9120</v>
      </c>
    </row>
    <row r="71" spans="1:10">
      <c r="A71" s="5">
        <v>45383</v>
      </c>
      <c r="B71" t="s">
        <v>46</v>
      </c>
      <c r="C71" t="s">
        <v>47</v>
      </c>
      <c r="D71" t="s">
        <v>42</v>
      </c>
      <c r="E71" t="s">
        <v>41</v>
      </c>
      <c r="F71" s="6">
        <v>12</v>
      </c>
      <c r="G71" s="6">
        <v>652.8</v>
      </c>
      <c r="H71" s="6">
        <v>380</v>
      </c>
      <c r="I71" s="6">
        <v>7833.6</v>
      </c>
      <c r="J71" s="6">
        <v>4560</v>
      </c>
    </row>
    <row r="72" spans="1:10">
      <c r="A72" s="5">
        <v>45383</v>
      </c>
      <c r="B72" t="s">
        <v>46</v>
      </c>
      <c r="C72" t="s">
        <v>47</v>
      </c>
      <c r="D72" t="s">
        <v>43</v>
      </c>
      <c r="E72" t="s">
        <v>40</v>
      </c>
      <c r="F72" s="6">
        <v>16</v>
      </c>
      <c r="G72" s="6">
        <v>692.24</v>
      </c>
      <c r="H72" s="6">
        <v>380</v>
      </c>
      <c r="I72" s="6">
        <v>11075.84</v>
      </c>
      <c r="J72" s="6">
        <v>6080</v>
      </c>
    </row>
    <row r="73" spans="1:10">
      <c r="A73" s="5">
        <v>45383</v>
      </c>
      <c r="B73" t="s">
        <v>46</v>
      </c>
      <c r="C73" t="s">
        <v>47</v>
      </c>
      <c r="D73" t="s">
        <v>43</v>
      </c>
      <c r="E73" t="s">
        <v>41</v>
      </c>
      <c r="F73" s="6">
        <v>9</v>
      </c>
      <c r="G73" s="6">
        <v>652.8</v>
      </c>
      <c r="H73" s="6">
        <v>380</v>
      </c>
      <c r="I73" s="6">
        <v>5875.2</v>
      </c>
      <c r="J73" s="6">
        <v>3420</v>
      </c>
    </row>
    <row r="74" spans="1:10">
      <c r="A74" s="5">
        <v>45413</v>
      </c>
      <c r="B74" t="s">
        <v>37</v>
      </c>
      <c r="C74" t="s">
        <v>38</v>
      </c>
      <c r="D74" t="s">
        <v>39</v>
      </c>
      <c r="E74" t="s">
        <v>40</v>
      </c>
      <c r="F74" s="6">
        <v>107</v>
      </c>
      <c r="G74" s="6">
        <v>2646.8</v>
      </c>
      <c r="H74" s="6">
        <v>1820</v>
      </c>
      <c r="I74" s="6">
        <v>283207.6</v>
      </c>
      <c r="J74" s="6">
        <v>194740</v>
      </c>
    </row>
    <row r="75" spans="1:10">
      <c r="A75" s="5">
        <v>45413</v>
      </c>
      <c r="B75" t="s">
        <v>37</v>
      </c>
      <c r="C75" t="s">
        <v>38</v>
      </c>
      <c r="D75" t="s">
        <v>39</v>
      </c>
      <c r="E75" t="s">
        <v>41</v>
      </c>
      <c r="F75" s="6">
        <v>58</v>
      </c>
      <c r="G75" s="6">
        <v>2496</v>
      </c>
      <c r="H75" s="6">
        <v>1820</v>
      </c>
      <c r="I75" s="6">
        <v>144768</v>
      </c>
      <c r="J75" s="6">
        <v>105560</v>
      </c>
    </row>
    <row r="76" spans="1:10">
      <c r="A76" s="5">
        <v>45413</v>
      </c>
      <c r="B76" t="s">
        <v>37</v>
      </c>
      <c r="C76" t="s">
        <v>38</v>
      </c>
      <c r="D76" t="s">
        <v>42</v>
      </c>
      <c r="E76" t="s">
        <v>40</v>
      </c>
      <c r="F76" s="6">
        <v>49</v>
      </c>
      <c r="G76" s="6">
        <v>2646.8</v>
      </c>
      <c r="H76" s="6">
        <v>1820</v>
      </c>
      <c r="I76" s="6">
        <v>129693.2</v>
      </c>
      <c r="J76" s="6">
        <v>89180</v>
      </c>
    </row>
    <row r="77" spans="1:10">
      <c r="A77" s="5">
        <v>45413</v>
      </c>
      <c r="B77" t="s">
        <v>37</v>
      </c>
      <c r="C77" t="s">
        <v>38</v>
      </c>
      <c r="D77" t="s">
        <v>42</v>
      </c>
      <c r="E77" t="s">
        <v>41</v>
      </c>
      <c r="F77" s="6">
        <v>25</v>
      </c>
      <c r="G77" s="6">
        <v>2496</v>
      </c>
      <c r="H77" s="6">
        <v>1820</v>
      </c>
      <c r="I77" s="6">
        <v>62400</v>
      </c>
      <c r="J77" s="6">
        <v>45500</v>
      </c>
    </row>
    <row r="78" spans="1:10">
      <c r="A78" s="5">
        <v>45413</v>
      </c>
      <c r="B78" t="s">
        <v>37</v>
      </c>
      <c r="C78" t="s">
        <v>38</v>
      </c>
      <c r="D78" t="s">
        <v>43</v>
      </c>
      <c r="E78" t="s">
        <v>40</v>
      </c>
      <c r="F78" s="6">
        <v>36</v>
      </c>
      <c r="G78" s="6">
        <v>2646.8</v>
      </c>
      <c r="H78" s="6">
        <v>1820</v>
      </c>
      <c r="I78" s="6">
        <v>95284.8</v>
      </c>
      <c r="J78" s="6">
        <v>65520</v>
      </c>
    </row>
    <row r="79" spans="1:10">
      <c r="A79" s="5">
        <v>45413</v>
      </c>
      <c r="B79" t="s">
        <v>37</v>
      </c>
      <c r="C79" t="s">
        <v>38</v>
      </c>
      <c r="D79" t="s">
        <v>43</v>
      </c>
      <c r="E79" t="s">
        <v>41</v>
      </c>
      <c r="F79" s="6">
        <v>18</v>
      </c>
      <c r="G79" s="6">
        <v>2496</v>
      </c>
      <c r="H79" s="6">
        <v>1820</v>
      </c>
      <c r="I79" s="6">
        <v>44928</v>
      </c>
      <c r="J79" s="6">
        <v>32760</v>
      </c>
    </row>
    <row r="80" spans="1:10">
      <c r="A80" s="5">
        <v>45413</v>
      </c>
      <c r="B80" t="s">
        <v>44</v>
      </c>
      <c r="C80" t="s">
        <v>45</v>
      </c>
      <c r="D80" t="s">
        <v>39</v>
      </c>
      <c r="E80" t="s">
        <v>40</v>
      </c>
      <c r="F80" s="6">
        <v>74</v>
      </c>
      <c r="G80" s="6">
        <v>1679.7</v>
      </c>
      <c r="H80" s="6">
        <v>990</v>
      </c>
      <c r="I80" s="6">
        <v>124297.8</v>
      </c>
      <c r="J80" s="6">
        <v>73260</v>
      </c>
    </row>
    <row r="81" spans="1:10">
      <c r="A81" s="5">
        <v>45413</v>
      </c>
      <c r="B81" t="s">
        <v>44</v>
      </c>
      <c r="C81" t="s">
        <v>45</v>
      </c>
      <c r="D81" t="s">
        <v>39</v>
      </c>
      <c r="E81" t="s">
        <v>41</v>
      </c>
      <c r="F81" s="6">
        <v>37</v>
      </c>
      <c r="G81" s="6">
        <v>1584</v>
      </c>
      <c r="H81" s="6">
        <v>990</v>
      </c>
      <c r="I81" s="6">
        <v>58608</v>
      </c>
      <c r="J81" s="6">
        <v>36630</v>
      </c>
    </row>
    <row r="82" spans="1:10">
      <c r="A82" s="5">
        <v>45413</v>
      </c>
      <c r="B82" t="s">
        <v>44</v>
      </c>
      <c r="C82" t="s">
        <v>45</v>
      </c>
      <c r="D82" t="s">
        <v>42</v>
      </c>
      <c r="E82" t="s">
        <v>40</v>
      </c>
      <c r="F82" s="6">
        <v>35</v>
      </c>
      <c r="G82" s="6">
        <v>1679.7</v>
      </c>
      <c r="H82" s="6">
        <v>990</v>
      </c>
      <c r="I82" s="6">
        <v>58789.5</v>
      </c>
      <c r="J82" s="6">
        <v>34650</v>
      </c>
    </row>
    <row r="83" spans="1:10">
      <c r="A83" s="5">
        <v>45413</v>
      </c>
      <c r="B83" t="s">
        <v>44</v>
      </c>
      <c r="C83" t="s">
        <v>45</v>
      </c>
      <c r="D83" t="s">
        <v>42</v>
      </c>
      <c r="E83" t="s">
        <v>41</v>
      </c>
      <c r="F83" s="6">
        <v>19</v>
      </c>
      <c r="G83" s="6">
        <v>1584</v>
      </c>
      <c r="H83" s="6">
        <v>990</v>
      </c>
      <c r="I83" s="6">
        <v>30096</v>
      </c>
      <c r="J83" s="6">
        <v>18810</v>
      </c>
    </row>
    <row r="84" spans="1:10">
      <c r="A84" s="5">
        <v>45413</v>
      </c>
      <c r="B84" t="s">
        <v>44</v>
      </c>
      <c r="C84" t="s">
        <v>45</v>
      </c>
      <c r="D84" t="s">
        <v>43</v>
      </c>
      <c r="E84" t="s">
        <v>40</v>
      </c>
      <c r="F84" s="6">
        <v>23</v>
      </c>
      <c r="G84" s="6">
        <v>1679.7</v>
      </c>
      <c r="H84" s="6">
        <v>990</v>
      </c>
      <c r="I84" s="6">
        <v>38633.1</v>
      </c>
      <c r="J84" s="6">
        <v>22770</v>
      </c>
    </row>
    <row r="85" spans="1:10">
      <c r="A85" s="5">
        <v>45413</v>
      </c>
      <c r="B85" t="s">
        <v>44</v>
      </c>
      <c r="C85" t="s">
        <v>45</v>
      </c>
      <c r="D85" t="s">
        <v>43</v>
      </c>
      <c r="E85" t="s">
        <v>41</v>
      </c>
      <c r="F85" s="6">
        <v>12</v>
      </c>
      <c r="G85" s="6">
        <v>1584</v>
      </c>
      <c r="H85" s="6">
        <v>990</v>
      </c>
      <c r="I85" s="6">
        <v>19008</v>
      </c>
      <c r="J85" s="6">
        <v>11880</v>
      </c>
    </row>
    <row r="86" spans="1:10">
      <c r="A86" s="5">
        <v>45413</v>
      </c>
      <c r="B86" t="s">
        <v>46</v>
      </c>
      <c r="C86" t="s">
        <v>47</v>
      </c>
      <c r="D86" t="s">
        <v>39</v>
      </c>
      <c r="E86" t="s">
        <v>40</v>
      </c>
      <c r="F86" s="6">
        <v>53</v>
      </c>
      <c r="G86" s="6">
        <v>692.24</v>
      </c>
      <c r="H86" s="6">
        <v>380</v>
      </c>
      <c r="I86" s="6">
        <v>36688.72</v>
      </c>
      <c r="J86" s="6">
        <v>20140</v>
      </c>
    </row>
    <row r="87" spans="1:10">
      <c r="A87" s="5">
        <v>45413</v>
      </c>
      <c r="B87" t="s">
        <v>46</v>
      </c>
      <c r="C87" t="s">
        <v>47</v>
      </c>
      <c r="D87" t="s">
        <v>39</v>
      </c>
      <c r="E87" t="s">
        <v>41</v>
      </c>
      <c r="F87" s="6">
        <v>28</v>
      </c>
      <c r="G87" s="6">
        <v>652.8</v>
      </c>
      <c r="H87" s="6">
        <v>380</v>
      </c>
      <c r="I87" s="6">
        <v>18278.4</v>
      </c>
      <c r="J87" s="6">
        <v>10640</v>
      </c>
    </row>
    <row r="88" spans="1:10">
      <c r="A88" s="5">
        <v>45413</v>
      </c>
      <c r="B88" t="s">
        <v>46</v>
      </c>
      <c r="C88" t="s">
        <v>47</v>
      </c>
      <c r="D88" t="s">
        <v>42</v>
      </c>
      <c r="E88" t="s">
        <v>40</v>
      </c>
      <c r="F88" s="6">
        <v>23</v>
      </c>
      <c r="G88" s="6">
        <v>692.24</v>
      </c>
      <c r="H88" s="6">
        <v>380</v>
      </c>
      <c r="I88" s="6">
        <v>15921.52</v>
      </c>
      <c r="J88" s="6">
        <v>8740</v>
      </c>
    </row>
    <row r="89" spans="1:10">
      <c r="A89" s="5">
        <v>45413</v>
      </c>
      <c r="B89" t="s">
        <v>46</v>
      </c>
      <c r="C89" t="s">
        <v>47</v>
      </c>
      <c r="D89" t="s">
        <v>42</v>
      </c>
      <c r="E89" t="s">
        <v>41</v>
      </c>
      <c r="F89" s="6">
        <v>13</v>
      </c>
      <c r="G89" s="6">
        <v>652.8</v>
      </c>
      <c r="H89" s="6">
        <v>380</v>
      </c>
      <c r="I89" s="6">
        <v>8486.4</v>
      </c>
      <c r="J89" s="6">
        <v>4940</v>
      </c>
    </row>
    <row r="90" spans="1:10">
      <c r="A90" s="5">
        <v>45413</v>
      </c>
      <c r="B90" t="s">
        <v>46</v>
      </c>
      <c r="C90" t="s">
        <v>47</v>
      </c>
      <c r="D90" t="s">
        <v>43</v>
      </c>
      <c r="E90" t="s">
        <v>40</v>
      </c>
      <c r="F90" s="6">
        <v>16</v>
      </c>
      <c r="G90" s="6">
        <v>692.24</v>
      </c>
      <c r="H90" s="6">
        <v>380</v>
      </c>
      <c r="I90" s="6">
        <v>11075.84</v>
      </c>
      <c r="J90" s="6">
        <v>6080</v>
      </c>
    </row>
    <row r="91" spans="1:10">
      <c r="A91" s="5">
        <v>45413</v>
      </c>
      <c r="B91" t="s">
        <v>46</v>
      </c>
      <c r="C91" t="s">
        <v>47</v>
      </c>
      <c r="D91" t="s">
        <v>43</v>
      </c>
      <c r="E91" t="s">
        <v>41</v>
      </c>
      <c r="F91" s="6">
        <v>9</v>
      </c>
      <c r="G91" s="6">
        <v>652.8</v>
      </c>
      <c r="H91" s="6">
        <v>380</v>
      </c>
      <c r="I91" s="6">
        <v>5875.2</v>
      </c>
      <c r="J91" s="6">
        <v>3420</v>
      </c>
    </row>
    <row r="92" spans="1:10">
      <c r="A92" s="5">
        <v>45444</v>
      </c>
      <c r="B92" t="s">
        <v>37</v>
      </c>
      <c r="C92" t="s">
        <v>38</v>
      </c>
      <c r="D92" t="s">
        <v>39</v>
      </c>
      <c r="E92" t="s">
        <v>40</v>
      </c>
      <c r="F92" s="6">
        <v>116</v>
      </c>
      <c r="G92" s="6">
        <v>2646.8</v>
      </c>
      <c r="H92" s="6">
        <v>1820</v>
      </c>
      <c r="I92" s="6">
        <v>307028.8</v>
      </c>
      <c r="J92" s="6">
        <v>211120</v>
      </c>
    </row>
    <row r="93" spans="1:10">
      <c r="A93" s="5">
        <v>45444</v>
      </c>
      <c r="B93" t="s">
        <v>37</v>
      </c>
      <c r="C93" t="s">
        <v>38</v>
      </c>
      <c r="D93" t="s">
        <v>39</v>
      </c>
      <c r="E93" t="s">
        <v>41</v>
      </c>
      <c r="F93" s="6">
        <v>55</v>
      </c>
      <c r="G93" s="6">
        <v>2496</v>
      </c>
      <c r="H93" s="6">
        <v>1820</v>
      </c>
      <c r="I93" s="6">
        <v>137280</v>
      </c>
      <c r="J93" s="6">
        <v>100100</v>
      </c>
    </row>
    <row r="94" spans="1:10">
      <c r="A94" s="5">
        <v>45444</v>
      </c>
      <c r="B94" t="s">
        <v>37</v>
      </c>
      <c r="C94" t="s">
        <v>38</v>
      </c>
      <c r="D94" t="s">
        <v>42</v>
      </c>
      <c r="E94" t="s">
        <v>40</v>
      </c>
      <c r="F94" s="6">
        <v>50</v>
      </c>
      <c r="G94" s="6">
        <v>2646.8</v>
      </c>
      <c r="H94" s="6">
        <v>1820</v>
      </c>
      <c r="I94" s="6">
        <v>132340</v>
      </c>
      <c r="J94" s="6">
        <v>91000</v>
      </c>
    </row>
    <row r="95" spans="1:10">
      <c r="A95" s="5">
        <v>45444</v>
      </c>
      <c r="B95" t="s">
        <v>37</v>
      </c>
      <c r="C95" t="s">
        <v>38</v>
      </c>
      <c r="D95" t="s">
        <v>42</v>
      </c>
      <c r="E95" t="s">
        <v>41</v>
      </c>
      <c r="F95" s="6">
        <v>28</v>
      </c>
      <c r="G95" s="6">
        <v>2496</v>
      </c>
      <c r="H95" s="6">
        <v>1820</v>
      </c>
      <c r="I95" s="6">
        <v>69888</v>
      </c>
      <c r="J95" s="6">
        <v>50960</v>
      </c>
    </row>
    <row r="96" spans="1:10">
      <c r="A96" s="5">
        <v>45444</v>
      </c>
      <c r="B96" t="s">
        <v>37</v>
      </c>
      <c r="C96" t="s">
        <v>38</v>
      </c>
      <c r="D96" t="s">
        <v>43</v>
      </c>
      <c r="E96" t="s">
        <v>40</v>
      </c>
      <c r="F96" s="6">
        <v>36</v>
      </c>
      <c r="G96" s="6">
        <v>2646.8</v>
      </c>
      <c r="H96" s="6">
        <v>1820</v>
      </c>
      <c r="I96" s="6">
        <v>95284.8</v>
      </c>
      <c r="J96" s="6">
        <v>65520</v>
      </c>
    </row>
    <row r="97" spans="1:10">
      <c r="A97" s="5">
        <v>45444</v>
      </c>
      <c r="B97" t="s">
        <v>37</v>
      </c>
      <c r="C97" t="s">
        <v>38</v>
      </c>
      <c r="D97" t="s">
        <v>43</v>
      </c>
      <c r="E97" t="s">
        <v>41</v>
      </c>
      <c r="F97" s="6">
        <v>18</v>
      </c>
      <c r="G97" s="6">
        <v>2496</v>
      </c>
      <c r="H97" s="6">
        <v>1820</v>
      </c>
      <c r="I97" s="6">
        <v>44928</v>
      </c>
      <c r="J97" s="6">
        <v>32760</v>
      </c>
    </row>
    <row r="98" spans="1:10">
      <c r="A98" s="5">
        <v>45444</v>
      </c>
      <c r="B98" t="s">
        <v>44</v>
      </c>
      <c r="C98" t="s">
        <v>45</v>
      </c>
      <c r="D98" t="s">
        <v>39</v>
      </c>
      <c r="E98" t="s">
        <v>40</v>
      </c>
      <c r="F98" s="6">
        <v>80</v>
      </c>
      <c r="G98" s="6">
        <v>1679.7</v>
      </c>
      <c r="H98" s="6">
        <v>990</v>
      </c>
      <c r="I98" s="6">
        <v>134376</v>
      </c>
      <c r="J98" s="6">
        <v>79200</v>
      </c>
    </row>
    <row r="99" spans="1:10">
      <c r="A99" s="5">
        <v>45444</v>
      </c>
      <c r="B99" t="s">
        <v>44</v>
      </c>
      <c r="C99" t="s">
        <v>45</v>
      </c>
      <c r="D99" t="s">
        <v>39</v>
      </c>
      <c r="E99" t="s">
        <v>41</v>
      </c>
      <c r="F99" s="6">
        <v>42</v>
      </c>
      <c r="G99" s="6">
        <v>1584</v>
      </c>
      <c r="H99" s="6">
        <v>990</v>
      </c>
      <c r="I99" s="6">
        <v>66528</v>
      </c>
      <c r="J99" s="6">
        <v>41580</v>
      </c>
    </row>
    <row r="100" spans="1:10">
      <c r="A100" s="5">
        <v>45444</v>
      </c>
      <c r="B100" t="s">
        <v>44</v>
      </c>
      <c r="C100" t="s">
        <v>45</v>
      </c>
      <c r="D100" t="s">
        <v>42</v>
      </c>
      <c r="E100" t="s">
        <v>40</v>
      </c>
      <c r="F100" s="6">
        <v>34</v>
      </c>
      <c r="G100" s="6">
        <v>1679.7</v>
      </c>
      <c r="H100" s="6">
        <v>990</v>
      </c>
      <c r="I100" s="6">
        <v>57109.8</v>
      </c>
      <c r="J100" s="6">
        <v>33660</v>
      </c>
    </row>
    <row r="101" spans="1:10">
      <c r="A101" s="5">
        <v>45444</v>
      </c>
      <c r="B101" t="s">
        <v>44</v>
      </c>
      <c r="C101" t="s">
        <v>45</v>
      </c>
      <c r="D101" t="s">
        <v>42</v>
      </c>
      <c r="E101" t="s">
        <v>41</v>
      </c>
      <c r="F101" s="6">
        <v>17</v>
      </c>
      <c r="G101" s="6">
        <v>1584</v>
      </c>
      <c r="H101" s="6">
        <v>990</v>
      </c>
      <c r="I101" s="6">
        <v>26928</v>
      </c>
      <c r="J101" s="6">
        <v>16830</v>
      </c>
    </row>
    <row r="102" spans="1:10">
      <c r="A102" s="5">
        <v>45444</v>
      </c>
      <c r="B102" t="s">
        <v>44</v>
      </c>
      <c r="C102" t="s">
        <v>45</v>
      </c>
      <c r="D102" t="s">
        <v>43</v>
      </c>
      <c r="E102" t="s">
        <v>40</v>
      </c>
      <c r="F102" s="6">
        <v>24</v>
      </c>
      <c r="G102" s="6">
        <v>1679.7</v>
      </c>
      <c r="H102" s="6">
        <v>990</v>
      </c>
      <c r="I102" s="6">
        <v>40312.8</v>
      </c>
      <c r="J102" s="6">
        <v>23760</v>
      </c>
    </row>
    <row r="103" spans="1:10">
      <c r="A103" s="5">
        <v>45444</v>
      </c>
      <c r="B103" t="s">
        <v>44</v>
      </c>
      <c r="C103" t="s">
        <v>45</v>
      </c>
      <c r="D103" t="s">
        <v>43</v>
      </c>
      <c r="E103" t="s">
        <v>41</v>
      </c>
      <c r="F103" s="6">
        <v>13</v>
      </c>
      <c r="G103" s="6">
        <v>1584</v>
      </c>
      <c r="H103" s="6">
        <v>990</v>
      </c>
      <c r="I103" s="6">
        <v>20592</v>
      </c>
      <c r="J103" s="6">
        <v>12870</v>
      </c>
    </row>
    <row r="104" spans="1:10">
      <c r="A104" s="5">
        <v>45444</v>
      </c>
      <c r="B104" t="s">
        <v>46</v>
      </c>
      <c r="C104" t="s">
        <v>47</v>
      </c>
      <c r="D104" t="s">
        <v>39</v>
      </c>
      <c r="E104" t="s">
        <v>40</v>
      </c>
      <c r="F104" s="6">
        <v>50</v>
      </c>
      <c r="G104" s="6">
        <v>692.24</v>
      </c>
      <c r="H104" s="6">
        <v>380</v>
      </c>
      <c r="I104" s="6">
        <v>34612</v>
      </c>
      <c r="J104" s="6">
        <v>19000</v>
      </c>
    </row>
    <row r="105" spans="1:10">
      <c r="A105" s="5">
        <v>45444</v>
      </c>
      <c r="B105" t="s">
        <v>46</v>
      </c>
      <c r="C105" t="s">
        <v>47</v>
      </c>
      <c r="D105" t="s">
        <v>39</v>
      </c>
      <c r="E105" t="s">
        <v>41</v>
      </c>
      <c r="F105" s="6">
        <v>29</v>
      </c>
      <c r="G105" s="6">
        <v>652.8</v>
      </c>
      <c r="H105" s="6">
        <v>380</v>
      </c>
      <c r="I105" s="6">
        <v>18931.2</v>
      </c>
      <c r="J105" s="6">
        <v>11020</v>
      </c>
    </row>
    <row r="106" spans="1:10">
      <c r="A106" s="5">
        <v>45444</v>
      </c>
      <c r="B106" t="s">
        <v>46</v>
      </c>
      <c r="C106" t="s">
        <v>47</v>
      </c>
      <c r="D106" t="s">
        <v>42</v>
      </c>
      <c r="E106" t="s">
        <v>40</v>
      </c>
      <c r="F106" s="6">
        <v>24</v>
      </c>
      <c r="G106" s="6">
        <v>692.24</v>
      </c>
      <c r="H106" s="6">
        <v>380</v>
      </c>
      <c r="I106" s="6">
        <v>16613.76</v>
      </c>
      <c r="J106" s="6">
        <v>9120</v>
      </c>
    </row>
    <row r="107" spans="1:10">
      <c r="A107" s="5">
        <v>45444</v>
      </c>
      <c r="B107" t="s">
        <v>46</v>
      </c>
      <c r="C107" t="s">
        <v>47</v>
      </c>
      <c r="D107" t="s">
        <v>42</v>
      </c>
      <c r="E107" t="s">
        <v>41</v>
      </c>
      <c r="F107" s="6">
        <v>13</v>
      </c>
      <c r="G107" s="6">
        <v>652.8</v>
      </c>
      <c r="H107" s="6">
        <v>380</v>
      </c>
      <c r="I107" s="6">
        <v>8486.4</v>
      </c>
      <c r="J107" s="6">
        <v>4940</v>
      </c>
    </row>
    <row r="108" spans="1:10">
      <c r="A108" s="5">
        <v>45444</v>
      </c>
      <c r="B108" t="s">
        <v>46</v>
      </c>
      <c r="C108" t="s">
        <v>47</v>
      </c>
      <c r="D108" t="s">
        <v>43</v>
      </c>
      <c r="E108" t="s">
        <v>40</v>
      </c>
      <c r="F108" s="6">
        <v>16</v>
      </c>
      <c r="G108" s="6">
        <v>692.24</v>
      </c>
      <c r="H108" s="6">
        <v>380</v>
      </c>
      <c r="I108" s="6">
        <v>11075.84</v>
      </c>
      <c r="J108" s="6">
        <v>6080</v>
      </c>
    </row>
    <row r="109" spans="1:10">
      <c r="A109" s="5">
        <v>45444</v>
      </c>
      <c r="B109" t="s">
        <v>46</v>
      </c>
      <c r="C109" t="s">
        <v>47</v>
      </c>
      <c r="D109" t="s">
        <v>43</v>
      </c>
      <c r="E109" t="s">
        <v>41</v>
      </c>
      <c r="F109" s="6">
        <v>9</v>
      </c>
      <c r="G109" s="6">
        <v>652.8</v>
      </c>
      <c r="H109" s="6">
        <v>380</v>
      </c>
      <c r="I109" s="6">
        <v>5875.2</v>
      </c>
      <c r="J109" s="6">
        <v>3420</v>
      </c>
    </row>
    <row r="110" spans="1:10">
      <c r="A110" s="5">
        <v>45474</v>
      </c>
      <c r="B110" t="s">
        <v>37</v>
      </c>
      <c r="C110" t="s">
        <v>38</v>
      </c>
      <c r="D110" t="s">
        <v>39</v>
      </c>
      <c r="E110" t="s">
        <v>40</v>
      </c>
      <c r="F110" s="6">
        <v>95</v>
      </c>
      <c r="G110" s="6">
        <v>2646.8</v>
      </c>
      <c r="H110" s="6">
        <v>1820</v>
      </c>
      <c r="I110" s="6">
        <v>251446</v>
      </c>
      <c r="J110" s="6">
        <v>172900</v>
      </c>
    </row>
    <row r="111" spans="1:10">
      <c r="A111" s="5">
        <v>45474</v>
      </c>
      <c r="B111" t="s">
        <v>37</v>
      </c>
      <c r="C111" t="s">
        <v>38</v>
      </c>
      <c r="D111" t="s">
        <v>39</v>
      </c>
      <c r="E111" t="s">
        <v>41</v>
      </c>
      <c r="F111" s="6">
        <v>52</v>
      </c>
      <c r="G111" s="6">
        <v>2496</v>
      </c>
      <c r="H111" s="6">
        <v>1820</v>
      </c>
      <c r="I111" s="6">
        <v>129792</v>
      </c>
      <c r="J111" s="6">
        <v>94640</v>
      </c>
    </row>
    <row r="112" spans="1:10">
      <c r="A112" s="5">
        <v>45474</v>
      </c>
      <c r="B112" t="s">
        <v>37</v>
      </c>
      <c r="C112" t="s">
        <v>38</v>
      </c>
      <c r="D112" t="s">
        <v>42</v>
      </c>
      <c r="E112" t="s">
        <v>40</v>
      </c>
      <c r="F112" s="6">
        <v>49</v>
      </c>
      <c r="G112" s="6">
        <v>2646.8</v>
      </c>
      <c r="H112" s="6">
        <v>1820</v>
      </c>
      <c r="I112" s="6">
        <v>129693.2</v>
      </c>
      <c r="J112" s="6">
        <v>89180</v>
      </c>
    </row>
    <row r="113" spans="1:10">
      <c r="A113" s="5">
        <v>45474</v>
      </c>
      <c r="B113" t="s">
        <v>37</v>
      </c>
      <c r="C113" t="s">
        <v>38</v>
      </c>
      <c r="D113" t="s">
        <v>42</v>
      </c>
      <c r="E113" t="s">
        <v>41</v>
      </c>
      <c r="F113" s="6">
        <v>24</v>
      </c>
      <c r="G113" s="6">
        <v>2496</v>
      </c>
      <c r="H113" s="6">
        <v>1820</v>
      </c>
      <c r="I113" s="6">
        <v>59904</v>
      </c>
      <c r="J113" s="6">
        <v>43680</v>
      </c>
    </row>
    <row r="114" spans="1:10">
      <c r="A114" s="5">
        <v>45474</v>
      </c>
      <c r="B114" t="s">
        <v>37</v>
      </c>
      <c r="C114" t="s">
        <v>38</v>
      </c>
      <c r="D114" t="s">
        <v>43</v>
      </c>
      <c r="E114" t="s">
        <v>40</v>
      </c>
      <c r="F114" s="6">
        <v>34</v>
      </c>
      <c r="G114" s="6">
        <v>2646.8</v>
      </c>
      <c r="H114" s="6">
        <v>1820</v>
      </c>
      <c r="I114" s="6">
        <v>89991.2</v>
      </c>
      <c r="J114" s="6">
        <v>61880</v>
      </c>
    </row>
    <row r="115" spans="1:10">
      <c r="A115" s="5">
        <v>45474</v>
      </c>
      <c r="B115" t="s">
        <v>37</v>
      </c>
      <c r="C115" t="s">
        <v>38</v>
      </c>
      <c r="D115" t="s">
        <v>43</v>
      </c>
      <c r="E115" t="s">
        <v>41</v>
      </c>
      <c r="F115" s="6">
        <v>16</v>
      </c>
      <c r="G115" s="6">
        <v>2496</v>
      </c>
      <c r="H115" s="6">
        <v>1820</v>
      </c>
      <c r="I115" s="6">
        <v>39936</v>
      </c>
      <c r="J115" s="6">
        <v>29120</v>
      </c>
    </row>
    <row r="116" spans="1:10">
      <c r="A116" s="5">
        <v>45474</v>
      </c>
      <c r="B116" t="s">
        <v>44</v>
      </c>
      <c r="C116" t="s">
        <v>45</v>
      </c>
      <c r="D116" t="s">
        <v>39</v>
      </c>
      <c r="E116" t="s">
        <v>40</v>
      </c>
      <c r="F116" s="6">
        <v>65</v>
      </c>
      <c r="G116" s="6">
        <v>1679.7</v>
      </c>
      <c r="H116" s="6">
        <v>990</v>
      </c>
      <c r="I116" s="6">
        <v>109180.5</v>
      </c>
      <c r="J116" s="6">
        <v>64350</v>
      </c>
    </row>
    <row r="117" spans="1:10">
      <c r="A117" s="5">
        <v>45474</v>
      </c>
      <c r="B117" t="s">
        <v>44</v>
      </c>
      <c r="C117" t="s">
        <v>45</v>
      </c>
      <c r="D117" t="s">
        <v>39</v>
      </c>
      <c r="E117" t="s">
        <v>41</v>
      </c>
      <c r="F117" s="6">
        <v>35</v>
      </c>
      <c r="G117" s="6">
        <v>1584</v>
      </c>
      <c r="H117" s="6">
        <v>990</v>
      </c>
      <c r="I117" s="6">
        <v>55440</v>
      </c>
      <c r="J117" s="6">
        <v>34650</v>
      </c>
    </row>
    <row r="118" spans="1:10">
      <c r="A118" s="5">
        <v>45474</v>
      </c>
      <c r="B118" t="s">
        <v>44</v>
      </c>
      <c r="C118" t="s">
        <v>45</v>
      </c>
      <c r="D118" t="s">
        <v>42</v>
      </c>
      <c r="E118" t="s">
        <v>40</v>
      </c>
      <c r="F118" s="6">
        <v>30</v>
      </c>
      <c r="G118" s="6">
        <v>1679.7</v>
      </c>
      <c r="H118" s="6">
        <v>990</v>
      </c>
      <c r="I118" s="6">
        <v>50391</v>
      </c>
      <c r="J118" s="6">
        <v>29700</v>
      </c>
    </row>
    <row r="119" spans="1:10">
      <c r="A119" s="5">
        <v>45474</v>
      </c>
      <c r="B119" t="s">
        <v>44</v>
      </c>
      <c r="C119" t="s">
        <v>45</v>
      </c>
      <c r="D119" t="s">
        <v>42</v>
      </c>
      <c r="E119" t="s">
        <v>41</v>
      </c>
      <c r="F119" s="6">
        <v>17</v>
      </c>
      <c r="G119" s="6">
        <v>1584</v>
      </c>
      <c r="H119" s="6">
        <v>990</v>
      </c>
      <c r="I119" s="6">
        <v>26928</v>
      </c>
      <c r="J119" s="6">
        <v>16830</v>
      </c>
    </row>
    <row r="120" spans="1:10">
      <c r="A120" s="5">
        <v>45474</v>
      </c>
      <c r="B120" t="s">
        <v>44</v>
      </c>
      <c r="C120" t="s">
        <v>45</v>
      </c>
      <c r="D120" t="s">
        <v>43</v>
      </c>
      <c r="E120" t="s">
        <v>40</v>
      </c>
      <c r="F120" s="6">
        <v>21</v>
      </c>
      <c r="G120" s="6">
        <v>1679.7</v>
      </c>
      <c r="H120" s="6">
        <v>990</v>
      </c>
      <c r="I120" s="6">
        <v>35273.7</v>
      </c>
      <c r="J120" s="6">
        <v>20790</v>
      </c>
    </row>
    <row r="121" spans="1:10">
      <c r="A121" s="5">
        <v>45474</v>
      </c>
      <c r="B121" t="s">
        <v>44</v>
      </c>
      <c r="C121" t="s">
        <v>45</v>
      </c>
      <c r="D121" t="s">
        <v>43</v>
      </c>
      <c r="E121" t="s">
        <v>41</v>
      </c>
      <c r="F121" s="6">
        <v>12</v>
      </c>
      <c r="G121" s="6">
        <v>1584</v>
      </c>
      <c r="H121" s="6">
        <v>990</v>
      </c>
      <c r="I121" s="6">
        <v>19008</v>
      </c>
      <c r="J121" s="6">
        <v>11880</v>
      </c>
    </row>
    <row r="122" spans="1:10">
      <c r="A122" s="5">
        <v>45474</v>
      </c>
      <c r="B122" t="s">
        <v>46</v>
      </c>
      <c r="C122" t="s">
        <v>47</v>
      </c>
      <c r="D122" t="s">
        <v>39</v>
      </c>
      <c r="E122" t="s">
        <v>40</v>
      </c>
      <c r="F122" s="6">
        <v>46</v>
      </c>
      <c r="G122" s="6">
        <v>692.24</v>
      </c>
      <c r="H122" s="6">
        <v>380</v>
      </c>
      <c r="I122" s="6">
        <v>31843.04</v>
      </c>
      <c r="J122" s="6">
        <v>17480</v>
      </c>
    </row>
    <row r="123" spans="1:10">
      <c r="A123" s="5">
        <v>45474</v>
      </c>
      <c r="B123" t="s">
        <v>46</v>
      </c>
      <c r="C123" t="s">
        <v>47</v>
      </c>
      <c r="D123" t="s">
        <v>39</v>
      </c>
      <c r="E123" t="s">
        <v>41</v>
      </c>
      <c r="F123" s="6">
        <v>24</v>
      </c>
      <c r="G123" s="6">
        <v>652.8</v>
      </c>
      <c r="H123" s="6">
        <v>380</v>
      </c>
      <c r="I123" s="6">
        <v>15667.2</v>
      </c>
      <c r="J123" s="6">
        <v>9120</v>
      </c>
    </row>
    <row r="124" spans="1:10">
      <c r="A124" s="5">
        <v>45474</v>
      </c>
      <c r="B124" t="s">
        <v>46</v>
      </c>
      <c r="C124" t="s">
        <v>47</v>
      </c>
      <c r="D124" t="s">
        <v>42</v>
      </c>
      <c r="E124" t="s">
        <v>40</v>
      </c>
      <c r="F124" s="6">
        <v>23</v>
      </c>
      <c r="G124" s="6">
        <v>692.24</v>
      </c>
      <c r="H124" s="6">
        <v>380</v>
      </c>
      <c r="I124" s="6">
        <v>15921.52</v>
      </c>
      <c r="J124" s="6">
        <v>8740</v>
      </c>
    </row>
    <row r="125" spans="1:10">
      <c r="A125" s="5">
        <v>45474</v>
      </c>
      <c r="B125" t="s">
        <v>46</v>
      </c>
      <c r="C125" t="s">
        <v>47</v>
      </c>
      <c r="D125" t="s">
        <v>42</v>
      </c>
      <c r="E125" t="s">
        <v>41</v>
      </c>
      <c r="F125" s="6">
        <v>12</v>
      </c>
      <c r="G125" s="6">
        <v>652.8</v>
      </c>
      <c r="H125" s="6">
        <v>380</v>
      </c>
      <c r="I125" s="6">
        <v>7833.6</v>
      </c>
      <c r="J125" s="6">
        <v>4560</v>
      </c>
    </row>
    <row r="126" spans="1:10">
      <c r="A126" s="5">
        <v>45474</v>
      </c>
      <c r="B126" t="s">
        <v>46</v>
      </c>
      <c r="C126" t="s">
        <v>47</v>
      </c>
      <c r="D126" t="s">
        <v>43</v>
      </c>
      <c r="E126" t="s">
        <v>40</v>
      </c>
      <c r="F126" s="6">
        <v>15</v>
      </c>
      <c r="G126" s="6">
        <v>692.24</v>
      </c>
      <c r="H126" s="6">
        <v>380</v>
      </c>
      <c r="I126" s="6">
        <v>10383.6</v>
      </c>
      <c r="J126" s="6">
        <v>5700</v>
      </c>
    </row>
    <row r="127" spans="1:10">
      <c r="A127" s="5">
        <v>45474</v>
      </c>
      <c r="B127" t="s">
        <v>46</v>
      </c>
      <c r="C127" t="s">
        <v>47</v>
      </c>
      <c r="D127" t="s">
        <v>43</v>
      </c>
      <c r="E127" t="s">
        <v>41</v>
      </c>
      <c r="F127" s="6">
        <v>8</v>
      </c>
      <c r="G127" s="6">
        <v>652.8</v>
      </c>
      <c r="H127" s="6">
        <v>380</v>
      </c>
      <c r="I127" s="6">
        <v>5222.4</v>
      </c>
      <c r="J127" s="6">
        <v>3040</v>
      </c>
    </row>
    <row r="128" spans="1:10">
      <c r="A128" s="5">
        <v>45505</v>
      </c>
      <c r="B128" t="s">
        <v>37</v>
      </c>
      <c r="C128" t="s">
        <v>38</v>
      </c>
      <c r="D128" t="s">
        <v>39</v>
      </c>
      <c r="E128" t="s">
        <v>40</v>
      </c>
      <c r="F128" s="6">
        <v>104</v>
      </c>
      <c r="G128" s="6">
        <v>2646.8</v>
      </c>
      <c r="H128" s="6">
        <v>1820</v>
      </c>
      <c r="I128" s="6">
        <v>275267.2</v>
      </c>
      <c r="J128" s="6">
        <v>189280</v>
      </c>
    </row>
    <row r="129" spans="1:10">
      <c r="A129" s="5">
        <v>45505</v>
      </c>
      <c r="B129" t="s">
        <v>37</v>
      </c>
      <c r="C129" t="s">
        <v>38</v>
      </c>
      <c r="D129" t="s">
        <v>39</v>
      </c>
      <c r="E129" t="s">
        <v>41</v>
      </c>
      <c r="F129" s="6">
        <v>54</v>
      </c>
      <c r="G129" s="6">
        <v>2496</v>
      </c>
      <c r="H129" s="6">
        <v>1820</v>
      </c>
      <c r="I129" s="6">
        <v>134784</v>
      </c>
      <c r="J129" s="6">
        <v>98280</v>
      </c>
    </row>
    <row r="130" spans="1:10">
      <c r="A130" s="5">
        <v>45505</v>
      </c>
      <c r="B130" t="s">
        <v>37</v>
      </c>
      <c r="C130" t="s">
        <v>38</v>
      </c>
      <c r="D130" t="s">
        <v>42</v>
      </c>
      <c r="E130" t="s">
        <v>40</v>
      </c>
      <c r="F130" s="6">
        <v>50</v>
      </c>
      <c r="G130" s="6">
        <v>2646.8</v>
      </c>
      <c r="H130" s="6">
        <v>1820</v>
      </c>
      <c r="I130" s="6">
        <v>132340</v>
      </c>
      <c r="J130" s="6">
        <v>91000</v>
      </c>
    </row>
    <row r="131" spans="1:10">
      <c r="A131" s="5">
        <v>45505</v>
      </c>
      <c r="B131" t="s">
        <v>37</v>
      </c>
      <c r="C131" t="s">
        <v>38</v>
      </c>
      <c r="D131" t="s">
        <v>42</v>
      </c>
      <c r="E131" t="s">
        <v>41</v>
      </c>
      <c r="F131" s="6">
        <v>26</v>
      </c>
      <c r="G131" s="6">
        <v>2496</v>
      </c>
      <c r="H131" s="6">
        <v>1820</v>
      </c>
      <c r="I131" s="6">
        <v>64896</v>
      </c>
      <c r="J131" s="6">
        <v>47320</v>
      </c>
    </row>
    <row r="132" spans="1:10">
      <c r="A132" s="5">
        <v>45505</v>
      </c>
      <c r="B132" t="s">
        <v>37</v>
      </c>
      <c r="C132" t="s">
        <v>38</v>
      </c>
      <c r="D132" t="s">
        <v>43</v>
      </c>
      <c r="E132" t="s">
        <v>40</v>
      </c>
      <c r="F132" s="6">
        <v>35</v>
      </c>
      <c r="G132" s="6">
        <v>2646.8</v>
      </c>
      <c r="H132" s="6">
        <v>1820</v>
      </c>
      <c r="I132" s="6">
        <v>92638</v>
      </c>
      <c r="J132" s="6">
        <v>63700</v>
      </c>
    </row>
    <row r="133" spans="1:10">
      <c r="A133" s="5">
        <v>45505</v>
      </c>
      <c r="B133" t="s">
        <v>37</v>
      </c>
      <c r="C133" t="s">
        <v>38</v>
      </c>
      <c r="D133" t="s">
        <v>43</v>
      </c>
      <c r="E133" t="s">
        <v>41</v>
      </c>
      <c r="F133" s="6">
        <v>19</v>
      </c>
      <c r="G133" s="6">
        <v>2496</v>
      </c>
      <c r="H133" s="6">
        <v>1820</v>
      </c>
      <c r="I133" s="6">
        <v>47424</v>
      </c>
      <c r="J133" s="6">
        <v>34580</v>
      </c>
    </row>
    <row r="134" spans="1:10">
      <c r="A134" s="5">
        <v>45505</v>
      </c>
      <c r="B134" t="s">
        <v>44</v>
      </c>
      <c r="C134" t="s">
        <v>45</v>
      </c>
      <c r="D134" t="s">
        <v>39</v>
      </c>
      <c r="E134" t="s">
        <v>40</v>
      </c>
      <c r="F134" s="6">
        <v>74</v>
      </c>
      <c r="G134" s="6">
        <v>1679.7</v>
      </c>
      <c r="H134" s="6">
        <v>990</v>
      </c>
      <c r="I134" s="6">
        <v>124297.8</v>
      </c>
      <c r="J134" s="6">
        <v>73260</v>
      </c>
    </row>
    <row r="135" spans="1:10">
      <c r="A135" s="5">
        <v>45505</v>
      </c>
      <c r="B135" t="s">
        <v>44</v>
      </c>
      <c r="C135" t="s">
        <v>45</v>
      </c>
      <c r="D135" t="s">
        <v>39</v>
      </c>
      <c r="E135" t="s">
        <v>41</v>
      </c>
      <c r="F135" s="6">
        <v>38</v>
      </c>
      <c r="G135" s="6">
        <v>1584</v>
      </c>
      <c r="H135" s="6">
        <v>990</v>
      </c>
      <c r="I135" s="6">
        <v>60192</v>
      </c>
      <c r="J135" s="6">
        <v>37620</v>
      </c>
    </row>
    <row r="136" spans="1:10">
      <c r="A136" s="5">
        <v>45505</v>
      </c>
      <c r="B136" t="s">
        <v>44</v>
      </c>
      <c r="C136" t="s">
        <v>45</v>
      </c>
      <c r="D136" t="s">
        <v>42</v>
      </c>
      <c r="E136" t="s">
        <v>40</v>
      </c>
      <c r="F136" s="6">
        <v>34</v>
      </c>
      <c r="G136" s="6">
        <v>1679.7</v>
      </c>
      <c r="H136" s="6">
        <v>990</v>
      </c>
      <c r="I136" s="6">
        <v>57109.8</v>
      </c>
      <c r="J136" s="6">
        <v>33660</v>
      </c>
    </row>
    <row r="137" spans="1:10">
      <c r="A137" s="5">
        <v>45505</v>
      </c>
      <c r="B137" t="s">
        <v>44</v>
      </c>
      <c r="C137" t="s">
        <v>45</v>
      </c>
      <c r="D137" t="s">
        <v>42</v>
      </c>
      <c r="E137" t="s">
        <v>41</v>
      </c>
      <c r="F137" s="6">
        <v>18</v>
      </c>
      <c r="G137" s="6">
        <v>1584</v>
      </c>
      <c r="H137" s="6">
        <v>990</v>
      </c>
      <c r="I137" s="6">
        <v>28512</v>
      </c>
      <c r="J137" s="6">
        <v>17820</v>
      </c>
    </row>
    <row r="138" spans="1:10">
      <c r="A138" s="5">
        <v>45505</v>
      </c>
      <c r="B138" t="s">
        <v>44</v>
      </c>
      <c r="C138" t="s">
        <v>45</v>
      </c>
      <c r="D138" t="s">
        <v>43</v>
      </c>
      <c r="E138" t="s">
        <v>40</v>
      </c>
      <c r="F138" s="6">
        <v>25</v>
      </c>
      <c r="G138" s="6">
        <v>1679.7</v>
      </c>
      <c r="H138" s="6">
        <v>990</v>
      </c>
      <c r="I138" s="6">
        <v>41992.5</v>
      </c>
      <c r="J138" s="6">
        <v>24750</v>
      </c>
    </row>
    <row r="139" spans="1:10">
      <c r="A139" s="5">
        <v>45505</v>
      </c>
      <c r="B139" t="s">
        <v>44</v>
      </c>
      <c r="C139" t="s">
        <v>45</v>
      </c>
      <c r="D139" t="s">
        <v>43</v>
      </c>
      <c r="E139" t="s">
        <v>41</v>
      </c>
      <c r="F139" s="6">
        <v>12</v>
      </c>
      <c r="G139" s="6">
        <v>1584</v>
      </c>
      <c r="H139" s="6">
        <v>990</v>
      </c>
      <c r="I139" s="6">
        <v>19008</v>
      </c>
      <c r="J139" s="6">
        <v>11880</v>
      </c>
    </row>
    <row r="140" spans="1:10">
      <c r="A140" s="5">
        <v>45505</v>
      </c>
      <c r="B140" t="s">
        <v>46</v>
      </c>
      <c r="C140" t="s">
        <v>47</v>
      </c>
      <c r="D140" t="s">
        <v>39</v>
      </c>
      <c r="E140" t="s">
        <v>40</v>
      </c>
      <c r="F140" s="6">
        <v>50</v>
      </c>
      <c r="G140" s="6">
        <v>692.24</v>
      </c>
      <c r="H140" s="6">
        <v>380</v>
      </c>
      <c r="I140" s="6">
        <v>34612</v>
      </c>
      <c r="J140" s="6">
        <v>19000</v>
      </c>
    </row>
    <row r="141" spans="1:10">
      <c r="A141" s="5">
        <v>45505</v>
      </c>
      <c r="B141" t="s">
        <v>46</v>
      </c>
      <c r="C141" t="s">
        <v>47</v>
      </c>
      <c r="D141" t="s">
        <v>39</v>
      </c>
      <c r="E141" t="s">
        <v>41</v>
      </c>
      <c r="F141" s="6">
        <v>27</v>
      </c>
      <c r="G141" s="6">
        <v>652.8</v>
      </c>
      <c r="H141" s="6">
        <v>380</v>
      </c>
      <c r="I141" s="6">
        <v>17625.6</v>
      </c>
      <c r="J141" s="6">
        <v>10260</v>
      </c>
    </row>
    <row r="142" spans="1:10">
      <c r="A142" s="5">
        <v>45505</v>
      </c>
      <c r="B142" t="s">
        <v>46</v>
      </c>
      <c r="C142" t="s">
        <v>47</v>
      </c>
      <c r="D142" t="s">
        <v>42</v>
      </c>
      <c r="E142" t="s">
        <v>40</v>
      </c>
      <c r="F142" s="6">
        <v>24</v>
      </c>
      <c r="G142" s="6">
        <v>692.24</v>
      </c>
      <c r="H142" s="6">
        <v>380</v>
      </c>
      <c r="I142" s="6">
        <v>16613.76</v>
      </c>
      <c r="J142" s="6">
        <v>9120</v>
      </c>
    </row>
    <row r="143" spans="1:10">
      <c r="A143" s="5">
        <v>45505</v>
      </c>
      <c r="B143" t="s">
        <v>46</v>
      </c>
      <c r="C143" t="s">
        <v>47</v>
      </c>
      <c r="D143" t="s">
        <v>42</v>
      </c>
      <c r="E143" t="s">
        <v>41</v>
      </c>
      <c r="F143" s="6">
        <v>13</v>
      </c>
      <c r="G143" s="6">
        <v>652.8</v>
      </c>
      <c r="H143" s="6">
        <v>380</v>
      </c>
      <c r="I143" s="6">
        <v>8486.4</v>
      </c>
      <c r="J143" s="6">
        <v>4940</v>
      </c>
    </row>
    <row r="144" spans="1:10">
      <c r="A144" s="5">
        <v>45505</v>
      </c>
      <c r="B144" t="s">
        <v>46</v>
      </c>
      <c r="C144" t="s">
        <v>47</v>
      </c>
      <c r="D144" t="s">
        <v>43</v>
      </c>
      <c r="E144" t="s">
        <v>40</v>
      </c>
      <c r="F144" s="6">
        <v>17</v>
      </c>
      <c r="G144" s="6">
        <v>692.24</v>
      </c>
      <c r="H144" s="6">
        <v>380</v>
      </c>
      <c r="I144" s="6">
        <v>11768.08</v>
      </c>
      <c r="J144" s="6">
        <v>6460</v>
      </c>
    </row>
    <row r="145" spans="1:10">
      <c r="A145" s="5">
        <v>45505</v>
      </c>
      <c r="B145" t="s">
        <v>46</v>
      </c>
      <c r="C145" t="s">
        <v>47</v>
      </c>
      <c r="D145" t="s">
        <v>43</v>
      </c>
      <c r="E145" t="s">
        <v>41</v>
      </c>
      <c r="F145" s="6">
        <v>9</v>
      </c>
      <c r="G145" s="6">
        <v>652.8</v>
      </c>
      <c r="H145" s="6">
        <v>380</v>
      </c>
      <c r="I145" s="6">
        <v>5875.2</v>
      </c>
      <c r="J145" s="6">
        <v>3420</v>
      </c>
    </row>
    <row r="146" spans="1:10">
      <c r="A146" s="5">
        <v>45536</v>
      </c>
      <c r="B146" t="s">
        <v>37</v>
      </c>
      <c r="C146" t="s">
        <v>38</v>
      </c>
      <c r="D146" t="s">
        <v>39</v>
      </c>
      <c r="E146" t="s">
        <v>40</v>
      </c>
      <c r="F146" s="6">
        <v>111</v>
      </c>
      <c r="G146" s="6">
        <v>2646.8</v>
      </c>
      <c r="H146" s="6">
        <v>1820</v>
      </c>
      <c r="I146" s="6">
        <v>293794.8</v>
      </c>
      <c r="J146" s="6">
        <v>202020</v>
      </c>
    </row>
    <row r="147" spans="1:10">
      <c r="A147" s="5">
        <v>45536</v>
      </c>
      <c r="B147" t="s">
        <v>37</v>
      </c>
      <c r="C147" t="s">
        <v>38</v>
      </c>
      <c r="D147" t="s">
        <v>39</v>
      </c>
      <c r="E147" t="s">
        <v>41</v>
      </c>
      <c r="F147" s="6">
        <v>54</v>
      </c>
      <c r="G147" s="6">
        <v>2496</v>
      </c>
      <c r="H147" s="6">
        <v>1820</v>
      </c>
      <c r="I147" s="6">
        <v>134784</v>
      </c>
      <c r="J147" s="6">
        <v>98280</v>
      </c>
    </row>
    <row r="148" spans="1:10">
      <c r="A148" s="5">
        <v>45536</v>
      </c>
      <c r="B148" t="s">
        <v>37</v>
      </c>
      <c r="C148" t="s">
        <v>38</v>
      </c>
      <c r="D148" t="s">
        <v>42</v>
      </c>
      <c r="E148" t="s">
        <v>40</v>
      </c>
      <c r="F148" s="6">
        <v>51</v>
      </c>
      <c r="G148" s="6">
        <v>2646.8</v>
      </c>
      <c r="H148" s="6">
        <v>1820</v>
      </c>
      <c r="I148" s="6">
        <v>134986.8</v>
      </c>
      <c r="J148" s="6">
        <v>92820</v>
      </c>
    </row>
    <row r="149" spans="1:10">
      <c r="A149" s="5">
        <v>45536</v>
      </c>
      <c r="B149" t="s">
        <v>37</v>
      </c>
      <c r="C149" t="s">
        <v>38</v>
      </c>
      <c r="D149" t="s">
        <v>42</v>
      </c>
      <c r="E149" t="s">
        <v>41</v>
      </c>
      <c r="F149" s="6">
        <v>26</v>
      </c>
      <c r="G149" s="6">
        <v>2496</v>
      </c>
      <c r="H149" s="6">
        <v>1820</v>
      </c>
      <c r="I149" s="6">
        <v>64896</v>
      </c>
      <c r="J149" s="6">
        <v>47320</v>
      </c>
    </row>
    <row r="150" spans="1:10">
      <c r="A150" s="5">
        <v>45536</v>
      </c>
      <c r="B150" t="s">
        <v>37</v>
      </c>
      <c r="C150" t="s">
        <v>38</v>
      </c>
      <c r="D150" t="s">
        <v>43</v>
      </c>
      <c r="E150" t="s">
        <v>40</v>
      </c>
      <c r="F150" s="6">
        <v>37</v>
      </c>
      <c r="G150" s="6">
        <v>2646.8</v>
      </c>
      <c r="H150" s="6">
        <v>1820</v>
      </c>
      <c r="I150" s="6">
        <v>97931.60000000001</v>
      </c>
      <c r="J150" s="6">
        <v>67340</v>
      </c>
    </row>
    <row r="151" spans="1:10">
      <c r="A151" s="5">
        <v>45536</v>
      </c>
      <c r="B151" t="s">
        <v>37</v>
      </c>
      <c r="C151" t="s">
        <v>38</v>
      </c>
      <c r="D151" t="s">
        <v>43</v>
      </c>
      <c r="E151" t="s">
        <v>41</v>
      </c>
      <c r="F151" s="6">
        <v>18</v>
      </c>
      <c r="G151" s="6">
        <v>2496</v>
      </c>
      <c r="H151" s="6">
        <v>1820</v>
      </c>
      <c r="I151" s="6">
        <v>44928</v>
      </c>
      <c r="J151" s="6">
        <v>32760</v>
      </c>
    </row>
    <row r="152" spans="1:10">
      <c r="A152" s="5">
        <v>45536</v>
      </c>
      <c r="B152" t="s">
        <v>44</v>
      </c>
      <c r="C152" t="s">
        <v>45</v>
      </c>
      <c r="D152" t="s">
        <v>39</v>
      </c>
      <c r="E152" t="s">
        <v>40</v>
      </c>
      <c r="F152" s="6">
        <v>81</v>
      </c>
      <c r="G152" s="6">
        <v>1679.7</v>
      </c>
      <c r="H152" s="6">
        <v>990</v>
      </c>
      <c r="I152" s="6">
        <v>136055.7</v>
      </c>
      <c r="J152" s="6">
        <v>80190</v>
      </c>
    </row>
    <row r="153" spans="1:10">
      <c r="A153" s="5">
        <v>45536</v>
      </c>
      <c r="B153" t="s">
        <v>44</v>
      </c>
      <c r="C153" t="s">
        <v>45</v>
      </c>
      <c r="D153" t="s">
        <v>39</v>
      </c>
      <c r="E153" t="s">
        <v>41</v>
      </c>
      <c r="F153" s="6">
        <v>39</v>
      </c>
      <c r="G153" s="6">
        <v>1584</v>
      </c>
      <c r="H153" s="6">
        <v>990</v>
      </c>
      <c r="I153" s="6">
        <v>61776</v>
      </c>
      <c r="J153" s="6">
        <v>38610</v>
      </c>
    </row>
    <row r="154" spans="1:10">
      <c r="A154" s="5">
        <v>45536</v>
      </c>
      <c r="B154" t="s">
        <v>44</v>
      </c>
      <c r="C154" t="s">
        <v>45</v>
      </c>
      <c r="D154" t="s">
        <v>42</v>
      </c>
      <c r="E154" t="s">
        <v>40</v>
      </c>
      <c r="F154" s="6">
        <v>36</v>
      </c>
      <c r="G154" s="6">
        <v>1679.7</v>
      </c>
      <c r="H154" s="6">
        <v>990</v>
      </c>
      <c r="I154" s="6">
        <v>60469.2</v>
      </c>
      <c r="J154" s="6">
        <v>35640</v>
      </c>
    </row>
    <row r="155" spans="1:10">
      <c r="A155" s="5">
        <v>45536</v>
      </c>
      <c r="B155" t="s">
        <v>44</v>
      </c>
      <c r="C155" t="s">
        <v>45</v>
      </c>
      <c r="D155" t="s">
        <v>42</v>
      </c>
      <c r="E155" t="s">
        <v>41</v>
      </c>
      <c r="F155" s="6">
        <v>19</v>
      </c>
      <c r="G155" s="6">
        <v>1584</v>
      </c>
      <c r="H155" s="6">
        <v>990</v>
      </c>
      <c r="I155" s="6">
        <v>30096</v>
      </c>
      <c r="J155" s="6">
        <v>18810</v>
      </c>
    </row>
    <row r="156" spans="1:10">
      <c r="A156" s="5">
        <v>45536</v>
      </c>
      <c r="B156" t="s">
        <v>44</v>
      </c>
      <c r="C156" t="s">
        <v>45</v>
      </c>
      <c r="D156" t="s">
        <v>43</v>
      </c>
      <c r="E156" t="s">
        <v>40</v>
      </c>
      <c r="F156" s="6">
        <v>24</v>
      </c>
      <c r="G156" s="6">
        <v>1679.7</v>
      </c>
      <c r="H156" s="6">
        <v>990</v>
      </c>
      <c r="I156" s="6">
        <v>40312.8</v>
      </c>
      <c r="J156" s="6">
        <v>23760</v>
      </c>
    </row>
    <row r="157" spans="1:10">
      <c r="A157" s="5">
        <v>45536</v>
      </c>
      <c r="B157" t="s">
        <v>44</v>
      </c>
      <c r="C157" t="s">
        <v>45</v>
      </c>
      <c r="D157" t="s">
        <v>43</v>
      </c>
      <c r="E157" t="s">
        <v>41</v>
      </c>
      <c r="F157" s="6">
        <v>13</v>
      </c>
      <c r="G157" s="6">
        <v>1584</v>
      </c>
      <c r="H157" s="6">
        <v>990</v>
      </c>
      <c r="I157" s="6">
        <v>20592</v>
      </c>
      <c r="J157" s="6">
        <v>12870</v>
      </c>
    </row>
    <row r="158" spans="1:10">
      <c r="A158" s="5">
        <v>45536</v>
      </c>
      <c r="B158" t="s">
        <v>46</v>
      </c>
      <c r="C158" t="s">
        <v>47</v>
      </c>
      <c r="D158" t="s">
        <v>39</v>
      </c>
      <c r="E158" t="s">
        <v>40</v>
      </c>
      <c r="F158" s="6">
        <v>52</v>
      </c>
      <c r="G158" s="6">
        <v>692.24</v>
      </c>
      <c r="H158" s="6">
        <v>380</v>
      </c>
      <c r="I158" s="6">
        <v>35996.48</v>
      </c>
      <c r="J158" s="6">
        <v>19760</v>
      </c>
    </row>
    <row r="159" spans="1:10">
      <c r="A159" s="5">
        <v>45536</v>
      </c>
      <c r="B159" t="s">
        <v>46</v>
      </c>
      <c r="C159" t="s">
        <v>47</v>
      </c>
      <c r="D159" t="s">
        <v>39</v>
      </c>
      <c r="E159" t="s">
        <v>41</v>
      </c>
      <c r="F159" s="6">
        <v>29</v>
      </c>
      <c r="G159" s="6">
        <v>652.8</v>
      </c>
      <c r="H159" s="6">
        <v>380</v>
      </c>
      <c r="I159" s="6">
        <v>18931.2</v>
      </c>
      <c r="J159" s="6">
        <v>11020</v>
      </c>
    </row>
    <row r="160" spans="1:10">
      <c r="A160" s="5">
        <v>45536</v>
      </c>
      <c r="B160" t="s">
        <v>46</v>
      </c>
      <c r="C160" t="s">
        <v>47</v>
      </c>
      <c r="D160" t="s">
        <v>42</v>
      </c>
      <c r="E160" t="s">
        <v>40</v>
      </c>
      <c r="F160" s="6">
        <v>24</v>
      </c>
      <c r="G160" s="6">
        <v>692.24</v>
      </c>
      <c r="H160" s="6">
        <v>380</v>
      </c>
      <c r="I160" s="6">
        <v>16613.76</v>
      </c>
      <c r="J160" s="6">
        <v>9120</v>
      </c>
    </row>
    <row r="161" spans="1:10">
      <c r="A161" s="5">
        <v>45536</v>
      </c>
      <c r="B161" t="s">
        <v>46</v>
      </c>
      <c r="C161" t="s">
        <v>47</v>
      </c>
      <c r="D161" t="s">
        <v>42</v>
      </c>
      <c r="E161" t="s">
        <v>41</v>
      </c>
      <c r="F161" s="6">
        <v>13</v>
      </c>
      <c r="G161" s="6">
        <v>652.8</v>
      </c>
      <c r="H161" s="6">
        <v>380</v>
      </c>
      <c r="I161" s="6">
        <v>8486.4</v>
      </c>
      <c r="J161" s="6">
        <v>4940</v>
      </c>
    </row>
    <row r="162" spans="1:10">
      <c r="A162" s="5">
        <v>45536</v>
      </c>
      <c r="B162" t="s">
        <v>46</v>
      </c>
      <c r="C162" t="s">
        <v>47</v>
      </c>
      <c r="D162" t="s">
        <v>43</v>
      </c>
      <c r="E162" t="s">
        <v>40</v>
      </c>
      <c r="F162" s="6">
        <v>18</v>
      </c>
      <c r="G162" s="6">
        <v>692.24</v>
      </c>
      <c r="H162" s="6">
        <v>380</v>
      </c>
      <c r="I162" s="6">
        <v>12460.32</v>
      </c>
      <c r="J162" s="6">
        <v>6840</v>
      </c>
    </row>
    <row r="163" spans="1:10">
      <c r="A163" s="5">
        <v>45536</v>
      </c>
      <c r="B163" t="s">
        <v>46</v>
      </c>
      <c r="C163" t="s">
        <v>47</v>
      </c>
      <c r="D163" t="s">
        <v>43</v>
      </c>
      <c r="E163" t="s">
        <v>41</v>
      </c>
      <c r="F163" s="6">
        <v>9</v>
      </c>
      <c r="G163" s="6">
        <v>652.8</v>
      </c>
      <c r="H163" s="6">
        <v>380</v>
      </c>
      <c r="I163" s="6">
        <v>5875.2</v>
      </c>
      <c r="J163" s="6">
        <v>3420</v>
      </c>
    </row>
    <row r="164" spans="1:10">
      <c r="A164" s="5">
        <v>45566</v>
      </c>
      <c r="B164" t="s">
        <v>37</v>
      </c>
      <c r="C164" t="s">
        <v>38</v>
      </c>
      <c r="D164" t="s">
        <v>39</v>
      </c>
      <c r="E164" t="s">
        <v>40</v>
      </c>
      <c r="F164" s="6">
        <v>126</v>
      </c>
      <c r="G164" s="6">
        <v>2646.8</v>
      </c>
      <c r="H164" s="6">
        <v>1820</v>
      </c>
      <c r="I164" s="6">
        <v>333496.8</v>
      </c>
      <c r="J164" s="6">
        <v>229320</v>
      </c>
    </row>
    <row r="165" spans="1:10">
      <c r="A165" s="5">
        <v>45566</v>
      </c>
      <c r="B165" t="s">
        <v>37</v>
      </c>
      <c r="C165" t="s">
        <v>38</v>
      </c>
      <c r="D165" t="s">
        <v>39</v>
      </c>
      <c r="E165" t="s">
        <v>41</v>
      </c>
      <c r="F165" s="6">
        <v>60</v>
      </c>
      <c r="G165" s="6">
        <v>2496</v>
      </c>
      <c r="H165" s="6">
        <v>1820</v>
      </c>
      <c r="I165" s="6">
        <v>149760</v>
      </c>
      <c r="J165" s="6">
        <v>109200</v>
      </c>
    </row>
    <row r="166" spans="1:10">
      <c r="A166" s="5">
        <v>45566</v>
      </c>
      <c r="B166" t="s">
        <v>37</v>
      </c>
      <c r="C166" t="s">
        <v>38</v>
      </c>
      <c r="D166" t="s">
        <v>42</v>
      </c>
      <c r="E166" t="s">
        <v>40</v>
      </c>
      <c r="F166" s="6">
        <v>58</v>
      </c>
      <c r="G166" s="6">
        <v>2646.8</v>
      </c>
      <c r="H166" s="6">
        <v>1820</v>
      </c>
      <c r="I166" s="6">
        <v>153514.4</v>
      </c>
      <c r="J166" s="6">
        <v>105560</v>
      </c>
    </row>
    <row r="167" spans="1:10">
      <c r="A167" s="5">
        <v>45566</v>
      </c>
      <c r="B167" t="s">
        <v>37</v>
      </c>
      <c r="C167" t="s">
        <v>38</v>
      </c>
      <c r="D167" t="s">
        <v>42</v>
      </c>
      <c r="E167" t="s">
        <v>41</v>
      </c>
      <c r="F167" s="6">
        <v>30</v>
      </c>
      <c r="G167" s="6">
        <v>2496</v>
      </c>
      <c r="H167" s="6">
        <v>1820</v>
      </c>
      <c r="I167" s="6">
        <v>74880</v>
      </c>
      <c r="J167" s="6">
        <v>54600</v>
      </c>
    </row>
    <row r="168" spans="1:10">
      <c r="A168" s="5">
        <v>45566</v>
      </c>
      <c r="B168" t="s">
        <v>37</v>
      </c>
      <c r="C168" t="s">
        <v>38</v>
      </c>
      <c r="D168" t="s">
        <v>43</v>
      </c>
      <c r="E168" t="s">
        <v>40</v>
      </c>
      <c r="F168" s="6">
        <v>38</v>
      </c>
      <c r="G168" s="6">
        <v>2646.8</v>
      </c>
      <c r="H168" s="6">
        <v>1820</v>
      </c>
      <c r="I168" s="6">
        <v>100578.4</v>
      </c>
      <c r="J168" s="6">
        <v>69160</v>
      </c>
    </row>
    <row r="169" spans="1:10">
      <c r="A169" s="5">
        <v>45566</v>
      </c>
      <c r="B169" t="s">
        <v>37</v>
      </c>
      <c r="C169" t="s">
        <v>38</v>
      </c>
      <c r="D169" t="s">
        <v>43</v>
      </c>
      <c r="E169" t="s">
        <v>41</v>
      </c>
      <c r="F169" s="6">
        <v>21</v>
      </c>
      <c r="G169" s="6">
        <v>2496</v>
      </c>
      <c r="H169" s="6">
        <v>1820</v>
      </c>
      <c r="I169" s="6">
        <v>52416</v>
      </c>
      <c r="J169" s="6">
        <v>38220</v>
      </c>
    </row>
    <row r="170" spans="1:10">
      <c r="A170" s="5">
        <v>45566</v>
      </c>
      <c r="B170" t="s">
        <v>44</v>
      </c>
      <c r="C170" t="s">
        <v>45</v>
      </c>
      <c r="D170" t="s">
        <v>39</v>
      </c>
      <c r="E170" t="s">
        <v>40</v>
      </c>
      <c r="F170" s="6">
        <v>85</v>
      </c>
      <c r="G170" s="6">
        <v>1679.7</v>
      </c>
      <c r="H170" s="6">
        <v>990</v>
      </c>
      <c r="I170" s="6">
        <v>142774.5</v>
      </c>
      <c r="J170" s="6">
        <v>84150</v>
      </c>
    </row>
    <row r="171" spans="1:10">
      <c r="A171" s="5">
        <v>45566</v>
      </c>
      <c r="B171" t="s">
        <v>44</v>
      </c>
      <c r="C171" t="s">
        <v>45</v>
      </c>
      <c r="D171" t="s">
        <v>39</v>
      </c>
      <c r="E171" t="s">
        <v>41</v>
      </c>
      <c r="F171" s="6">
        <v>43</v>
      </c>
      <c r="G171" s="6">
        <v>1584</v>
      </c>
      <c r="H171" s="6">
        <v>990</v>
      </c>
      <c r="I171" s="6">
        <v>68112</v>
      </c>
      <c r="J171" s="6">
        <v>42570</v>
      </c>
    </row>
    <row r="172" spans="1:10">
      <c r="A172" s="5">
        <v>45566</v>
      </c>
      <c r="B172" t="s">
        <v>44</v>
      </c>
      <c r="C172" t="s">
        <v>45</v>
      </c>
      <c r="D172" t="s">
        <v>42</v>
      </c>
      <c r="E172" t="s">
        <v>40</v>
      </c>
      <c r="F172" s="6">
        <v>37</v>
      </c>
      <c r="G172" s="6">
        <v>1679.7</v>
      </c>
      <c r="H172" s="6">
        <v>990</v>
      </c>
      <c r="I172" s="6">
        <v>62148.9</v>
      </c>
      <c r="J172" s="6">
        <v>36630</v>
      </c>
    </row>
    <row r="173" spans="1:10">
      <c r="A173" s="5">
        <v>45566</v>
      </c>
      <c r="B173" t="s">
        <v>44</v>
      </c>
      <c r="C173" t="s">
        <v>45</v>
      </c>
      <c r="D173" t="s">
        <v>42</v>
      </c>
      <c r="E173" t="s">
        <v>41</v>
      </c>
      <c r="F173" s="6">
        <v>19</v>
      </c>
      <c r="G173" s="6">
        <v>1584</v>
      </c>
      <c r="H173" s="6">
        <v>990</v>
      </c>
      <c r="I173" s="6">
        <v>30096</v>
      </c>
      <c r="J173" s="6">
        <v>18810</v>
      </c>
    </row>
    <row r="174" spans="1:10">
      <c r="A174" s="5">
        <v>45566</v>
      </c>
      <c r="B174" t="s">
        <v>44</v>
      </c>
      <c r="C174" t="s">
        <v>45</v>
      </c>
      <c r="D174" t="s">
        <v>43</v>
      </c>
      <c r="E174" t="s">
        <v>40</v>
      </c>
      <c r="F174" s="6">
        <v>27</v>
      </c>
      <c r="G174" s="6">
        <v>1679.7</v>
      </c>
      <c r="H174" s="6">
        <v>990</v>
      </c>
      <c r="I174" s="6">
        <v>45351.9</v>
      </c>
      <c r="J174" s="6">
        <v>26730</v>
      </c>
    </row>
    <row r="175" spans="1:10">
      <c r="A175" s="5">
        <v>45566</v>
      </c>
      <c r="B175" t="s">
        <v>44</v>
      </c>
      <c r="C175" t="s">
        <v>45</v>
      </c>
      <c r="D175" t="s">
        <v>43</v>
      </c>
      <c r="E175" t="s">
        <v>41</v>
      </c>
      <c r="F175" s="6">
        <v>14</v>
      </c>
      <c r="G175" s="6">
        <v>1584</v>
      </c>
      <c r="H175" s="6">
        <v>990</v>
      </c>
      <c r="I175" s="6">
        <v>22176</v>
      </c>
      <c r="J175" s="6">
        <v>13860</v>
      </c>
    </row>
    <row r="176" spans="1:10">
      <c r="A176" s="5">
        <v>45566</v>
      </c>
      <c r="B176" t="s">
        <v>46</v>
      </c>
      <c r="C176" t="s">
        <v>47</v>
      </c>
      <c r="D176" t="s">
        <v>39</v>
      </c>
      <c r="E176" t="s">
        <v>40</v>
      </c>
      <c r="F176" s="6">
        <v>55</v>
      </c>
      <c r="G176" s="6">
        <v>692.24</v>
      </c>
      <c r="H176" s="6">
        <v>380</v>
      </c>
      <c r="I176" s="6">
        <v>38073.2</v>
      </c>
      <c r="J176" s="6">
        <v>20900</v>
      </c>
    </row>
    <row r="177" spans="1:10">
      <c r="A177" s="5">
        <v>45566</v>
      </c>
      <c r="B177" t="s">
        <v>46</v>
      </c>
      <c r="C177" t="s">
        <v>47</v>
      </c>
      <c r="D177" t="s">
        <v>39</v>
      </c>
      <c r="E177" t="s">
        <v>41</v>
      </c>
      <c r="F177" s="6">
        <v>27</v>
      </c>
      <c r="G177" s="6">
        <v>652.8</v>
      </c>
      <c r="H177" s="6">
        <v>380</v>
      </c>
      <c r="I177" s="6">
        <v>17625.6</v>
      </c>
      <c r="J177" s="6">
        <v>10260</v>
      </c>
    </row>
    <row r="178" spans="1:10">
      <c r="A178" s="5">
        <v>45566</v>
      </c>
      <c r="B178" t="s">
        <v>46</v>
      </c>
      <c r="C178" t="s">
        <v>47</v>
      </c>
      <c r="D178" t="s">
        <v>42</v>
      </c>
      <c r="E178" t="s">
        <v>40</v>
      </c>
      <c r="F178" s="6">
        <v>26</v>
      </c>
      <c r="G178" s="6">
        <v>692.24</v>
      </c>
      <c r="H178" s="6">
        <v>380</v>
      </c>
      <c r="I178" s="6">
        <v>17998.24</v>
      </c>
      <c r="J178" s="6">
        <v>9880</v>
      </c>
    </row>
    <row r="179" spans="1:10">
      <c r="A179" s="5">
        <v>45566</v>
      </c>
      <c r="B179" t="s">
        <v>46</v>
      </c>
      <c r="C179" t="s">
        <v>47</v>
      </c>
      <c r="D179" t="s">
        <v>42</v>
      </c>
      <c r="E179" t="s">
        <v>41</v>
      </c>
      <c r="F179" s="6">
        <v>14</v>
      </c>
      <c r="G179" s="6">
        <v>652.8</v>
      </c>
      <c r="H179" s="6">
        <v>380</v>
      </c>
      <c r="I179" s="6">
        <v>9139.200000000001</v>
      </c>
      <c r="J179" s="6">
        <v>5320</v>
      </c>
    </row>
    <row r="180" spans="1:10">
      <c r="A180" s="5">
        <v>45566</v>
      </c>
      <c r="B180" t="s">
        <v>46</v>
      </c>
      <c r="C180" t="s">
        <v>47</v>
      </c>
      <c r="D180" t="s">
        <v>43</v>
      </c>
      <c r="E180" t="s">
        <v>40</v>
      </c>
      <c r="F180" s="6">
        <v>18</v>
      </c>
      <c r="G180" s="6">
        <v>692.24</v>
      </c>
      <c r="H180" s="6">
        <v>380</v>
      </c>
      <c r="I180" s="6">
        <v>12460.32</v>
      </c>
      <c r="J180" s="6">
        <v>6840</v>
      </c>
    </row>
    <row r="181" spans="1:10">
      <c r="A181" s="5">
        <v>45566</v>
      </c>
      <c r="B181" t="s">
        <v>46</v>
      </c>
      <c r="C181" t="s">
        <v>47</v>
      </c>
      <c r="D181" t="s">
        <v>43</v>
      </c>
      <c r="E181" t="s">
        <v>41</v>
      </c>
      <c r="F181" s="6">
        <v>9</v>
      </c>
      <c r="G181" s="6">
        <v>652.8</v>
      </c>
      <c r="H181" s="6">
        <v>380</v>
      </c>
      <c r="I181" s="6">
        <v>5875.2</v>
      </c>
      <c r="J181" s="6">
        <v>3420</v>
      </c>
    </row>
    <row r="182" spans="1:10">
      <c r="A182" s="5">
        <v>45597</v>
      </c>
      <c r="B182" t="s">
        <v>37</v>
      </c>
      <c r="C182" t="s">
        <v>38</v>
      </c>
      <c r="D182" t="s">
        <v>39</v>
      </c>
      <c r="E182" t="s">
        <v>40</v>
      </c>
      <c r="F182" s="6">
        <v>145</v>
      </c>
      <c r="G182" s="6">
        <v>2646.8</v>
      </c>
      <c r="H182" s="6">
        <v>1820</v>
      </c>
      <c r="I182" s="6">
        <v>383786</v>
      </c>
      <c r="J182" s="6">
        <v>263900</v>
      </c>
    </row>
    <row r="183" spans="1:10">
      <c r="A183" s="5">
        <v>45597</v>
      </c>
      <c r="B183" t="s">
        <v>37</v>
      </c>
      <c r="C183" t="s">
        <v>38</v>
      </c>
      <c r="D183" t="s">
        <v>39</v>
      </c>
      <c r="E183" t="s">
        <v>41</v>
      </c>
      <c r="F183" s="6">
        <v>68</v>
      </c>
      <c r="G183" s="6">
        <v>2496</v>
      </c>
      <c r="H183" s="6">
        <v>1820</v>
      </c>
      <c r="I183" s="6">
        <v>169728</v>
      </c>
      <c r="J183" s="6">
        <v>123760</v>
      </c>
    </row>
    <row r="184" spans="1:10">
      <c r="A184" s="5">
        <v>45597</v>
      </c>
      <c r="B184" t="s">
        <v>37</v>
      </c>
      <c r="C184" t="s">
        <v>38</v>
      </c>
      <c r="D184" t="s">
        <v>42</v>
      </c>
      <c r="E184" t="s">
        <v>40</v>
      </c>
      <c r="F184" s="6">
        <v>63</v>
      </c>
      <c r="G184" s="6">
        <v>2646.8</v>
      </c>
      <c r="H184" s="6">
        <v>1820</v>
      </c>
      <c r="I184" s="6">
        <v>166748.4</v>
      </c>
      <c r="J184" s="6">
        <v>114660</v>
      </c>
    </row>
    <row r="185" spans="1:10">
      <c r="A185" s="5">
        <v>45597</v>
      </c>
      <c r="B185" t="s">
        <v>37</v>
      </c>
      <c r="C185" t="s">
        <v>38</v>
      </c>
      <c r="D185" t="s">
        <v>42</v>
      </c>
      <c r="E185" t="s">
        <v>41</v>
      </c>
      <c r="F185" s="6">
        <v>33</v>
      </c>
      <c r="G185" s="6">
        <v>2496</v>
      </c>
      <c r="H185" s="6">
        <v>1820</v>
      </c>
      <c r="I185" s="6">
        <v>82368</v>
      </c>
      <c r="J185" s="6">
        <v>60060</v>
      </c>
    </row>
    <row r="186" spans="1:10">
      <c r="A186" s="5">
        <v>45597</v>
      </c>
      <c r="B186" t="s">
        <v>37</v>
      </c>
      <c r="C186" t="s">
        <v>38</v>
      </c>
      <c r="D186" t="s">
        <v>43</v>
      </c>
      <c r="E186" t="s">
        <v>40</v>
      </c>
      <c r="F186" s="6">
        <v>44</v>
      </c>
      <c r="G186" s="6">
        <v>2646.8</v>
      </c>
      <c r="H186" s="6">
        <v>1820</v>
      </c>
      <c r="I186" s="6">
        <v>116459.2</v>
      </c>
      <c r="J186" s="6">
        <v>80080</v>
      </c>
    </row>
    <row r="187" spans="1:10">
      <c r="A187" s="5">
        <v>45597</v>
      </c>
      <c r="B187" t="s">
        <v>37</v>
      </c>
      <c r="C187" t="s">
        <v>38</v>
      </c>
      <c r="D187" t="s">
        <v>43</v>
      </c>
      <c r="E187" t="s">
        <v>41</v>
      </c>
      <c r="F187" s="6">
        <v>21</v>
      </c>
      <c r="G187" s="6">
        <v>2496</v>
      </c>
      <c r="H187" s="6">
        <v>1820</v>
      </c>
      <c r="I187" s="6">
        <v>52416</v>
      </c>
      <c r="J187" s="6">
        <v>38220</v>
      </c>
    </row>
    <row r="188" spans="1:10">
      <c r="A188" s="5">
        <v>45597</v>
      </c>
      <c r="B188" t="s">
        <v>44</v>
      </c>
      <c r="C188" t="s">
        <v>45</v>
      </c>
      <c r="D188" t="s">
        <v>39</v>
      </c>
      <c r="E188" t="s">
        <v>40</v>
      </c>
      <c r="F188" s="6">
        <v>92</v>
      </c>
      <c r="G188" s="6">
        <v>1679.7</v>
      </c>
      <c r="H188" s="6">
        <v>990</v>
      </c>
      <c r="I188" s="6">
        <v>154532.4</v>
      </c>
      <c r="J188" s="6">
        <v>91080</v>
      </c>
    </row>
    <row r="189" spans="1:10">
      <c r="A189" s="5">
        <v>45597</v>
      </c>
      <c r="B189" t="s">
        <v>44</v>
      </c>
      <c r="C189" t="s">
        <v>45</v>
      </c>
      <c r="D189" t="s">
        <v>39</v>
      </c>
      <c r="E189" t="s">
        <v>41</v>
      </c>
      <c r="F189" s="6">
        <v>47</v>
      </c>
      <c r="G189" s="6">
        <v>1584</v>
      </c>
      <c r="H189" s="6">
        <v>990</v>
      </c>
      <c r="I189" s="6">
        <v>74448</v>
      </c>
      <c r="J189" s="6">
        <v>46530</v>
      </c>
    </row>
    <row r="190" spans="1:10">
      <c r="A190" s="5">
        <v>45597</v>
      </c>
      <c r="B190" t="s">
        <v>44</v>
      </c>
      <c r="C190" t="s">
        <v>45</v>
      </c>
      <c r="D190" t="s">
        <v>42</v>
      </c>
      <c r="E190" t="s">
        <v>40</v>
      </c>
      <c r="F190" s="6">
        <v>42</v>
      </c>
      <c r="G190" s="6">
        <v>1679.7</v>
      </c>
      <c r="H190" s="6">
        <v>990</v>
      </c>
      <c r="I190" s="6">
        <v>70547.39999999999</v>
      </c>
      <c r="J190" s="6">
        <v>41580</v>
      </c>
    </row>
    <row r="191" spans="1:10">
      <c r="A191" s="5">
        <v>45597</v>
      </c>
      <c r="B191" t="s">
        <v>44</v>
      </c>
      <c r="C191" t="s">
        <v>45</v>
      </c>
      <c r="D191" t="s">
        <v>42</v>
      </c>
      <c r="E191" t="s">
        <v>41</v>
      </c>
      <c r="F191" s="6">
        <v>24</v>
      </c>
      <c r="G191" s="6">
        <v>1584</v>
      </c>
      <c r="H191" s="6">
        <v>990</v>
      </c>
      <c r="I191" s="6">
        <v>38016</v>
      </c>
      <c r="J191" s="6">
        <v>23760</v>
      </c>
    </row>
    <row r="192" spans="1:10">
      <c r="A192" s="5">
        <v>45597</v>
      </c>
      <c r="B192" t="s">
        <v>44</v>
      </c>
      <c r="C192" t="s">
        <v>45</v>
      </c>
      <c r="D192" t="s">
        <v>43</v>
      </c>
      <c r="E192" t="s">
        <v>40</v>
      </c>
      <c r="F192" s="6">
        <v>30</v>
      </c>
      <c r="G192" s="6">
        <v>1679.7</v>
      </c>
      <c r="H192" s="6">
        <v>990</v>
      </c>
      <c r="I192" s="6">
        <v>50391</v>
      </c>
      <c r="J192" s="6">
        <v>29700</v>
      </c>
    </row>
    <row r="193" spans="1:10">
      <c r="A193" s="5">
        <v>45597</v>
      </c>
      <c r="B193" t="s">
        <v>44</v>
      </c>
      <c r="C193" t="s">
        <v>45</v>
      </c>
      <c r="D193" t="s">
        <v>43</v>
      </c>
      <c r="E193" t="s">
        <v>41</v>
      </c>
      <c r="F193" s="6">
        <v>17</v>
      </c>
      <c r="G193" s="6">
        <v>1584</v>
      </c>
      <c r="H193" s="6">
        <v>990</v>
      </c>
      <c r="I193" s="6">
        <v>26928</v>
      </c>
      <c r="J193" s="6">
        <v>16830</v>
      </c>
    </row>
    <row r="194" spans="1:10">
      <c r="A194" s="5">
        <v>45597</v>
      </c>
      <c r="B194" t="s">
        <v>46</v>
      </c>
      <c r="C194" t="s">
        <v>47</v>
      </c>
      <c r="D194" t="s">
        <v>39</v>
      </c>
      <c r="E194" t="s">
        <v>40</v>
      </c>
      <c r="F194" s="6">
        <v>61</v>
      </c>
      <c r="G194" s="6">
        <v>692.24</v>
      </c>
      <c r="H194" s="6">
        <v>380</v>
      </c>
      <c r="I194" s="6">
        <v>42226.64</v>
      </c>
      <c r="J194" s="6">
        <v>23180</v>
      </c>
    </row>
    <row r="195" spans="1:10">
      <c r="A195" s="5">
        <v>45597</v>
      </c>
      <c r="B195" t="s">
        <v>46</v>
      </c>
      <c r="C195" t="s">
        <v>47</v>
      </c>
      <c r="D195" t="s">
        <v>39</v>
      </c>
      <c r="E195" t="s">
        <v>41</v>
      </c>
      <c r="F195" s="6">
        <v>35</v>
      </c>
      <c r="G195" s="6">
        <v>652.8</v>
      </c>
      <c r="H195" s="6">
        <v>380</v>
      </c>
      <c r="I195" s="6">
        <v>22848</v>
      </c>
      <c r="J195" s="6">
        <v>13300</v>
      </c>
    </row>
    <row r="196" spans="1:10">
      <c r="A196" s="5">
        <v>45597</v>
      </c>
      <c r="B196" t="s">
        <v>46</v>
      </c>
      <c r="C196" t="s">
        <v>47</v>
      </c>
      <c r="D196" t="s">
        <v>42</v>
      </c>
      <c r="E196" t="s">
        <v>40</v>
      </c>
      <c r="F196" s="6">
        <v>30</v>
      </c>
      <c r="G196" s="6">
        <v>692.24</v>
      </c>
      <c r="H196" s="6">
        <v>380</v>
      </c>
      <c r="I196" s="6">
        <v>20767.2</v>
      </c>
      <c r="J196" s="6">
        <v>11400</v>
      </c>
    </row>
    <row r="197" spans="1:10">
      <c r="A197" s="5">
        <v>45597</v>
      </c>
      <c r="B197" t="s">
        <v>46</v>
      </c>
      <c r="C197" t="s">
        <v>47</v>
      </c>
      <c r="D197" t="s">
        <v>42</v>
      </c>
      <c r="E197" t="s">
        <v>41</v>
      </c>
      <c r="F197" s="6">
        <v>16</v>
      </c>
      <c r="G197" s="6">
        <v>652.8</v>
      </c>
      <c r="H197" s="6">
        <v>380</v>
      </c>
      <c r="I197" s="6">
        <v>10444.8</v>
      </c>
      <c r="J197" s="6">
        <v>6080</v>
      </c>
    </row>
    <row r="198" spans="1:10">
      <c r="A198" s="5">
        <v>45597</v>
      </c>
      <c r="B198" t="s">
        <v>46</v>
      </c>
      <c r="C198" t="s">
        <v>47</v>
      </c>
      <c r="D198" t="s">
        <v>43</v>
      </c>
      <c r="E198" t="s">
        <v>40</v>
      </c>
      <c r="F198" s="6">
        <v>22</v>
      </c>
      <c r="G198" s="6">
        <v>692.24</v>
      </c>
      <c r="H198" s="6">
        <v>380</v>
      </c>
      <c r="I198" s="6">
        <v>15229.28</v>
      </c>
      <c r="J198" s="6">
        <v>8360</v>
      </c>
    </row>
    <row r="199" spans="1:10">
      <c r="A199" s="5">
        <v>45597</v>
      </c>
      <c r="B199" t="s">
        <v>46</v>
      </c>
      <c r="C199" t="s">
        <v>47</v>
      </c>
      <c r="D199" t="s">
        <v>43</v>
      </c>
      <c r="E199" t="s">
        <v>41</v>
      </c>
      <c r="F199" s="6">
        <v>10</v>
      </c>
      <c r="G199" s="6">
        <v>652.8</v>
      </c>
      <c r="H199" s="6">
        <v>380</v>
      </c>
      <c r="I199" s="6">
        <v>6528</v>
      </c>
      <c r="J199" s="6">
        <v>3800</v>
      </c>
    </row>
    <row r="200" spans="1:10">
      <c r="A200" s="5">
        <v>45627</v>
      </c>
      <c r="B200" t="s">
        <v>37</v>
      </c>
      <c r="C200" t="s">
        <v>38</v>
      </c>
      <c r="D200" t="s">
        <v>39</v>
      </c>
      <c r="E200" t="s">
        <v>40</v>
      </c>
      <c r="F200" s="6">
        <v>129</v>
      </c>
      <c r="G200" s="6">
        <v>2646.8</v>
      </c>
      <c r="H200" s="6">
        <v>1820</v>
      </c>
      <c r="I200" s="6">
        <v>341437.2</v>
      </c>
      <c r="J200" s="6">
        <v>234780</v>
      </c>
    </row>
    <row r="201" spans="1:10">
      <c r="A201" s="5">
        <v>45627</v>
      </c>
      <c r="B201" t="s">
        <v>37</v>
      </c>
      <c r="C201" t="s">
        <v>38</v>
      </c>
      <c r="D201" t="s">
        <v>39</v>
      </c>
      <c r="E201" t="s">
        <v>41</v>
      </c>
      <c r="F201" s="6">
        <v>67</v>
      </c>
      <c r="G201" s="6">
        <v>2496</v>
      </c>
      <c r="H201" s="6">
        <v>1820</v>
      </c>
      <c r="I201" s="6">
        <v>167232</v>
      </c>
      <c r="J201" s="6">
        <v>121940</v>
      </c>
    </row>
    <row r="202" spans="1:10">
      <c r="A202" s="5">
        <v>45627</v>
      </c>
      <c r="B202" t="s">
        <v>37</v>
      </c>
      <c r="C202" t="s">
        <v>38</v>
      </c>
      <c r="D202" t="s">
        <v>42</v>
      </c>
      <c r="E202" t="s">
        <v>40</v>
      </c>
      <c r="F202" s="6">
        <v>56</v>
      </c>
      <c r="G202" s="6">
        <v>2646.8</v>
      </c>
      <c r="H202" s="6">
        <v>1820</v>
      </c>
      <c r="I202" s="6">
        <v>148220.8</v>
      </c>
      <c r="J202" s="6">
        <v>101920</v>
      </c>
    </row>
    <row r="203" spans="1:10">
      <c r="A203" s="5">
        <v>45627</v>
      </c>
      <c r="B203" t="s">
        <v>37</v>
      </c>
      <c r="C203" t="s">
        <v>38</v>
      </c>
      <c r="D203" t="s">
        <v>42</v>
      </c>
      <c r="E203" t="s">
        <v>41</v>
      </c>
      <c r="F203" s="6">
        <v>28</v>
      </c>
      <c r="G203" s="6">
        <v>2496</v>
      </c>
      <c r="H203" s="6">
        <v>1820</v>
      </c>
      <c r="I203" s="6">
        <v>69888</v>
      </c>
      <c r="J203" s="6">
        <v>50960</v>
      </c>
    </row>
    <row r="204" spans="1:10">
      <c r="A204" s="5">
        <v>45627</v>
      </c>
      <c r="B204" t="s">
        <v>37</v>
      </c>
      <c r="C204" t="s">
        <v>38</v>
      </c>
      <c r="D204" t="s">
        <v>43</v>
      </c>
      <c r="E204" t="s">
        <v>40</v>
      </c>
      <c r="F204" s="6">
        <v>42</v>
      </c>
      <c r="G204" s="6">
        <v>2646.8</v>
      </c>
      <c r="H204" s="6">
        <v>1820</v>
      </c>
      <c r="I204" s="6">
        <v>111165.6</v>
      </c>
      <c r="J204" s="6">
        <v>76440</v>
      </c>
    </row>
    <row r="205" spans="1:10">
      <c r="A205" s="5">
        <v>45627</v>
      </c>
      <c r="B205" t="s">
        <v>37</v>
      </c>
      <c r="C205" t="s">
        <v>38</v>
      </c>
      <c r="D205" t="s">
        <v>43</v>
      </c>
      <c r="E205" t="s">
        <v>41</v>
      </c>
      <c r="F205" s="6">
        <v>20</v>
      </c>
      <c r="G205" s="6">
        <v>2496</v>
      </c>
      <c r="H205" s="6">
        <v>1820</v>
      </c>
      <c r="I205" s="6">
        <v>49920</v>
      </c>
      <c r="J205" s="6">
        <v>36400</v>
      </c>
    </row>
    <row r="206" spans="1:10">
      <c r="A206" s="5">
        <v>45627</v>
      </c>
      <c r="B206" t="s">
        <v>44</v>
      </c>
      <c r="C206" t="s">
        <v>45</v>
      </c>
      <c r="D206" t="s">
        <v>39</v>
      </c>
      <c r="E206" t="s">
        <v>40</v>
      </c>
      <c r="F206" s="6">
        <v>83</v>
      </c>
      <c r="G206" s="6">
        <v>1679.7</v>
      </c>
      <c r="H206" s="6">
        <v>990</v>
      </c>
      <c r="I206" s="6">
        <v>139415.1</v>
      </c>
      <c r="J206" s="6">
        <v>82170</v>
      </c>
    </row>
    <row r="207" spans="1:10">
      <c r="A207" s="5">
        <v>45627</v>
      </c>
      <c r="B207" t="s">
        <v>44</v>
      </c>
      <c r="C207" t="s">
        <v>45</v>
      </c>
      <c r="D207" t="s">
        <v>39</v>
      </c>
      <c r="E207" t="s">
        <v>41</v>
      </c>
      <c r="F207" s="6">
        <v>47</v>
      </c>
      <c r="G207" s="6">
        <v>1584</v>
      </c>
      <c r="H207" s="6">
        <v>990</v>
      </c>
      <c r="I207" s="6">
        <v>74448</v>
      </c>
      <c r="J207" s="6">
        <v>46530</v>
      </c>
    </row>
    <row r="208" spans="1:10">
      <c r="A208" s="5">
        <v>45627</v>
      </c>
      <c r="B208" t="s">
        <v>44</v>
      </c>
      <c r="C208" t="s">
        <v>45</v>
      </c>
      <c r="D208" t="s">
        <v>42</v>
      </c>
      <c r="E208" t="s">
        <v>40</v>
      </c>
      <c r="F208" s="6">
        <v>38</v>
      </c>
      <c r="G208" s="6">
        <v>1679.7</v>
      </c>
      <c r="H208" s="6">
        <v>990</v>
      </c>
      <c r="I208" s="6">
        <v>63828.6</v>
      </c>
      <c r="J208" s="6">
        <v>37620</v>
      </c>
    </row>
    <row r="209" spans="1:10">
      <c r="A209" s="5">
        <v>45627</v>
      </c>
      <c r="B209" t="s">
        <v>44</v>
      </c>
      <c r="C209" t="s">
        <v>45</v>
      </c>
      <c r="D209" t="s">
        <v>42</v>
      </c>
      <c r="E209" t="s">
        <v>41</v>
      </c>
      <c r="F209" s="6">
        <v>22</v>
      </c>
      <c r="G209" s="6">
        <v>1584</v>
      </c>
      <c r="H209" s="6">
        <v>990</v>
      </c>
      <c r="I209" s="6">
        <v>34848</v>
      </c>
      <c r="J209" s="6">
        <v>21780</v>
      </c>
    </row>
    <row r="210" spans="1:10">
      <c r="A210" s="5">
        <v>45627</v>
      </c>
      <c r="B210" t="s">
        <v>44</v>
      </c>
      <c r="C210" t="s">
        <v>45</v>
      </c>
      <c r="D210" t="s">
        <v>43</v>
      </c>
      <c r="E210" t="s">
        <v>40</v>
      </c>
      <c r="F210" s="6">
        <v>30</v>
      </c>
      <c r="G210" s="6">
        <v>1679.7</v>
      </c>
      <c r="H210" s="6">
        <v>990</v>
      </c>
      <c r="I210" s="6">
        <v>50391</v>
      </c>
      <c r="J210" s="6">
        <v>29700</v>
      </c>
    </row>
    <row r="211" spans="1:10">
      <c r="A211" s="5">
        <v>45627</v>
      </c>
      <c r="B211" t="s">
        <v>44</v>
      </c>
      <c r="C211" t="s">
        <v>45</v>
      </c>
      <c r="D211" t="s">
        <v>43</v>
      </c>
      <c r="E211" t="s">
        <v>41</v>
      </c>
      <c r="F211" s="6">
        <v>15</v>
      </c>
      <c r="G211" s="6">
        <v>1584</v>
      </c>
      <c r="H211" s="6">
        <v>990</v>
      </c>
      <c r="I211" s="6">
        <v>23760</v>
      </c>
      <c r="J211" s="6">
        <v>14850</v>
      </c>
    </row>
    <row r="212" spans="1:10">
      <c r="A212" s="5">
        <v>45627</v>
      </c>
      <c r="B212" t="s">
        <v>46</v>
      </c>
      <c r="C212" t="s">
        <v>47</v>
      </c>
      <c r="D212" t="s">
        <v>39</v>
      </c>
      <c r="E212" t="s">
        <v>40</v>
      </c>
      <c r="F212" s="6">
        <v>56</v>
      </c>
      <c r="G212" s="6">
        <v>692.24</v>
      </c>
      <c r="H212" s="6">
        <v>380</v>
      </c>
      <c r="I212" s="6">
        <v>38765.44</v>
      </c>
      <c r="J212" s="6">
        <v>21280</v>
      </c>
    </row>
    <row r="213" spans="1:10">
      <c r="A213" s="5">
        <v>45627</v>
      </c>
      <c r="B213" t="s">
        <v>46</v>
      </c>
      <c r="C213" t="s">
        <v>47</v>
      </c>
      <c r="D213" t="s">
        <v>39</v>
      </c>
      <c r="E213" t="s">
        <v>41</v>
      </c>
      <c r="F213" s="6">
        <v>30</v>
      </c>
      <c r="G213" s="6">
        <v>652.8</v>
      </c>
      <c r="H213" s="6">
        <v>380</v>
      </c>
      <c r="I213" s="6">
        <v>19584</v>
      </c>
      <c r="J213" s="6">
        <v>11400</v>
      </c>
    </row>
    <row r="214" spans="1:10">
      <c r="A214" s="5">
        <v>45627</v>
      </c>
      <c r="B214" t="s">
        <v>46</v>
      </c>
      <c r="C214" t="s">
        <v>47</v>
      </c>
      <c r="D214" t="s">
        <v>42</v>
      </c>
      <c r="E214" t="s">
        <v>40</v>
      </c>
      <c r="F214" s="6">
        <v>27</v>
      </c>
      <c r="G214" s="6">
        <v>692.24</v>
      </c>
      <c r="H214" s="6">
        <v>380</v>
      </c>
      <c r="I214" s="6">
        <v>18690.48</v>
      </c>
      <c r="J214" s="6">
        <v>10260</v>
      </c>
    </row>
    <row r="215" spans="1:10">
      <c r="A215" s="5">
        <v>45627</v>
      </c>
      <c r="B215" t="s">
        <v>46</v>
      </c>
      <c r="C215" t="s">
        <v>47</v>
      </c>
      <c r="D215" t="s">
        <v>42</v>
      </c>
      <c r="E215" t="s">
        <v>41</v>
      </c>
      <c r="F215" s="6">
        <v>15</v>
      </c>
      <c r="G215" s="6">
        <v>652.8</v>
      </c>
      <c r="H215" s="6">
        <v>380</v>
      </c>
      <c r="I215" s="6">
        <v>9792</v>
      </c>
      <c r="J215" s="6">
        <v>5700</v>
      </c>
    </row>
    <row r="216" spans="1:10">
      <c r="A216" s="5">
        <v>45627</v>
      </c>
      <c r="B216" t="s">
        <v>46</v>
      </c>
      <c r="C216" t="s">
        <v>47</v>
      </c>
      <c r="D216" t="s">
        <v>43</v>
      </c>
      <c r="E216" t="s">
        <v>40</v>
      </c>
      <c r="F216" s="6">
        <v>19</v>
      </c>
      <c r="G216" s="6">
        <v>692.24</v>
      </c>
      <c r="H216" s="6">
        <v>380</v>
      </c>
      <c r="I216" s="6">
        <v>13152.56</v>
      </c>
      <c r="J216" s="6">
        <v>7220</v>
      </c>
    </row>
    <row r="217" spans="1:10">
      <c r="A217" s="5">
        <v>45627</v>
      </c>
      <c r="B217" t="s">
        <v>46</v>
      </c>
      <c r="C217" t="s">
        <v>47</v>
      </c>
      <c r="D217" t="s">
        <v>43</v>
      </c>
      <c r="E217" t="s">
        <v>41</v>
      </c>
      <c r="F217" s="6">
        <v>11</v>
      </c>
      <c r="G217" s="6">
        <v>652.8</v>
      </c>
      <c r="H217" s="6">
        <v>380</v>
      </c>
      <c r="I217" s="6">
        <v>7180.8</v>
      </c>
      <c r="J217" s="6">
        <v>4180</v>
      </c>
    </row>
    <row r="218" spans="1:10">
      <c r="A218" s="5">
        <v>45658</v>
      </c>
      <c r="B218" t="s">
        <v>37</v>
      </c>
      <c r="C218" t="s">
        <v>38</v>
      </c>
      <c r="D218" t="s">
        <v>39</v>
      </c>
      <c r="E218" t="s">
        <v>40</v>
      </c>
      <c r="F218" s="6">
        <v>103</v>
      </c>
      <c r="G218" s="6">
        <v>2765.91</v>
      </c>
      <c r="H218" s="6">
        <v>1992.9</v>
      </c>
      <c r="I218" s="6">
        <v>284888.73</v>
      </c>
      <c r="J218" s="6">
        <v>205268.7</v>
      </c>
    </row>
    <row r="219" spans="1:10">
      <c r="A219" s="5">
        <v>45658</v>
      </c>
      <c r="B219" t="s">
        <v>37</v>
      </c>
      <c r="C219" t="s">
        <v>38</v>
      </c>
      <c r="D219" t="s">
        <v>39</v>
      </c>
      <c r="E219" t="s">
        <v>41</v>
      </c>
      <c r="F219" s="6">
        <v>49</v>
      </c>
      <c r="G219" s="6">
        <v>2608.32</v>
      </c>
      <c r="H219" s="6">
        <v>1992.9</v>
      </c>
      <c r="I219" s="6">
        <v>127807.68</v>
      </c>
      <c r="J219" s="6">
        <v>97652.10000000001</v>
      </c>
    </row>
    <row r="220" spans="1:10">
      <c r="A220" s="5">
        <v>45658</v>
      </c>
      <c r="B220" t="s">
        <v>37</v>
      </c>
      <c r="C220" t="s">
        <v>38</v>
      </c>
      <c r="D220" t="s">
        <v>42</v>
      </c>
      <c r="E220" t="s">
        <v>40</v>
      </c>
      <c r="F220" s="6">
        <v>44</v>
      </c>
      <c r="G220" s="6">
        <v>2765.91</v>
      </c>
      <c r="H220" s="6">
        <v>1992.9</v>
      </c>
      <c r="I220" s="6">
        <v>121700.04</v>
      </c>
      <c r="J220" s="6">
        <v>87687.60000000001</v>
      </c>
    </row>
    <row r="221" spans="1:10">
      <c r="A221" s="5">
        <v>45658</v>
      </c>
      <c r="B221" t="s">
        <v>37</v>
      </c>
      <c r="C221" t="s">
        <v>38</v>
      </c>
      <c r="D221" t="s">
        <v>42</v>
      </c>
      <c r="E221" t="s">
        <v>41</v>
      </c>
      <c r="F221" s="6">
        <v>24</v>
      </c>
      <c r="G221" s="6">
        <v>2608.32</v>
      </c>
      <c r="H221" s="6">
        <v>1992.9</v>
      </c>
      <c r="I221" s="6">
        <v>62599.68</v>
      </c>
      <c r="J221" s="6">
        <v>47829.6</v>
      </c>
    </row>
    <row r="222" spans="1:10">
      <c r="A222" s="5">
        <v>45658</v>
      </c>
      <c r="B222" t="s">
        <v>37</v>
      </c>
      <c r="C222" t="s">
        <v>38</v>
      </c>
      <c r="D222" t="s">
        <v>43</v>
      </c>
      <c r="E222" t="s">
        <v>40</v>
      </c>
      <c r="F222" s="6">
        <v>33</v>
      </c>
      <c r="G222" s="6">
        <v>2765.91</v>
      </c>
      <c r="H222" s="6">
        <v>1992.9</v>
      </c>
      <c r="I222" s="6">
        <v>91275.03</v>
      </c>
      <c r="J222" s="6">
        <v>65765.7</v>
      </c>
    </row>
    <row r="223" spans="1:10">
      <c r="A223" s="5">
        <v>45658</v>
      </c>
      <c r="B223" t="s">
        <v>37</v>
      </c>
      <c r="C223" t="s">
        <v>38</v>
      </c>
      <c r="D223" t="s">
        <v>43</v>
      </c>
      <c r="E223" t="s">
        <v>41</v>
      </c>
      <c r="F223" s="6">
        <v>16</v>
      </c>
      <c r="G223" s="6">
        <v>2608.32</v>
      </c>
      <c r="H223" s="6">
        <v>1992.9</v>
      </c>
      <c r="I223" s="6">
        <v>41733.12</v>
      </c>
      <c r="J223" s="6">
        <v>31886.4</v>
      </c>
    </row>
    <row r="224" spans="1:10">
      <c r="A224" s="5">
        <v>45658</v>
      </c>
      <c r="B224" t="s">
        <v>44</v>
      </c>
      <c r="C224" t="s">
        <v>45</v>
      </c>
      <c r="D224" t="s">
        <v>39</v>
      </c>
      <c r="E224" t="s">
        <v>40</v>
      </c>
      <c r="F224" s="6">
        <v>72</v>
      </c>
      <c r="G224" s="6">
        <v>1755.29</v>
      </c>
      <c r="H224" s="6">
        <v>1041.48</v>
      </c>
      <c r="I224" s="6">
        <v>126380.88</v>
      </c>
      <c r="J224" s="6">
        <v>74986.56</v>
      </c>
    </row>
    <row r="225" spans="1:10">
      <c r="A225" s="5">
        <v>45658</v>
      </c>
      <c r="B225" t="s">
        <v>44</v>
      </c>
      <c r="C225" t="s">
        <v>45</v>
      </c>
      <c r="D225" t="s">
        <v>39</v>
      </c>
      <c r="E225" t="s">
        <v>41</v>
      </c>
      <c r="F225" s="6">
        <v>36</v>
      </c>
      <c r="G225" s="6">
        <v>1655.28</v>
      </c>
      <c r="H225" s="6">
        <v>1041.48</v>
      </c>
      <c r="I225" s="6">
        <v>59590.08</v>
      </c>
      <c r="J225" s="6">
        <v>37493.28</v>
      </c>
    </row>
    <row r="226" spans="1:10">
      <c r="A226" s="5">
        <v>45658</v>
      </c>
      <c r="B226" t="s">
        <v>44</v>
      </c>
      <c r="C226" t="s">
        <v>45</v>
      </c>
      <c r="D226" t="s">
        <v>42</v>
      </c>
      <c r="E226" t="s">
        <v>40</v>
      </c>
      <c r="F226" s="6">
        <v>32</v>
      </c>
      <c r="G226" s="6">
        <v>1755.29</v>
      </c>
      <c r="H226" s="6">
        <v>1041.48</v>
      </c>
      <c r="I226" s="6">
        <v>56169.28</v>
      </c>
      <c r="J226" s="6">
        <v>33327.36</v>
      </c>
    </row>
    <row r="227" spans="1:10">
      <c r="A227" s="5">
        <v>45658</v>
      </c>
      <c r="B227" t="s">
        <v>44</v>
      </c>
      <c r="C227" t="s">
        <v>45</v>
      </c>
      <c r="D227" t="s">
        <v>42</v>
      </c>
      <c r="E227" t="s">
        <v>41</v>
      </c>
      <c r="F227" s="6">
        <v>17</v>
      </c>
      <c r="G227" s="6">
        <v>1655.28</v>
      </c>
      <c r="H227" s="6">
        <v>1041.48</v>
      </c>
      <c r="I227" s="6">
        <v>28139.76</v>
      </c>
      <c r="J227" s="6">
        <v>17705.16</v>
      </c>
    </row>
    <row r="228" spans="1:10">
      <c r="A228" s="5">
        <v>45658</v>
      </c>
      <c r="B228" t="s">
        <v>44</v>
      </c>
      <c r="C228" t="s">
        <v>45</v>
      </c>
      <c r="D228" t="s">
        <v>43</v>
      </c>
      <c r="E228" t="s">
        <v>40</v>
      </c>
      <c r="F228" s="6">
        <v>23</v>
      </c>
      <c r="G228" s="6">
        <v>1755.29</v>
      </c>
      <c r="H228" s="6">
        <v>1041.48</v>
      </c>
      <c r="I228" s="6">
        <v>40371.67</v>
      </c>
      <c r="J228" s="6">
        <v>23954.04</v>
      </c>
    </row>
    <row r="229" spans="1:10">
      <c r="A229" s="5">
        <v>45658</v>
      </c>
      <c r="B229" t="s">
        <v>44</v>
      </c>
      <c r="C229" t="s">
        <v>45</v>
      </c>
      <c r="D229" t="s">
        <v>43</v>
      </c>
      <c r="E229" t="s">
        <v>41</v>
      </c>
      <c r="F229" s="6">
        <v>11</v>
      </c>
      <c r="G229" s="6">
        <v>1655.28</v>
      </c>
      <c r="H229" s="6">
        <v>1041.48</v>
      </c>
      <c r="I229" s="6">
        <v>18208.08</v>
      </c>
      <c r="J229" s="6">
        <v>11456.28</v>
      </c>
    </row>
    <row r="230" spans="1:10">
      <c r="A230" s="5">
        <v>45658</v>
      </c>
      <c r="B230" t="s">
        <v>46</v>
      </c>
      <c r="C230" t="s">
        <v>47</v>
      </c>
      <c r="D230" t="s">
        <v>39</v>
      </c>
      <c r="E230" t="s">
        <v>40</v>
      </c>
      <c r="F230" s="6">
        <v>49</v>
      </c>
      <c r="G230" s="6">
        <v>723.39</v>
      </c>
      <c r="H230" s="6">
        <v>399.76</v>
      </c>
      <c r="I230" s="6">
        <v>35446.11</v>
      </c>
      <c r="J230" s="6">
        <v>19588.24</v>
      </c>
    </row>
    <row r="231" spans="1:10">
      <c r="A231" s="5">
        <v>45658</v>
      </c>
      <c r="B231" t="s">
        <v>46</v>
      </c>
      <c r="C231" t="s">
        <v>47</v>
      </c>
      <c r="D231" t="s">
        <v>39</v>
      </c>
      <c r="E231" t="s">
        <v>41</v>
      </c>
      <c r="F231" s="6">
        <v>24</v>
      </c>
      <c r="G231" s="6">
        <v>682.1799999999999</v>
      </c>
      <c r="H231" s="6">
        <v>399.76</v>
      </c>
      <c r="I231" s="6">
        <v>16372.32</v>
      </c>
      <c r="J231" s="6">
        <v>9594.24</v>
      </c>
    </row>
    <row r="232" spans="1:10">
      <c r="A232" s="5">
        <v>45658</v>
      </c>
      <c r="B232" t="s">
        <v>46</v>
      </c>
      <c r="C232" t="s">
        <v>47</v>
      </c>
      <c r="D232" t="s">
        <v>42</v>
      </c>
      <c r="E232" t="s">
        <v>40</v>
      </c>
      <c r="F232" s="6">
        <v>22</v>
      </c>
      <c r="G232" s="6">
        <v>723.39</v>
      </c>
      <c r="H232" s="6">
        <v>399.76</v>
      </c>
      <c r="I232" s="6">
        <v>15914.58</v>
      </c>
      <c r="J232" s="6">
        <v>8794.719999999999</v>
      </c>
    </row>
    <row r="233" spans="1:10">
      <c r="A233" s="5">
        <v>45658</v>
      </c>
      <c r="B233" t="s">
        <v>46</v>
      </c>
      <c r="C233" t="s">
        <v>47</v>
      </c>
      <c r="D233" t="s">
        <v>42</v>
      </c>
      <c r="E233" t="s">
        <v>41</v>
      </c>
      <c r="F233" s="6">
        <v>12</v>
      </c>
      <c r="G233" s="6">
        <v>682.1799999999999</v>
      </c>
      <c r="H233" s="6">
        <v>399.76</v>
      </c>
      <c r="I233" s="6">
        <v>8186.16</v>
      </c>
      <c r="J233" s="6">
        <v>4797.12</v>
      </c>
    </row>
    <row r="234" spans="1:10">
      <c r="A234" s="5">
        <v>45658</v>
      </c>
      <c r="B234" t="s">
        <v>46</v>
      </c>
      <c r="C234" t="s">
        <v>47</v>
      </c>
      <c r="D234" t="s">
        <v>43</v>
      </c>
      <c r="E234" t="s">
        <v>40</v>
      </c>
      <c r="F234" s="6">
        <v>15</v>
      </c>
      <c r="G234" s="6">
        <v>723.39</v>
      </c>
      <c r="H234" s="6">
        <v>399.76</v>
      </c>
      <c r="I234" s="6">
        <v>10850.85</v>
      </c>
      <c r="J234" s="6">
        <v>5996.4</v>
      </c>
    </row>
    <row r="235" spans="1:10">
      <c r="A235" s="5">
        <v>45658</v>
      </c>
      <c r="B235" t="s">
        <v>46</v>
      </c>
      <c r="C235" t="s">
        <v>47</v>
      </c>
      <c r="D235" t="s">
        <v>43</v>
      </c>
      <c r="E235" t="s">
        <v>41</v>
      </c>
      <c r="F235" s="6">
        <v>8</v>
      </c>
      <c r="G235" s="6">
        <v>682.1799999999999</v>
      </c>
      <c r="H235" s="6">
        <v>399.76</v>
      </c>
      <c r="I235" s="6">
        <v>5457.44</v>
      </c>
      <c r="J235" s="6">
        <v>3198.08</v>
      </c>
    </row>
    <row r="236" spans="1:10">
      <c r="A236" s="5">
        <v>45689</v>
      </c>
      <c r="B236" t="s">
        <v>37</v>
      </c>
      <c r="C236" t="s">
        <v>38</v>
      </c>
      <c r="D236" t="s">
        <v>39</v>
      </c>
      <c r="E236" t="s">
        <v>40</v>
      </c>
      <c r="F236" s="6">
        <v>102</v>
      </c>
      <c r="G236" s="6">
        <v>2765.91</v>
      </c>
      <c r="H236" s="6">
        <v>1992.9</v>
      </c>
      <c r="I236" s="6">
        <v>282122.82</v>
      </c>
      <c r="J236" s="6">
        <v>203275.8</v>
      </c>
    </row>
    <row r="237" spans="1:10">
      <c r="A237" s="5">
        <v>45689</v>
      </c>
      <c r="B237" t="s">
        <v>37</v>
      </c>
      <c r="C237" t="s">
        <v>38</v>
      </c>
      <c r="D237" t="s">
        <v>39</v>
      </c>
      <c r="E237" t="s">
        <v>41</v>
      </c>
      <c r="F237" s="6">
        <v>54</v>
      </c>
      <c r="G237" s="6">
        <v>2608.32</v>
      </c>
      <c r="H237" s="6">
        <v>1992.9</v>
      </c>
      <c r="I237" s="6">
        <v>140849.28</v>
      </c>
      <c r="J237" s="6">
        <v>107616.6</v>
      </c>
    </row>
    <row r="238" spans="1:10">
      <c r="A238" s="5">
        <v>45689</v>
      </c>
      <c r="B238" t="s">
        <v>37</v>
      </c>
      <c r="C238" t="s">
        <v>38</v>
      </c>
      <c r="D238" t="s">
        <v>42</v>
      </c>
      <c r="E238" t="s">
        <v>40</v>
      </c>
      <c r="F238" s="6">
        <v>46</v>
      </c>
      <c r="G238" s="6">
        <v>2765.91</v>
      </c>
      <c r="H238" s="6">
        <v>1992.9</v>
      </c>
      <c r="I238" s="6">
        <v>127231.86</v>
      </c>
      <c r="J238" s="6">
        <v>91673.39999999999</v>
      </c>
    </row>
    <row r="239" spans="1:10">
      <c r="A239" s="5">
        <v>45689</v>
      </c>
      <c r="B239" t="s">
        <v>37</v>
      </c>
      <c r="C239" t="s">
        <v>38</v>
      </c>
      <c r="D239" t="s">
        <v>42</v>
      </c>
      <c r="E239" t="s">
        <v>41</v>
      </c>
      <c r="F239" s="6">
        <v>25</v>
      </c>
      <c r="G239" s="6">
        <v>2608.32</v>
      </c>
      <c r="H239" s="6">
        <v>1992.9</v>
      </c>
      <c r="I239" s="6">
        <v>65208</v>
      </c>
      <c r="J239" s="6">
        <v>49822.5</v>
      </c>
    </row>
    <row r="240" spans="1:10">
      <c r="A240" s="5">
        <v>45689</v>
      </c>
      <c r="B240" t="s">
        <v>37</v>
      </c>
      <c r="C240" t="s">
        <v>38</v>
      </c>
      <c r="D240" t="s">
        <v>43</v>
      </c>
      <c r="E240" t="s">
        <v>40</v>
      </c>
      <c r="F240" s="6">
        <v>33</v>
      </c>
      <c r="G240" s="6">
        <v>2765.91</v>
      </c>
      <c r="H240" s="6">
        <v>1992.9</v>
      </c>
      <c r="I240" s="6">
        <v>91275.03</v>
      </c>
      <c r="J240" s="6">
        <v>65765.7</v>
      </c>
    </row>
    <row r="241" spans="1:10">
      <c r="A241" s="5">
        <v>45689</v>
      </c>
      <c r="B241" t="s">
        <v>37</v>
      </c>
      <c r="C241" t="s">
        <v>38</v>
      </c>
      <c r="D241" t="s">
        <v>43</v>
      </c>
      <c r="E241" t="s">
        <v>41</v>
      </c>
      <c r="F241" s="6">
        <v>17</v>
      </c>
      <c r="G241" s="6">
        <v>2608.32</v>
      </c>
      <c r="H241" s="6">
        <v>1992.9</v>
      </c>
      <c r="I241" s="6">
        <v>44341.44</v>
      </c>
      <c r="J241" s="6">
        <v>33879.3</v>
      </c>
    </row>
    <row r="242" spans="1:10">
      <c r="A242" s="5">
        <v>45689</v>
      </c>
      <c r="B242" t="s">
        <v>44</v>
      </c>
      <c r="C242" t="s">
        <v>45</v>
      </c>
      <c r="D242" t="s">
        <v>39</v>
      </c>
      <c r="E242" t="s">
        <v>40</v>
      </c>
      <c r="F242" s="6">
        <v>69</v>
      </c>
      <c r="G242" s="6">
        <v>1755.29</v>
      </c>
      <c r="H242" s="6">
        <v>1041.48</v>
      </c>
      <c r="I242" s="6">
        <v>121115.01</v>
      </c>
      <c r="J242" s="6">
        <v>71862.12</v>
      </c>
    </row>
    <row r="243" spans="1:10">
      <c r="A243" s="5">
        <v>45689</v>
      </c>
      <c r="B243" t="s">
        <v>44</v>
      </c>
      <c r="C243" t="s">
        <v>45</v>
      </c>
      <c r="D243" t="s">
        <v>39</v>
      </c>
      <c r="E243" t="s">
        <v>41</v>
      </c>
      <c r="F243" s="6">
        <v>38</v>
      </c>
      <c r="G243" s="6">
        <v>1655.28</v>
      </c>
      <c r="H243" s="6">
        <v>1041.48</v>
      </c>
      <c r="I243" s="6">
        <v>62900.64</v>
      </c>
      <c r="J243" s="6">
        <v>39576.24</v>
      </c>
    </row>
    <row r="244" spans="1:10">
      <c r="A244" s="5">
        <v>45689</v>
      </c>
      <c r="B244" t="s">
        <v>44</v>
      </c>
      <c r="C244" t="s">
        <v>45</v>
      </c>
      <c r="D244" t="s">
        <v>42</v>
      </c>
      <c r="E244" t="s">
        <v>40</v>
      </c>
      <c r="F244" s="6">
        <v>33</v>
      </c>
      <c r="G244" s="6">
        <v>1755.29</v>
      </c>
      <c r="H244" s="6">
        <v>1041.48</v>
      </c>
      <c r="I244" s="6">
        <v>57924.57</v>
      </c>
      <c r="J244" s="6">
        <v>34368.84</v>
      </c>
    </row>
    <row r="245" spans="1:10">
      <c r="A245" s="5">
        <v>45689</v>
      </c>
      <c r="B245" t="s">
        <v>44</v>
      </c>
      <c r="C245" t="s">
        <v>45</v>
      </c>
      <c r="D245" t="s">
        <v>42</v>
      </c>
      <c r="E245" t="s">
        <v>41</v>
      </c>
      <c r="F245" s="6">
        <v>17</v>
      </c>
      <c r="G245" s="6">
        <v>1655.28</v>
      </c>
      <c r="H245" s="6">
        <v>1041.48</v>
      </c>
      <c r="I245" s="6">
        <v>28139.76</v>
      </c>
      <c r="J245" s="6">
        <v>17705.16</v>
      </c>
    </row>
    <row r="246" spans="1:10">
      <c r="A246" s="5">
        <v>45689</v>
      </c>
      <c r="B246" t="s">
        <v>44</v>
      </c>
      <c r="C246" t="s">
        <v>45</v>
      </c>
      <c r="D246" t="s">
        <v>43</v>
      </c>
      <c r="E246" t="s">
        <v>40</v>
      </c>
      <c r="F246" s="6">
        <v>24</v>
      </c>
      <c r="G246" s="6">
        <v>1755.29</v>
      </c>
      <c r="H246" s="6">
        <v>1041.48</v>
      </c>
      <c r="I246" s="6">
        <v>42126.96</v>
      </c>
      <c r="J246" s="6">
        <v>24995.52</v>
      </c>
    </row>
    <row r="247" spans="1:10">
      <c r="A247" s="5">
        <v>45689</v>
      </c>
      <c r="B247" t="s">
        <v>44</v>
      </c>
      <c r="C247" t="s">
        <v>45</v>
      </c>
      <c r="D247" t="s">
        <v>43</v>
      </c>
      <c r="E247" t="s">
        <v>41</v>
      </c>
      <c r="F247" s="6">
        <v>12</v>
      </c>
      <c r="G247" s="6">
        <v>1655.28</v>
      </c>
      <c r="H247" s="6">
        <v>1041.48</v>
      </c>
      <c r="I247" s="6">
        <v>19863.36</v>
      </c>
      <c r="J247" s="6">
        <v>12497.76</v>
      </c>
    </row>
    <row r="248" spans="1:10">
      <c r="A248" s="5">
        <v>45689</v>
      </c>
      <c r="B248" t="s">
        <v>46</v>
      </c>
      <c r="C248" t="s">
        <v>47</v>
      </c>
      <c r="D248" t="s">
        <v>39</v>
      </c>
      <c r="E248" t="s">
        <v>40</v>
      </c>
      <c r="F248" s="6">
        <v>51</v>
      </c>
      <c r="G248" s="6">
        <v>723.39</v>
      </c>
      <c r="H248" s="6">
        <v>399.76</v>
      </c>
      <c r="I248" s="6">
        <v>36892.89</v>
      </c>
      <c r="J248" s="6">
        <v>20387.76</v>
      </c>
    </row>
    <row r="249" spans="1:10">
      <c r="A249" s="5">
        <v>45689</v>
      </c>
      <c r="B249" t="s">
        <v>46</v>
      </c>
      <c r="C249" t="s">
        <v>47</v>
      </c>
      <c r="D249" t="s">
        <v>39</v>
      </c>
      <c r="E249" t="s">
        <v>41</v>
      </c>
      <c r="F249" s="6">
        <v>26</v>
      </c>
      <c r="G249" s="6">
        <v>682.1799999999999</v>
      </c>
      <c r="H249" s="6">
        <v>399.76</v>
      </c>
      <c r="I249" s="6">
        <v>17736.68</v>
      </c>
      <c r="J249" s="6">
        <v>10393.76</v>
      </c>
    </row>
    <row r="250" spans="1:10">
      <c r="A250" s="5">
        <v>45689</v>
      </c>
      <c r="B250" t="s">
        <v>46</v>
      </c>
      <c r="C250" t="s">
        <v>47</v>
      </c>
      <c r="D250" t="s">
        <v>42</v>
      </c>
      <c r="E250" t="s">
        <v>40</v>
      </c>
      <c r="F250" s="6">
        <v>21</v>
      </c>
      <c r="G250" s="6">
        <v>723.39</v>
      </c>
      <c r="H250" s="6">
        <v>399.76</v>
      </c>
      <c r="I250" s="6">
        <v>15191.19</v>
      </c>
      <c r="J250" s="6">
        <v>8394.959999999999</v>
      </c>
    </row>
    <row r="251" spans="1:10">
      <c r="A251" s="5">
        <v>45689</v>
      </c>
      <c r="B251" t="s">
        <v>46</v>
      </c>
      <c r="C251" t="s">
        <v>47</v>
      </c>
      <c r="D251" t="s">
        <v>42</v>
      </c>
      <c r="E251" t="s">
        <v>41</v>
      </c>
      <c r="F251" s="6">
        <v>11</v>
      </c>
      <c r="G251" s="6">
        <v>682.1799999999999</v>
      </c>
      <c r="H251" s="6">
        <v>399.76</v>
      </c>
      <c r="I251" s="6">
        <v>7503.98</v>
      </c>
      <c r="J251" s="6">
        <v>4397.36</v>
      </c>
    </row>
    <row r="252" spans="1:10">
      <c r="A252" s="5">
        <v>45689</v>
      </c>
      <c r="B252" t="s">
        <v>46</v>
      </c>
      <c r="C252" t="s">
        <v>47</v>
      </c>
      <c r="D252" t="s">
        <v>43</v>
      </c>
      <c r="E252" t="s">
        <v>40</v>
      </c>
      <c r="F252" s="6">
        <v>15</v>
      </c>
      <c r="G252" s="6">
        <v>723.39</v>
      </c>
      <c r="H252" s="6">
        <v>399.76</v>
      </c>
      <c r="I252" s="6">
        <v>10850.85</v>
      </c>
      <c r="J252" s="6">
        <v>5996.4</v>
      </c>
    </row>
    <row r="253" spans="1:10">
      <c r="A253" s="5">
        <v>45689</v>
      </c>
      <c r="B253" t="s">
        <v>46</v>
      </c>
      <c r="C253" t="s">
        <v>47</v>
      </c>
      <c r="D253" t="s">
        <v>43</v>
      </c>
      <c r="E253" t="s">
        <v>41</v>
      </c>
      <c r="F253" s="6">
        <v>8</v>
      </c>
      <c r="G253" s="6">
        <v>682.1799999999999</v>
      </c>
      <c r="H253" s="6">
        <v>399.76</v>
      </c>
      <c r="I253" s="6">
        <v>5457.44</v>
      </c>
      <c r="J253" s="6">
        <v>3198.08</v>
      </c>
    </row>
    <row r="254" spans="1:10">
      <c r="A254" s="5">
        <v>45717</v>
      </c>
      <c r="B254" t="s">
        <v>37</v>
      </c>
      <c r="C254" t="s">
        <v>38</v>
      </c>
      <c r="D254" t="s">
        <v>39</v>
      </c>
      <c r="E254" t="s">
        <v>40</v>
      </c>
      <c r="F254" s="6">
        <v>119</v>
      </c>
      <c r="G254" s="6">
        <v>2765.91</v>
      </c>
      <c r="H254" s="6">
        <v>1992.9</v>
      </c>
      <c r="I254" s="6">
        <v>329143.29</v>
      </c>
      <c r="J254" s="6">
        <v>237155.1</v>
      </c>
    </row>
    <row r="255" spans="1:10">
      <c r="A255" s="5">
        <v>45717</v>
      </c>
      <c r="B255" t="s">
        <v>37</v>
      </c>
      <c r="C255" t="s">
        <v>38</v>
      </c>
      <c r="D255" t="s">
        <v>39</v>
      </c>
      <c r="E255" t="s">
        <v>41</v>
      </c>
      <c r="F255" s="6">
        <v>65</v>
      </c>
      <c r="G255" s="6">
        <v>2608.32</v>
      </c>
      <c r="H255" s="6">
        <v>1992.9</v>
      </c>
      <c r="I255" s="6">
        <v>169540.8</v>
      </c>
      <c r="J255" s="6">
        <v>129538.5</v>
      </c>
    </row>
    <row r="256" spans="1:10">
      <c r="A256" s="5">
        <v>45717</v>
      </c>
      <c r="B256" t="s">
        <v>37</v>
      </c>
      <c r="C256" t="s">
        <v>38</v>
      </c>
      <c r="D256" t="s">
        <v>42</v>
      </c>
      <c r="E256" t="s">
        <v>40</v>
      </c>
      <c r="F256" s="6">
        <v>57</v>
      </c>
      <c r="G256" s="6">
        <v>2765.91</v>
      </c>
      <c r="H256" s="6">
        <v>1992.9</v>
      </c>
      <c r="I256" s="6">
        <v>157656.87</v>
      </c>
      <c r="J256" s="6">
        <v>113595.3</v>
      </c>
    </row>
    <row r="257" spans="1:10">
      <c r="A257" s="5">
        <v>45717</v>
      </c>
      <c r="B257" t="s">
        <v>37</v>
      </c>
      <c r="C257" t="s">
        <v>38</v>
      </c>
      <c r="D257" t="s">
        <v>42</v>
      </c>
      <c r="E257" t="s">
        <v>41</v>
      </c>
      <c r="F257" s="6">
        <v>28</v>
      </c>
      <c r="G257" s="6">
        <v>2608.32</v>
      </c>
      <c r="H257" s="6">
        <v>1992.9</v>
      </c>
      <c r="I257" s="6">
        <v>73032.96000000001</v>
      </c>
      <c r="J257" s="6">
        <v>55801.2</v>
      </c>
    </row>
    <row r="258" spans="1:10">
      <c r="A258" s="5">
        <v>45717</v>
      </c>
      <c r="B258" t="s">
        <v>37</v>
      </c>
      <c r="C258" t="s">
        <v>38</v>
      </c>
      <c r="D258" t="s">
        <v>43</v>
      </c>
      <c r="E258" t="s">
        <v>40</v>
      </c>
      <c r="F258" s="6">
        <v>38</v>
      </c>
      <c r="G258" s="6">
        <v>2765.91</v>
      </c>
      <c r="H258" s="6">
        <v>1992.9</v>
      </c>
      <c r="I258" s="6">
        <v>105104.58</v>
      </c>
      <c r="J258" s="6">
        <v>75730.2</v>
      </c>
    </row>
    <row r="259" spans="1:10">
      <c r="A259" s="5">
        <v>45717</v>
      </c>
      <c r="B259" t="s">
        <v>37</v>
      </c>
      <c r="C259" t="s">
        <v>38</v>
      </c>
      <c r="D259" t="s">
        <v>43</v>
      </c>
      <c r="E259" t="s">
        <v>41</v>
      </c>
      <c r="F259" s="6">
        <v>21</v>
      </c>
      <c r="G259" s="6">
        <v>2608.32</v>
      </c>
      <c r="H259" s="6">
        <v>1992.9</v>
      </c>
      <c r="I259" s="6">
        <v>54774.72</v>
      </c>
      <c r="J259" s="6">
        <v>41850.9</v>
      </c>
    </row>
    <row r="260" spans="1:10">
      <c r="A260" s="5">
        <v>45717</v>
      </c>
      <c r="B260" t="s">
        <v>44</v>
      </c>
      <c r="C260" t="s">
        <v>45</v>
      </c>
      <c r="D260" t="s">
        <v>39</v>
      </c>
      <c r="E260" t="s">
        <v>40</v>
      </c>
      <c r="F260" s="6">
        <v>82</v>
      </c>
      <c r="G260" s="6">
        <v>1755.29</v>
      </c>
      <c r="H260" s="6">
        <v>1041.48</v>
      </c>
      <c r="I260" s="6">
        <v>143933.78</v>
      </c>
      <c r="J260" s="6">
        <v>85401.36</v>
      </c>
    </row>
    <row r="261" spans="1:10">
      <c r="A261" s="5">
        <v>45717</v>
      </c>
      <c r="B261" t="s">
        <v>44</v>
      </c>
      <c r="C261" t="s">
        <v>45</v>
      </c>
      <c r="D261" t="s">
        <v>39</v>
      </c>
      <c r="E261" t="s">
        <v>41</v>
      </c>
      <c r="F261" s="6">
        <v>44</v>
      </c>
      <c r="G261" s="6">
        <v>1655.28</v>
      </c>
      <c r="H261" s="6">
        <v>1041.48</v>
      </c>
      <c r="I261" s="6">
        <v>72832.32000000001</v>
      </c>
      <c r="J261" s="6">
        <v>45825.12</v>
      </c>
    </row>
    <row r="262" spans="1:10">
      <c r="A262" s="5">
        <v>45717</v>
      </c>
      <c r="B262" t="s">
        <v>44</v>
      </c>
      <c r="C262" t="s">
        <v>45</v>
      </c>
      <c r="D262" t="s">
        <v>42</v>
      </c>
      <c r="E262" t="s">
        <v>40</v>
      </c>
      <c r="F262" s="6">
        <v>37</v>
      </c>
      <c r="G262" s="6">
        <v>1755.29</v>
      </c>
      <c r="H262" s="6">
        <v>1041.48</v>
      </c>
      <c r="I262" s="6">
        <v>64945.73</v>
      </c>
      <c r="J262" s="6">
        <v>38534.76</v>
      </c>
    </row>
    <row r="263" spans="1:10">
      <c r="A263" s="5">
        <v>45717</v>
      </c>
      <c r="B263" t="s">
        <v>44</v>
      </c>
      <c r="C263" t="s">
        <v>45</v>
      </c>
      <c r="D263" t="s">
        <v>42</v>
      </c>
      <c r="E263" t="s">
        <v>41</v>
      </c>
      <c r="F263" s="6">
        <v>21</v>
      </c>
      <c r="G263" s="6">
        <v>1655.28</v>
      </c>
      <c r="H263" s="6">
        <v>1041.48</v>
      </c>
      <c r="I263" s="6">
        <v>34760.88</v>
      </c>
      <c r="J263" s="6">
        <v>21871.08</v>
      </c>
    </row>
    <row r="264" spans="1:10">
      <c r="A264" s="5">
        <v>45717</v>
      </c>
      <c r="B264" t="s">
        <v>44</v>
      </c>
      <c r="C264" t="s">
        <v>45</v>
      </c>
      <c r="D264" t="s">
        <v>43</v>
      </c>
      <c r="E264" t="s">
        <v>40</v>
      </c>
      <c r="F264" s="6">
        <v>29</v>
      </c>
      <c r="G264" s="6">
        <v>1755.29</v>
      </c>
      <c r="H264" s="6">
        <v>1041.48</v>
      </c>
      <c r="I264" s="6">
        <v>50903.41</v>
      </c>
      <c r="J264" s="6">
        <v>30202.92</v>
      </c>
    </row>
    <row r="265" spans="1:10">
      <c r="A265" s="5">
        <v>45717</v>
      </c>
      <c r="B265" t="s">
        <v>44</v>
      </c>
      <c r="C265" t="s">
        <v>45</v>
      </c>
      <c r="D265" t="s">
        <v>43</v>
      </c>
      <c r="E265" t="s">
        <v>41</v>
      </c>
      <c r="F265" s="6">
        <v>15</v>
      </c>
      <c r="G265" s="6">
        <v>1655.28</v>
      </c>
      <c r="H265" s="6">
        <v>1041.48</v>
      </c>
      <c r="I265" s="6">
        <v>24829.2</v>
      </c>
      <c r="J265" s="6">
        <v>15622.2</v>
      </c>
    </row>
    <row r="266" spans="1:10">
      <c r="A266" s="5">
        <v>45717</v>
      </c>
      <c r="B266" t="s">
        <v>46</v>
      </c>
      <c r="C266" t="s">
        <v>47</v>
      </c>
      <c r="D266" t="s">
        <v>39</v>
      </c>
      <c r="E266" t="s">
        <v>40</v>
      </c>
      <c r="F266" s="6">
        <v>55</v>
      </c>
      <c r="G266" s="6">
        <v>723.39</v>
      </c>
      <c r="H266" s="6">
        <v>399.76</v>
      </c>
      <c r="I266" s="6">
        <v>39786.45</v>
      </c>
      <c r="J266" s="6">
        <v>21986.8</v>
      </c>
    </row>
    <row r="267" spans="1:10">
      <c r="A267" s="5">
        <v>45717</v>
      </c>
      <c r="B267" t="s">
        <v>46</v>
      </c>
      <c r="C267" t="s">
        <v>47</v>
      </c>
      <c r="D267" t="s">
        <v>39</v>
      </c>
      <c r="E267" t="s">
        <v>41</v>
      </c>
      <c r="F267" s="6">
        <v>30</v>
      </c>
      <c r="G267" s="6">
        <v>682.1799999999999</v>
      </c>
      <c r="H267" s="6">
        <v>399.76</v>
      </c>
      <c r="I267" s="6">
        <v>20465.4</v>
      </c>
      <c r="J267" s="6">
        <v>11992.8</v>
      </c>
    </row>
    <row r="268" spans="1:10">
      <c r="A268" s="5">
        <v>45717</v>
      </c>
      <c r="B268" t="s">
        <v>46</v>
      </c>
      <c r="C268" t="s">
        <v>47</v>
      </c>
      <c r="D268" t="s">
        <v>42</v>
      </c>
      <c r="E268" t="s">
        <v>40</v>
      </c>
      <c r="F268" s="6">
        <v>27</v>
      </c>
      <c r="G268" s="6">
        <v>723.39</v>
      </c>
      <c r="H268" s="6">
        <v>399.76</v>
      </c>
      <c r="I268" s="6">
        <v>19531.53</v>
      </c>
      <c r="J268" s="6">
        <v>10793.52</v>
      </c>
    </row>
    <row r="269" spans="1:10">
      <c r="A269" s="5">
        <v>45717</v>
      </c>
      <c r="B269" t="s">
        <v>46</v>
      </c>
      <c r="C269" t="s">
        <v>47</v>
      </c>
      <c r="D269" t="s">
        <v>42</v>
      </c>
      <c r="E269" t="s">
        <v>41</v>
      </c>
      <c r="F269" s="6">
        <v>13</v>
      </c>
      <c r="G269" s="6">
        <v>682.1799999999999</v>
      </c>
      <c r="H269" s="6">
        <v>399.76</v>
      </c>
      <c r="I269" s="6">
        <v>8868.34</v>
      </c>
      <c r="J269" s="6">
        <v>5196.88</v>
      </c>
    </row>
    <row r="270" spans="1:10">
      <c r="A270" s="5">
        <v>45717</v>
      </c>
      <c r="B270" t="s">
        <v>46</v>
      </c>
      <c r="C270" t="s">
        <v>47</v>
      </c>
      <c r="D270" t="s">
        <v>43</v>
      </c>
      <c r="E270" t="s">
        <v>40</v>
      </c>
      <c r="F270" s="6">
        <v>18</v>
      </c>
      <c r="G270" s="6">
        <v>723.39</v>
      </c>
      <c r="H270" s="6">
        <v>399.76</v>
      </c>
      <c r="I270" s="6">
        <v>13021.02</v>
      </c>
      <c r="J270" s="6">
        <v>7195.68</v>
      </c>
    </row>
    <row r="271" spans="1:10">
      <c r="A271" s="5">
        <v>45717</v>
      </c>
      <c r="B271" t="s">
        <v>46</v>
      </c>
      <c r="C271" t="s">
        <v>47</v>
      </c>
      <c r="D271" t="s">
        <v>43</v>
      </c>
      <c r="E271" t="s">
        <v>41</v>
      </c>
      <c r="F271" s="6">
        <v>10</v>
      </c>
      <c r="G271" s="6">
        <v>682.1799999999999</v>
      </c>
      <c r="H271" s="6">
        <v>399.76</v>
      </c>
      <c r="I271" s="6">
        <v>6821.8</v>
      </c>
      <c r="J271" s="6">
        <v>3997.6</v>
      </c>
    </row>
    <row r="272" spans="1:10">
      <c r="A272" s="5">
        <v>45748</v>
      </c>
      <c r="B272" t="s">
        <v>37</v>
      </c>
      <c r="C272" t="s">
        <v>38</v>
      </c>
      <c r="D272" t="s">
        <v>39</v>
      </c>
      <c r="E272" t="s">
        <v>40</v>
      </c>
      <c r="F272" s="6">
        <v>121</v>
      </c>
      <c r="G272" s="6">
        <v>2765.91</v>
      </c>
      <c r="H272" s="6">
        <v>1992.9</v>
      </c>
      <c r="I272" s="6">
        <v>334675.11</v>
      </c>
      <c r="J272" s="6">
        <v>241140.9</v>
      </c>
    </row>
    <row r="273" spans="1:10">
      <c r="A273" s="5">
        <v>45748</v>
      </c>
      <c r="B273" t="s">
        <v>37</v>
      </c>
      <c r="C273" t="s">
        <v>38</v>
      </c>
      <c r="D273" t="s">
        <v>39</v>
      </c>
      <c r="E273" t="s">
        <v>41</v>
      </c>
      <c r="F273" s="6">
        <v>64</v>
      </c>
      <c r="G273" s="6">
        <v>2608.32</v>
      </c>
      <c r="H273" s="6">
        <v>1992.9</v>
      </c>
      <c r="I273" s="6">
        <v>166932.48</v>
      </c>
      <c r="J273" s="6">
        <v>127545.6</v>
      </c>
    </row>
    <row r="274" spans="1:10">
      <c r="A274" s="5">
        <v>45748</v>
      </c>
      <c r="B274" t="s">
        <v>37</v>
      </c>
      <c r="C274" t="s">
        <v>38</v>
      </c>
      <c r="D274" t="s">
        <v>42</v>
      </c>
      <c r="E274" t="s">
        <v>40</v>
      </c>
      <c r="F274" s="6">
        <v>58</v>
      </c>
      <c r="G274" s="6">
        <v>2765.91</v>
      </c>
      <c r="H274" s="6">
        <v>1992.9</v>
      </c>
      <c r="I274" s="6">
        <v>160422.78</v>
      </c>
      <c r="J274" s="6">
        <v>115588.2</v>
      </c>
    </row>
    <row r="275" spans="1:10">
      <c r="A275" s="5">
        <v>45748</v>
      </c>
      <c r="B275" t="s">
        <v>37</v>
      </c>
      <c r="C275" t="s">
        <v>38</v>
      </c>
      <c r="D275" t="s">
        <v>42</v>
      </c>
      <c r="E275" t="s">
        <v>41</v>
      </c>
      <c r="F275" s="6">
        <v>30</v>
      </c>
      <c r="G275" s="6">
        <v>2608.32</v>
      </c>
      <c r="H275" s="6">
        <v>1992.9</v>
      </c>
      <c r="I275" s="6">
        <v>78249.60000000001</v>
      </c>
      <c r="J275" s="6">
        <v>59787</v>
      </c>
    </row>
    <row r="276" spans="1:10">
      <c r="A276" s="5">
        <v>45748</v>
      </c>
      <c r="B276" t="s">
        <v>37</v>
      </c>
      <c r="C276" t="s">
        <v>38</v>
      </c>
      <c r="D276" t="s">
        <v>43</v>
      </c>
      <c r="E276" t="s">
        <v>40</v>
      </c>
      <c r="F276" s="6">
        <v>38</v>
      </c>
      <c r="G276" s="6">
        <v>2765.91</v>
      </c>
      <c r="H276" s="6">
        <v>1992.9</v>
      </c>
      <c r="I276" s="6">
        <v>105104.58</v>
      </c>
      <c r="J276" s="6">
        <v>75730.2</v>
      </c>
    </row>
    <row r="277" spans="1:10">
      <c r="A277" s="5">
        <v>45748</v>
      </c>
      <c r="B277" t="s">
        <v>37</v>
      </c>
      <c r="C277" t="s">
        <v>38</v>
      </c>
      <c r="D277" t="s">
        <v>43</v>
      </c>
      <c r="E277" t="s">
        <v>41</v>
      </c>
      <c r="F277" s="6">
        <v>21</v>
      </c>
      <c r="G277" s="6">
        <v>2608.32</v>
      </c>
      <c r="H277" s="6">
        <v>1992.9</v>
      </c>
      <c r="I277" s="6">
        <v>54774.72</v>
      </c>
      <c r="J277" s="6">
        <v>41850.9</v>
      </c>
    </row>
    <row r="278" spans="1:10">
      <c r="A278" s="5">
        <v>45748</v>
      </c>
      <c r="B278" t="s">
        <v>44</v>
      </c>
      <c r="C278" t="s">
        <v>45</v>
      </c>
      <c r="D278" t="s">
        <v>39</v>
      </c>
      <c r="E278" t="s">
        <v>40</v>
      </c>
      <c r="F278" s="6">
        <v>79</v>
      </c>
      <c r="G278" s="6">
        <v>1755.29</v>
      </c>
      <c r="H278" s="6">
        <v>1041.48</v>
      </c>
      <c r="I278" s="6">
        <v>138667.91</v>
      </c>
      <c r="J278" s="6">
        <v>82276.92</v>
      </c>
    </row>
    <row r="279" spans="1:10">
      <c r="A279" s="5">
        <v>45748</v>
      </c>
      <c r="B279" t="s">
        <v>44</v>
      </c>
      <c r="C279" t="s">
        <v>45</v>
      </c>
      <c r="D279" t="s">
        <v>39</v>
      </c>
      <c r="E279" t="s">
        <v>41</v>
      </c>
      <c r="F279" s="6">
        <v>42</v>
      </c>
      <c r="G279" s="6">
        <v>1655.28</v>
      </c>
      <c r="H279" s="6">
        <v>1041.48</v>
      </c>
      <c r="I279" s="6">
        <v>69521.75999999999</v>
      </c>
      <c r="J279" s="6">
        <v>43742.16</v>
      </c>
    </row>
    <row r="280" spans="1:10">
      <c r="A280" s="5">
        <v>45748</v>
      </c>
      <c r="B280" t="s">
        <v>44</v>
      </c>
      <c r="C280" t="s">
        <v>45</v>
      </c>
      <c r="D280" t="s">
        <v>42</v>
      </c>
      <c r="E280" t="s">
        <v>40</v>
      </c>
      <c r="F280" s="6">
        <v>39</v>
      </c>
      <c r="G280" s="6">
        <v>1755.29</v>
      </c>
      <c r="H280" s="6">
        <v>1041.48</v>
      </c>
      <c r="I280" s="6">
        <v>68456.31</v>
      </c>
      <c r="J280" s="6">
        <v>40617.72</v>
      </c>
    </row>
    <row r="281" spans="1:10">
      <c r="A281" s="5">
        <v>45748</v>
      </c>
      <c r="B281" t="s">
        <v>44</v>
      </c>
      <c r="C281" t="s">
        <v>45</v>
      </c>
      <c r="D281" t="s">
        <v>42</v>
      </c>
      <c r="E281" t="s">
        <v>41</v>
      </c>
      <c r="F281" s="6">
        <v>19</v>
      </c>
      <c r="G281" s="6">
        <v>1655.28</v>
      </c>
      <c r="H281" s="6">
        <v>1041.48</v>
      </c>
      <c r="I281" s="6">
        <v>31450.32</v>
      </c>
      <c r="J281" s="6">
        <v>19788.12</v>
      </c>
    </row>
    <row r="282" spans="1:10">
      <c r="A282" s="5">
        <v>45748</v>
      </c>
      <c r="B282" t="s">
        <v>44</v>
      </c>
      <c r="C282" t="s">
        <v>45</v>
      </c>
      <c r="D282" t="s">
        <v>43</v>
      </c>
      <c r="E282" t="s">
        <v>40</v>
      </c>
      <c r="F282" s="6">
        <v>27</v>
      </c>
      <c r="G282" s="6">
        <v>1755.29</v>
      </c>
      <c r="H282" s="6">
        <v>1041.48</v>
      </c>
      <c r="I282" s="6">
        <v>47392.83</v>
      </c>
      <c r="J282" s="6">
        <v>28119.96</v>
      </c>
    </row>
    <row r="283" spans="1:10">
      <c r="A283" s="5">
        <v>45748</v>
      </c>
      <c r="B283" t="s">
        <v>44</v>
      </c>
      <c r="C283" t="s">
        <v>45</v>
      </c>
      <c r="D283" t="s">
        <v>43</v>
      </c>
      <c r="E283" t="s">
        <v>41</v>
      </c>
      <c r="F283" s="6">
        <v>13</v>
      </c>
      <c r="G283" s="6">
        <v>1655.28</v>
      </c>
      <c r="H283" s="6">
        <v>1041.48</v>
      </c>
      <c r="I283" s="6">
        <v>21518.64</v>
      </c>
      <c r="J283" s="6">
        <v>13539.24</v>
      </c>
    </row>
    <row r="284" spans="1:10">
      <c r="A284" s="5">
        <v>45748</v>
      </c>
      <c r="B284" t="s">
        <v>46</v>
      </c>
      <c r="C284" t="s">
        <v>47</v>
      </c>
      <c r="D284" t="s">
        <v>39</v>
      </c>
      <c r="E284" t="s">
        <v>40</v>
      </c>
      <c r="F284" s="6">
        <v>55</v>
      </c>
      <c r="G284" s="6">
        <v>723.39</v>
      </c>
      <c r="H284" s="6">
        <v>399.76</v>
      </c>
      <c r="I284" s="6">
        <v>39786.45</v>
      </c>
      <c r="J284" s="6">
        <v>21986.8</v>
      </c>
    </row>
    <row r="285" spans="1:10">
      <c r="A285" s="5">
        <v>45748</v>
      </c>
      <c r="B285" t="s">
        <v>46</v>
      </c>
      <c r="C285" t="s">
        <v>47</v>
      </c>
      <c r="D285" t="s">
        <v>39</v>
      </c>
      <c r="E285" t="s">
        <v>41</v>
      </c>
      <c r="F285" s="6">
        <v>28</v>
      </c>
      <c r="G285" s="6">
        <v>682.1799999999999</v>
      </c>
      <c r="H285" s="6">
        <v>399.76</v>
      </c>
      <c r="I285" s="6">
        <v>19101.04</v>
      </c>
      <c r="J285" s="6">
        <v>11193.28</v>
      </c>
    </row>
    <row r="286" spans="1:10">
      <c r="A286" s="5">
        <v>45748</v>
      </c>
      <c r="B286" t="s">
        <v>46</v>
      </c>
      <c r="C286" t="s">
        <v>47</v>
      </c>
      <c r="D286" t="s">
        <v>42</v>
      </c>
      <c r="E286" t="s">
        <v>40</v>
      </c>
      <c r="F286" s="6">
        <v>27</v>
      </c>
      <c r="G286" s="6">
        <v>723.39</v>
      </c>
      <c r="H286" s="6">
        <v>399.76</v>
      </c>
      <c r="I286" s="6">
        <v>19531.53</v>
      </c>
      <c r="J286" s="6">
        <v>10793.52</v>
      </c>
    </row>
    <row r="287" spans="1:10">
      <c r="A287" s="5">
        <v>45748</v>
      </c>
      <c r="B287" t="s">
        <v>46</v>
      </c>
      <c r="C287" t="s">
        <v>47</v>
      </c>
      <c r="D287" t="s">
        <v>42</v>
      </c>
      <c r="E287" t="s">
        <v>41</v>
      </c>
      <c r="F287" s="6">
        <v>13</v>
      </c>
      <c r="G287" s="6">
        <v>682.1799999999999</v>
      </c>
      <c r="H287" s="6">
        <v>399.76</v>
      </c>
      <c r="I287" s="6">
        <v>8868.34</v>
      </c>
      <c r="J287" s="6">
        <v>5196.88</v>
      </c>
    </row>
    <row r="288" spans="1:10">
      <c r="A288" s="5">
        <v>45748</v>
      </c>
      <c r="B288" t="s">
        <v>46</v>
      </c>
      <c r="C288" t="s">
        <v>47</v>
      </c>
      <c r="D288" t="s">
        <v>43</v>
      </c>
      <c r="E288" t="s">
        <v>40</v>
      </c>
      <c r="F288" s="6">
        <v>18</v>
      </c>
      <c r="G288" s="6">
        <v>723.39</v>
      </c>
      <c r="H288" s="6">
        <v>399.76</v>
      </c>
      <c r="I288" s="6">
        <v>13021.02</v>
      </c>
      <c r="J288" s="6">
        <v>7195.68</v>
      </c>
    </row>
    <row r="289" spans="1:10">
      <c r="A289" s="5">
        <v>45748</v>
      </c>
      <c r="B289" t="s">
        <v>46</v>
      </c>
      <c r="C289" t="s">
        <v>47</v>
      </c>
      <c r="D289" t="s">
        <v>43</v>
      </c>
      <c r="E289" t="s">
        <v>41</v>
      </c>
      <c r="F289" s="6">
        <v>10</v>
      </c>
      <c r="G289" s="6">
        <v>682.1799999999999</v>
      </c>
      <c r="H289" s="6">
        <v>399.76</v>
      </c>
      <c r="I289" s="6">
        <v>6821.8</v>
      </c>
      <c r="J289" s="6">
        <v>3997.6</v>
      </c>
    </row>
    <row r="290" spans="1:10">
      <c r="A290" s="5">
        <v>45778</v>
      </c>
      <c r="B290" t="s">
        <v>37</v>
      </c>
      <c r="C290" t="s">
        <v>38</v>
      </c>
      <c r="D290" t="s">
        <v>39</v>
      </c>
      <c r="E290" t="s">
        <v>40</v>
      </c>
      <c r="F290" s="6">
        <v>124</v>
      </c>
      <c r="G290" s="6">
        <v>2765.91</v>
      </c>
      <c r="H290" s="6">
        <v>1992.9</v>
      </c>
      <c r="I290" s="6">
        <v>342972.84</v>
      </c>
      <c r="J290" s="6">
        <v>247119.6</v>
      </c>
    </row>
    <row r="291" spans="1:10">
      <c r="A291" s="5">
        <v>45778</v>
      </c>
      <c r="B291" t="s">
        <v>37</v>
      </c>
      <c r="C291" t="s">
        <v>38</v>
      </c>
      <c r="D291" t="s">
        <v>39</v>
      </c>
      <c r="E291" t="s">
        <v>41</v>
      </c>
      <c r="F291" s="6">
        <v>63</v>
      </c>
      <c r="G291" s="6">
        <v>2608.32</v>
      </c>
      <c r="H291" s="6">
        <v>1992.9</v>
      </c>
      <c r="I291" s="6">
        <v>164324.16</v>
      </c>
      <c r="J291" s="6">
        <v>125552.7</v>
      </c>
    </row>
    <row r="292" spans="1:10">
      <c r="A292" s="5">
        <v>45778</v>
      </c>
      <c r="B292" t="s">
        <v>37</v>
      </c>
      <c r="C292" t="s">
        <v>38</v>
      </c>
      <c r="D292" t="s">
        <v>42</v>
      </c>
      <c r="E292" t="s">
        <v>40</v>
      </c>
      <c r="F292" s="6">
        <v>61</v>
      </c>
      <c r="G292" s="6">
        <v>2765.91</v>
      </c>
      <c r="H292" s="6">
        <v>1992.9</v>
      </c>
      <c r="I292" s="6">
        <v>168720.51</v>
      </c>
      <c r="J292" s="6">
        <v>121566.9</v>
      </c>
    </row>
    <row r="293" spans="1:10">
      <c r="A293" s="5">
        <v>45778</v>
      </c>
      <c r="B293" t="s">
        <v>37</v>
      </c>
      <c r="C293" t="s">
        <v>38</v>
      </c>
      <c r="D293" t="s">
        <v>42</v>
      </c>
      <c r="E293" t="s">
        <v>41</v>
      </c>
      <c r="F293" s="6">
        <v>31</v>
      </c>
      <c r="G293" s="6">
        <v>2608.32</v>
      </c>
      <c r="H293" s="6">
        <v>1992.9</v>
      </c>
      <c r="I293" s="6">
        <v>80857.92</v>
      </c>
      <c r="J293" s="6">
        <v>61779.9</v>
      </c>
    </row>
    <row r="294" spans="1:10">
      <c r="A294" s="5">
        <v>45778</v>
      </c>
      <c r="B294" t="s">
        <v>37</v>
      </c>
      <c r="C294" t="s">
        <v>38</v>
      </c>
      <c r="D294" t="s">
        <v>43</v>
      </c>
      <c r="E294" t="s">
        <v>40</v>
      </c>
      <c r="F294" s="6">
        <v>40</v>
      </c>
      <c r="G294" s="6">
        <v>2765.91</v>
      </c>
      <c r="H294" s="6">
        <v>1992.9</v>
      </c>
      <c r="I294" s="6">
        <v>110636.4</v>
      </c>
      <c r="J294" s="6">
        <v>79716</v>
      </c>
    </row>
    <row r="295" spans="1:10">
      <c r="A295" s="5">
        <v>45778</v>
      </c>
      <c r="B295" t="s">
        <v>37</v>
      </c>
      <c r="C295" t="s">
        <v>38</v>
      </c>
      <c r="D295" t="s">
        <v>43</v>
      </c>
      <c r="E295" t="s">
        <v>41</v>
      </c>
      <c r="F295" s="6">
        <v>21</v>
      </c>
      <c r="G295" s="6">
        <v>2608.32</v>
      </c>
      <c r="H295" s="6">
        <v>1992.9</v>
      </c>
      <c r="I295" s="6">
        <v>54774.72</v>
      </c>
      <c r="J295" s="6">
        <v>41850.9</v>
      </c>
    </row>
    <row r="296" spans="1:10">
      <c r="A296" s="5">
        <v>45778</v>
      </c>
      <c r="B296" t="s">
        <v>44</v>
      </c>
      <c r="C296" t="s">
        <v>45</v>
      </c>
      <c r="D296" t="s">
        <v>39</v>
      </c>
      <c r="E296" t="s">
        <v>40</v>
      </c>
      <c r="F296" s="6">
        <v>87</v>
      </c>
      <c r="G296" s="6">
        <v>1755.29</v>
      </c>
      <c r="H296" s="6">
        <v>1041.48</v>
      </c>
      <c r="I296" s="6">
        <v>152710.23</v>
      </c>
      <c r="J296" s="6">
        <v>90608.75999999999</v>
      </c>
    </row>
    <row r="297" spans="1:10">
      <c r="A297" s="5">
        <v>45778</v>
      </c>
      <c r="B297" t="s">
        <v>44</v>
      </c>
      <c r="C297" t="s">
        <v>45</v>
      </c>
      <c r="D297" t="s">
        <v>39</v>
      </c>
      <c r="E297" t="s">
        <v>41</v>
      </c>
      <c r="F297" s="6">
        <v>46</v>
      </c>
      <c r="G297" s="6">
        <v>1655.28</v>
      </c>
      <c r="H297" s="6">
        <v>1041.48</v>
      </c>
      <c r="I297" s="6">
        <v>76142.88</v>
      </c>
      <c r="J297" s="6">
        <v>47908.08</v>
      </c>
    </row>
    <row r="298" spans="1:10">
      <c r="A298" s="5">
        <v>45778</v>
      </c>
      <c r="B298" t="s">
        <v>44</v>
      </c>
      <c r="C298" t="s">
        <v>45</v>
      </c>
      <c r="D298" t="s">
        <v>42</v>
      </c>
      <c r="E298" t="s">
        <v>40</v>
      </c>
      <c r="F298" s="6">
        <v>42</v>
      </c>
      <c r="G298" s="6">
        <v>1755.29</v>
      </c>
      <c r="H298" s="6">
        <v>1041.48</v>
      </c>
      <c r="I298" s="6">
        <v>73722.17999999999</v>
      </c>
      <c r="J298" s="6">
        <v>43742.16</v>
      </c>
    </row>
    <row r="299" spans="1:10">
      <c r="A299" s="5">
        <v>45778</v>
      </c>
      <c r="B299" t="s">
        <v>44</v>
      </c>
      <c r="C299" t="s">
        <v>45</v>
      </c>
      <c r="D299" t="s">
        <v>42</v>
      </c>
      <c r="E299" t="s">
        <v>41</v>
      </c>
      <c r="F299" s="6">
        <v>21</v>
      </c>
      <c r="G299" s="6">
        <v>1655.28</v>
      </c>
      <c r="H299" s="6">
        <v>1041.48</v>
      </c>
      <c r="I299" s="6">
        <v>34760.88</v>
      </c>
      <c r="J299" s="6">
        <v>21871.08</v>
      </c>
    </row>
    <row r="300" spans="1:10">
      <c r="A300" s="5">
        <v>45778</v>
      </c>
      <c r="B300" t="s">
        <v>44</v>
      </c>
      <c r="C300" t="s">
        <v>45</v>
      </c>
      <c r="D300" t="s">
        <v>43</v>
      </c>
      <c r="E300" t="s">
        <v>40</v>
      </c>
      <c r="F300" s="6">
        <v>28</v>
      </c>
      <c r="G300" s="6">
        <v>1755.29</v>
      </c>
      <c r="H300" s="6">
        <v>1041.48</v>
      </c>
      <c r="I300" s="6">
        <v>49148.12</v>
      </c>
      <c r="J300" s="6">
        <v>29161.44</v>
      </c>
    </row>
    <row r="301" spans="1:10">
      <c r="A301" s="5">
        <v>45778</v>
      </c>
      <c r="B301" t="s">
        <v>44</v>
      </c>
      <c r="C301" t="s">
        <v>45</v>
      </c>
      <c r="D301" t="s">
        <v>43</v>
      </c>
      <c r="E301" t="s">
        <v>41</v>
      </c>
      <c r="F301" s="6">
        <v>14</v>
      </c>
      <c r="G301" s="6">
        <v>1655.28</v>
      </c>
      <c r="H301" s="6">
        <v>1041.48</v>
      </c>
      <c r="I301" s="6">
        <v>23173.92</v>
      </c>
      <c r="J301" s="6">
        <v>14580.72</v>
      </c>
    </row>
    <row r="302" spans="1:10">
      <c r="A302" s="5">
        <v>45778</v>
      </c>
      <c r="B302" t="s">
        <v>46</v>
      </c>
      <c r="C302" t="s">
        <v>47</v>
      </c>
      <c r="D302" t="s">
        <v>39</v>
      </c>
      <c r="E302" t="s">
        <v>40</v>
      </c>
      <c r="F302" s="6">
        <v>62</v>
      </c>
      <c r="G302" s="6">
        <v>723.39</v>
      </c>
      <c r="H302" s="6">
        <v>399.76</v>
      </c>
      <c r="I302" s="6">
        <v>44850.18</v>
      </c>
      <c r="J302" s="6">
        <v>24785.12</v>
      </c>
    </row>
    <row r="303" spans="1:10">
      <c r="A303" s="5">
        <v>45778</v>
      </c>
      <c r="B303" t="s">
        <v>46</v>
      </c>
      <c r="C303" t="s">
        <v>47</v>
      </c>
      <c r="D303" t="s">
        <v>39</v>
      </c>
      <c r="E303" t="s">
        <v>41</v>
      </c>
      <c r="F303" s="6">
        <v>33</v>
      </c>
      <c r="G303" s="6">
        <v>682.1799999999999</v>
      </c>
      <c r="H303" s="6">
        <v>399.76</v>
      </c>
      <c r="I303" s="6">
        <v>22511.94</v>
      </c>
      <c r="J303" s="6">
        <v>13192.08</v>
      </c>
    </row>
    <row r="304" spans="1:10">
      <c r="A304" s="5">
        <v>45778</v>
      </c>
      <c r="B304" t="s">
        <v>46</v>
      </c>
      <c r="C304" t="s">
        <v>47</v>
      </c>
      <c r="D304" t="s">
        <v>42</v>
      </c>
      <c r="E304" t="s">
        <v>40</v>
      </c>
      <c r="F304" s="6">
        <v>27</v>
      </c>
      <c r="G304" s="6">
        <v>723.39</v>
      </c>
      <c r="H304" s="6">
        <v>399.76</v>
      </c>
      <c r="I304" s="6">
        <v>19531.53</v>
      </c>
      <c r="J304" s="6">
        <v>10793.52</v>
      </c>
    </row>
    <row r="305" spans="1:10">
      <c r="A305" s="5">
        <v>45778</v>
      </c>
      <c r="B305" t="s">
        <v>46</v>
      </c>
      <c r="C305" t="s">
        <v>47</v>
      </c>
      <c r="D305" t="s">
        <v>42</v>
      </c>
      <c r="E305" t="s">
        <v>41</v>
      </c>
      <c r="F305" s="6">
        <v>14</v>
      </c>
      <c r="G305" s="6">
        <v>682.1799999999999</v>
      </c>
      <c r="H305" s="6">
        <v>399.76</v>
      </c>
      <c r="I305" s="6">
        <v>9550.52</v>
      </c>
      <c r="J305" s="6">
        <v>5596.64</v>
      </c>
    </row>
    <row r="306" spans="1:10">
      <c r="A306" s="5">
        <v>45778</v>
      </c>
      <c r="B306" t="s">
        <v>46</v>
      </c>
      <c r="C306" t="s">
        <v>47</v>
      </c>
      <c r="D306" t="s">
        <v>43</v>
      </c>
      <c r="E306" t="s">
        <v>40</v>
      </c>
      <c r="F306" s="6">
        <v>20</v>
      </c>
      <c r="G306" s="6">
        <v>723.39</v>
      </c>
      <c r="H306" s="6">
        <v>399.76</v>
      </c>
      <c r="I306" s="6">
        <v>14467.8</v>
      </c>
      <c r="J306" s="6">
        <v>7995.2</v>
      </c>
    </row>
    <row r="307" spans="1:10">
      <c r="A307" s="5">
        <v>45778</v>
      </c>
      <c r="B307" t="s">
        <v>46</v>
      </c>
      <c r="C307" t="s">
        <v>47</v>
      </c>
      <c r="D307" t="s">
        <v>43</v>
      </c>
      <c r="E307" t="s">
        <v>41</v>
      </c>
      <c r="F307" s="6">
        <v>10</v>
      </c>
      <c r="G307" s="6">
        <v>682.1799999999999</v>
      </c>
      <c r="H307" s="6">
        <v>399.76</v>
      </c>
      <c r="I307" s="6">
        <v>6821.8</v>
      </c>
      <c r="J307" s="6">
        <v>3997.6</v>
      </c>
    </row>
    <row r="308" spans="1:10">
      <c r="A308" s="5">
        <v>45809</v>
      </c>
      <c r="B308" t="s">
        <v>37</v>
      </c>
      <c r="C308" t="s">
        <v>38</v>
      </c>
      <c r="D308" t="s">
        <v>39</v>
      </c>
      <c r="E308" t="s">
        <v>40</v>
      </c>
      <c r="F308" s="6">
        <v>131</v>
      </c>
      <c r="G308" s="6">
        <v>2765.91</v>
      </c>
      <c r="H308" s="6">
        <v>1992.9</v>
      </c>
      <c r="I308" s="6">
        <v>362334.21</v>
      </c>
      <c r="J308" s="6">
        <v>261069.9</v>
      </c>
    </row>
    <row r="309" spans="1:10">
      <c r="A309" s="5">
        <v>45809</v>
      </c>
      <c r="B309" t="s">
        <v>37</v>
      </c>
      <c r="C309" t="s">
        <v>38</v>
      </c>
      <c r="D309" t="s">
        <v>39</v>
      </c>
      <c r="E309" t="s">
        <v>41</v>
      </c>
      <c r="F309" s="6">
        <v>63</v>
      </c>
      <c r="G309" s="6">
        <v>2608.32</v>
      </c>
      <c r="H309" s="6">
        <v>1992.9</v>
      </c>
      <c r="I309" s="6">
        <v>164324.16</v>
      </c>
      <c r="J309" s="6">
        <v>125552.7</v>
      </c>
    </row>
    <row r="310" spans="1:10">
      <c r="A310" s="5">
        <v>45809</v>
      </c>
      <c r="B310" t="s">
        <v>37</v>
      </c>
      <c r="C310" t="s">
        <v>38</v>
      </c>
      <c r="D310" t="s">
        <v>42</v>
      </c>
      <c r="E310" t="s">
        <v>40</v>
      </c>
      <c r="F310" s="6">
        <v>60</v>
      </c>
      <c r="G310" s="6">
        <v>2765.91</v>
      </c>
      <c r="H310" s="6">
        <v>1992.9</v>
      </c>
      <c r="I310" s="6">
        <v>165954.6</v>
      </c>
      <c r="J310" s="6">
        <v>119574</v>
      </c>
    </row>
    <row r="311" spans="1:10">
      <c r="A311" s="5">
        <v>45809</v>
      </c>
      <c r="B311" t="s">
        <v>37</v>
      </c>
      <c r="C311" t="s">
        <v>38</v>
      </c>
      <c r="D311" t="s">
        <v>42</v>
      </c>
      <c r="E311" t="s">
        <v>41</v>
      </c>
      <c r="F311" s="6">
        <v>32</v>
      </c>
      <c r="G311" s="6">
        <v>2608.32</v>
      </c>
      <c r="H311" s="6">
        <v>1992.9</v>
      </c>
      <c r="I311" s="6">
        <v>83466.24000000001</v>
      </c>
      <c r="J311" s="6">
        <v>63772.8</v>
      </c>
    </row>
    <row r="312" spans="1:10">
      <c r="A312" s="5">
        <v>45809</v>
      </c>
      <c r="B312" t="s">
        <v>37</v>
      </c>
      <c r="C312" t="s">
        <v>38</v>
      </c>
      <c r="D312" t="s">
        <v>43</v>
      </c>
      <c r="E312" t="s">
        <v>40</v>
      </c>
      <c r="F312" s="6">
        <v>40</v>
      </c>
      <c r="G312" s="6">
        <v>2765.91</v>
      </c>
      <c r="H312" s="6">
        <v>1992.9</v>
      </c>
      <c r="I312" s="6">
        <v>110636.4</v>
      </c>
      <c r="J312" s="6">
        <v>79716</v>
      </c>
    </row>
    <row r="313" spans="1:10">
      <c r="A313" s="5">
        <v>45809</v>
      </c>
      <c r="B313" t="s">
        <v>37</v>
      </c>
      <c r="C313" t="s">
        <v>38</v>
      </c>
      <c r="D313" t="s">
        <v>43</v>
      </c>
      <c r="E313" t="s">
        <v>41</v>
      </c>
      <c r="F313" s="6">
        <v>21</v>
      </c>
      <c r="G313" s="6">
        <v>2608.32</v>
      </c>
      <c r="H313" s="6">
        <v>1992.9</v>
      </c>
      <c r="I313" s="6">
        <v>54774.72</v>
      </c>
      <c r="J313" s="6">
        <v>41850.9</v>
      </c>
    </row>
    <row r="314" spans="1:10">
      <c r="A314" s="5">
        <v>45809</v>
      </c>
      <c r="B314" t="s">
        <v>44</v>
      </c>
      <c r="C314" t="s">
        <v>45</v>
      </c>
      <c r="D314" t="s">
        <v>39</v>
      </c>
      <c r="E314" t="s">
        <v>40</v>
      </c>
      <c r="F314" s="6">
        <v>86</v>
      </c>
      <c r="G314" s="6">
        <v>1755.29</v>
      </c>
      <c r="H314" s="6">
        <v>1041.48</v>
      </c>
      <c r="I314" s="6">
        <v>150954.94</v>
      </c>
      <c r="J314" s="6">
        <v>89567.28</v>
      </c>
    </row>
    <row r="315" spans="1:10">
      <c r="A315" s="5">
        <v>45809</v>
      </c>
      <c r="B315" t="s">
        <v>44</v>
      </c>
      <c r="C315" t="s">
        <v>45</v>
      </c>
      <c r="D315" t="s">
        <v>39</v>
      </c>
      <c r="E315" t="s">
        <v>41</v>
      </c>
      <c r="F315" s="6">
        <v>47</v>
      </c>
      <c r="G315" s="6">
        <v>1655.28</v>
      </c>
      <c r="H315" s="6">
        <v>1041.48</v>
      </c>
      <c r="I315" s="6">
        <v>77798.16</v>
      </c>
      <c r="J315" s="6">
        <v>48949.56</v>
      </c>
    </row>
    <row r="316" spans="1:10">
      <c r="A316" s="5">
        <v>45809</v>
      </c>
      <c r="B316" t="s">
        <v>44</v>
      </c>
      <c r="C316" t="s">
        <v>45</v>
      </c>
      <c r="D316" t="s">
        <v>42</v>
      </c>
      <c r="E316" t="s">
        <v>40</v>
      </c>
      <c r="F316" s="6">
        <v>42</v>
      </c>
      <c r="G316" s="6">
        <v>1755.29</v>
      </c>
      <c r="H316" s="6">
        <v>1041.48</v>
      </c>
      <c r="I316" s="6">
        <v>73722.17999999999</v>
      </c>
      <c r="J316" s="6">
        <v>43742.16</v>
      </c>
    </row>
    <row r="317" spans="1:10">
      <c r="A317" s="5">
        <v>45809</v>
      </c>
      <c r="B317" t="s">
        <v>44</v>
      </c>
      <c r="C317" t="s">
        <v>45</v>
      </c>
      <c r="D317" t="s">
        <v>42</v>
      </c>
      <c r="E317" t="s">
        <v>41</v>
      </c>
      <c r="F317" s="6">
        <v>22</v>
      </c>
      <c r="G317" s="6">
        <v>1655.28</v>
      </c>
      <c r="H317" s="6">
        <v>1041.48</v>
      </c>
      <c r="I317" s="6">
        <v>36416.16</v>
      </c>
      <c r="J317" s="6">
        <v>22912.56</v>
      </c>
    </row>
    <row r="318" spans="1:10">
      <c r="A318" s="5">
        <v>45809</v>
      </c>
      <c r="B318" t="s">
        <v>44</v>
      </c>
      <c r="C318" t="s">
        <v>45</v>
      </c>
      <c r="D318" t="s">
        <v>43</v>
      </c>
      <c r="E318" t="s">
        <v>40</v>
      </c>
      <c r="F318" s="6">
        <v>28</v>
      </c>
      <c r="G318" s="6">
        <v>1755.29</v>
      </c>
      <c r="H318" s="6">
        <v>1041.48</v>
      </c>
      <c r="I318" s="6">
        <v>49148.12</v>
      </c>
      <c r="J318" s="6">
        <v>29161.44</v>
      </c>
    </row>
    <row r="319" spans="1:10">
      <c r="A319" s="5">
        <v>45809</v>
      </c>
      <c r="B319" t="s">
        <v>44</v>
      </c>
      <c r="C319" t="s">
        <v>45</v>
      </c>
      <c r="D319" t="s">
        <v>43</v>
      </c>
      <c r="E319" t="s">
        <v>41</v>
      </c>
      <c r="F319" s="6">
        <v>14</v>
      </c>
      <c r="G319" s="6">
        <v>1655.28</v>
      </c>
      <c r="H319" s="6">
        <v>1041.48</v>
      </c>
      <c r="I319" s="6">
        <v>23173.92</v>
      </c>
      <c r="J319" s="6">
        <v>14580.72</v>
      </c>
    </row>
    <row r="320" spans="1:10">
      <c r="A320" s="5">
        <v>45809</v>
      </c>
      <c r="B320" t="s">
        <v>46</v>
      </c>
      <c r="C320" t="s">
        <v>47</v>
      </c>
      <c r="D320" t="s">
        <v>39</v>
      </c>
      <c r="E320" t="s">
        <v>40</v>
      </c>
      <c r="F320" s="6">
        <v>62</v>
      </c>
      <c r="G320" s="6">
        <v>723.39</v>
      </c>
      <c r="H320" s="6">
        <v>399.76</v>
      </c>
      <c r="I320" s="6">
        <v>44850.18</v>
      </c>
      <c r="J320" s="6">
        <v>24785.12</v>
      </c>
    </row>
    <row r="321" spans="1:10">
      <c r="A321" s="5">
        <v>45809</v>
      </c>
      <c r="B321" t="s">
        <v>46</v>
      </c>
      <c r="C321" t="s">
        <v>47</v>
      </c>
      <c r="D321" t="s">
        <v>39</v>
      </c>
      <c r="E321" t="s">
        <v>41</v>
      </c>
      <c r="F321" s="6">
        <v>33</v>
      </c>
      <c r="G321" s="6">
        <v>682.1799999999999</v>
      </c>
      <c r="H321" s="6">
        <v>399.76</v>
      </c>
      <c r="I321" s="6">
        <v>22511.94</v>
      </c>
      <c r="J321" s="6">
        <v>13192.08</v>
      </c>
    </row>
    <row r="322" spans="1:10">
      <c r="A322" s="5">
        <v>45809</v>
      </c>
      <c r="B322" t="s">
        <v>46</v>
      </c>
      <c r="C322" t="s">
        <v>47</v>
      </c>
      <c r="D322" t="s">
        <v>42</v>
      </c>
      <c r="E322" t="s">
        <v>40</v>
      </c>
      <c r="F322" s="6">
        <v>28</v>
      </c>
      <c r="G322" s="6">
        <v>723.39</v>
      </c>
      <c r="H322" s="6">
        <v>399.76</v>
      </c>
      <c r="I322" s="6">
        <v>20254.92</v>
      </c>
      <c r="J322" s="6">
        <v>11193.28</v>
      </c>
    </row>
    <row r="323" spans="1:10">
      <c r="A323" s="5">
        <v>45809</v>
      </c>
      <c r="B323" t="s">
        <v>46</v>
      </c>
      <c r="C323" t="s">
        <v>47</v>
      </c>
      <c r="D323" t="s">
        <v>42</v>
      </c>
      <c r="E323" t="s">
        <v>41</v>
      </c>
      <c r="F323" s="6">
        <v>14</v>
      </c>
      <c r="G323" s="6">
        <v>682.1799999999999</v>
      </c>
      <c r="H323" s="6">
        <v>399.76</v>
      </c>
      <c r="I323" s="6">
        <v>9550.52</v>
      </c>
      <c r="J323" s="6">
        <v>5596.64</v>
      </c>
    </row>
    <row r="324" spans="1:10">
      <c r="A324" s="5">
        <v>45809</v>
      </c>
      <c r="B324" t="s">
        <v>46</v>
      </c>
      <c r="C324" t="s">
        <v>47</v>
      </c>
      <c r="D324" t="s">
        <v>43</v>
      </c>
      <c r="E324" t="s">
        <v>40</v>
      </c>
      <c r="F324" s="6">
        <v>20</v>
      </c>
      <c r="G324" s="6">
        <v>723.39</v>
      </c>
      <c r="H324" s="6">
        <v>399.76</v>
      </c>
      <c r="I324" s="6">
        <v>14467.8</v>
      </c>
      <c r="J324" s="6">
        <v>7995.2</v>
      </c>
    </row>
    <row r="325" spans="1:10">
      <c r="A325" s="5">
        <v>45809</v>
      </c>
      <c r="B325" t="s">
        <v>46</v>
      </c>
      <c r="C325" t="s">
        <v>47</v>
      </c>
      <c r="D325" t="s">
        <v>43</v>
      </c>
      <c r="E325" t="s">
        <v>41</v>
      </c>
      <c r="F325" s="6">
        <v>10</v>
      </c>
      <c r="G325" s="6">
        <v>682.1799999999999</v>
      </c>
      <c r="H325" s="6">
        <v>399.76</v>
      </c>
      <c r="I325" s="6">
        <v>6821.8</v>
      </c>
      <c r="J325" s="6">
        <v>3997.6</v>
      </c>
    </row>
    <row r="326" spans="1:10">
      <c r="A326" s="5">
        <v>45839</v>
      </c>
      <c r="B326" t="s">
        <v>37</v>
      </c>
      <c r="C326" t="s">
        <v>38</v>
      </c>
      <c r="D326" t="s">
        <v>39</v>
      </c>
      <c r="E326" t="s">
        <v>40</v>
      </c>
      <c r="F326" s="6">
        <v>95</v>
      </c>
      <c r="G326" s="6">
        <v>2765.91</v>
      </c>
      <c r="H326" s="6">
        <v>1992.9</v>
      </c>
      <c r="I326" s="6">
        <v>262761.45</v>
      </c>
      <c r="J326" s="6">
        <v>189325.5</v>
      </c>
    </row>
    <row r="327" spans="1:10">
      <c r="A327" s="5">
        <v>45839</v>
      </c>
      <c r="B327" t="s">
        <v>37</v>
      </c>
      <c r="C327" t="s">
        <v>38</v>
      </c>
      <c r="D327" t="s">
        <v>39</v>
      </c>
      <c r="E327" t="s">
        <v>41</v>
      </c>
      <c r="F327" s="6">
        <v>53</v>
      </c>
      <c r="G327" s="6">
        <v>2608.32</v>
      </c>
      <c r="H327" s="6">
        <v>1992.9</v>
      </c>
      <c r="I327" s="6">
        <v>138240.96</v>
      </c>
      <c r="J327" s="6">
        <v>105623.7</v>
      </c>
    </row>
    <row r="328" spans="1:10">
      <c r="A328" s="5">
        <v>45839</v>
      </c>
      <c r="B328" t="s">
        <v>37</v>
      </c>
      <c r="C328" t="s">
        <v>38</v>
      </c>
      <c r="D328" t="s">
        <v>42</v>
      </c>
      <c r="E328" t="s">
        <v>40</v>
      </c>
      <c r="F328" s="6">
        <v>44</v>
      </c>
      <c r="G328" s="6">
        <v>2765.91</v>
      </c>
      <c r="H328" s="6">
        <v>1992.9</v>
      </c>
      <c r="I328" s="6">
        <v>121700.04</v>
      </c>
      <c r="J328" s="6">
        <v>87687.60000000001</v>
      </c>
    </row>
    <row r="329" spans="1:10">
      <c r="A329" s="5">
        <v>45839</v>
      </c>
      <c r="B329" t="s">
        <v>37</v>
      </c>
      <c r="C329" t="s">
        <v>38</v>
      </c>
      <c r="D329" t="s">
        <v>42</v>
      </c>
      <c r="E329" t="s">
        <v>41</v>
      </c>
      <c r="F329" s="6">
        <v>25</v>
      </c>
      <c r="G329" s="6">
        <v>2608.32</v>
      </c>
      <c r="H329" s="6">
        <v>1992.9</v>
      </c>
      <c r="I329" s="6">
        <v>65208</v>
      </c>
      <c r="J329" s="6">
        <v>49822.5</v>
      </c>
    </row>
    <row r="330" spans="1:10">
      <c r="A330" s="5">
        <v>45839</v>
      </c>
      <c r="B330" t="s">
        <v>37</v>
      </c>
      <c r="C330" t="s">
        <v>38</v>
      </c>
      <c r="D330" t="s">
        <v>43</v>
      </c>
      <c r="E330" t="s">
        <v>40</v>
      </c>
      <c r="F330" s="6">
        <v>32</v>
      </c>
      <c r="G330" s="6">
        <v>2765.91</v>
      </c>
      <c r="H330" s="6">
        <v>1992.9</v>
      </c>
      <c r="I330" s="6">
        <v>88509.12</v>
      </c>
      <c r="J330" s="6">
        <v>63772.8</v>
      </c>
    </row>
    <row r="331" spans="1:10">
      <c r="A331" s="5">
        <v>45839</v>
      </c>
      <c r="B331" t="s">
        <v>37</v>
      </c>
      <c r="C331" t="s">
        <v>38</v>
      </c>
      <c r="D331" t="s">
        <v>43</v>
      </c>
      <c r="E331" t="s">
        <v>41</v>
      </c>
      <c r="F331" s="6">
        <v>17</v>
      </c>
      <c r="G331" s="6">
        <v>2608.32</v>
      </c>
      <c r="H331" s="6">
        <v>1992.9</v>
      </c>
      <c r="I331" s="6">
        <v>44341.44</v>
      </c>
      <c r="J331" s="6">
        <v>33879.3</v>
      </c>
    </row>
    <row r="332" spans="1:10">
      <c r="A332" s="5">
        <v>45839</v>
      </c>
      <c r="B332" t="s">
        <v>44</v>
      </c>
      <c r="C332" t="s">
        <v>45</v>
      </c>
      <c r="D332" t="s">
        <v>39</v>
      </c>
      <c r="E332" t="s">
        <v>40</v>
      </c>
      <c r="F332" s="6">
        <v>85</v>
      </c>
      <c r="G332" s="6">
        <v>1755.29</v>
      </c>
      <c r="H332" s="6">
        <v>1041.48</v>
      </c>
      <c r="I332" s="6">
        <v>149199.65</v>
      </c>
      <c r="J332" s="6">
        <v>88525.8</v>
      </c>
    </row>
    <row r="333" spans="1:10">
      <c r="A333" s="5">
        <v>45839</v>
      </c>
      <c r="B333" t="s">
        <v>44</v>
      </c>
      <c r="C333" t="s">
        <v>45</v>
      </c>
      <c r="D333" t="s">
        <v>39</v>
      </c>
      <c r="E333" t="s">
        <v>41</v>
      </c>
      <c r="F333" s="6">
        <v>42</v>
      </c>
      <c r="G333" s="6">
        <v>1655.28</v>
      </c>
      <c r="H333" s="6">
        <v>1041.48</v>
      </c>
      <c r="I333" s="6">
        <v>69521.75999999999</v>
      </c>
      <c r="J333" s="6">
        <v>43742.16</v>
      </c>
    </row>
    <row r="334" spans="1:10">
      <c r="A334" s="5">
        <v>45839</v>
      </c>
      <c r="B334" t="s">
        <v>44</v>
      </c>
      <c r="C334" t="s">
        <v>45</v>
      </c>
      <c r="D334" t="s">
        <v>42</v>
      </c>
      <c r="E334" t="s">
        <v>40</v>
      </c>
      <c r="F334" s="6">
        <v>36</v>
      </c>
      <c r="G334" s="6">
        <v>1755.29</v>
      </c>
      <c r="H334" s="6">
        <v>1041.48</v>
      </c>
      <c r="I334" s="6">
        <v>63190.44</v>
      </c>
      <c r="J334" s="6">
        <v>37493.28</v>
      </c>
    </row>
    <row r="335" spans="1:10">
      <c r="A335" s="5">
        <v>45839</v>
      </c>
      <c r="B335" t="s">
        <v>44</v>
      </c>
      <c r="C335" t="s">
        <v>45</v>
      </c>
      <c r="D335" t="s">
        <v>42</v>
      </c>
      <c r="E335" t="s">
        <v>41</v>
      </c>
      <c r="F335" s="6">
        <v>19</v>
      </c>
      <c r="G335" s="6">
        <v>1655.28</v>
      </c>
      <c r="H335" s="6">
        <v>1041.48</v>
      </c>
      <c r="I335" s="6">
        <v>31450.32</v>
      </c>
      <c r="J335" s="6">
        <v>19788.12</v>
      </c>
    </row>
    <row r="336" spans="1:10">
      <c r="A336" s="5">
        <v>45839</v>
      </c>
      <c r="B336" t="s">
        <v>44</v>
      </c>
      <c r="C336" t="s">
        <v>45</v>
      </c>
      <c r="D336" t="s">
        <v>43</v>
      </c>
      <c r="E336" t="s">
        <v>40</v>
      </c>
      <c r="F336" s="6">
        <v>27</v>
      </c>
      <c r="G336" s="6">
        <v>1755.29</v>
      </c>
      <c r="H336" s="6">
        <v>1041.48</v>
      </c>
      <c r="I336" s="6">
        <v>47392.83</v>
      </c>
      <c r="J336" s="6">
        <v>28119.96</v>
      </c>
    </row>
    <row r="337" spans="1:10">
      <c r="A337" s="5">
        <v>45839</v>
      </c>
      <c r="B337" t="s">
        <v>44</v>
      </c>
      <c r="C337" t="s">
        <v>45</v>
      </c>
      <c r="D337" t="s">
        <v>43</v>
      </c>
      <c r="E337" t="s">
        <v>41</v>
      </c>
      <c r="F337" s="6">
        <v>13</v>
      </c>
      <c r="G337" s="6">
        <v>1655.28</v>
      </c>
      <c r="H337" s="6">
        <v>1041.48</v>
      </c>
      <c r="I337" s="6">
        <v>21518.64</v>
      </c>
      <c r="J337" s="6">
        <v>13539.24</v>
      </c>
    </row>
    <row r="338" spans="1:10">
      <c r="A338" s="5">
        <v>45839</v>
      </c>
      <c r="B338" t="s">
        <v>46</v>
      </c>
      <c r="C338" t="s">
        <v>47</v>
      </c>
      <c r="D338" t="s">
        <v>39</v>
      </c>
      <c r="E338" t="s">
        <v>40</v>
      </c>
      <c r="F338" s="6">
        <v>54</v>
      </c>
      <c r="G338" s="6">
        <v>723.39</v>
      </c>
      <c r="H338" s="6">
        <v>399.76</v>
      </c>
      <c r="I338" s="6">
        <v>39063.06</v>
      </c>
      <c r="J338" s="6">
        <v>21587.04</v>
      </c>
    </row>
    <row r="339" spans="1:10">
      <c r="A339" s="5">
        <v>45839</v>
      </c>
      <c r="B339" t="s">
        <v>46</v>
      </c>
      <c r="C339" t="s">
        <v>47</v>
      </c>
      <c r="D339" t="s">
        <v>39</v>
      </c>
      <c r="E339" t="s">
        <v>41</v>
      </c>
      <c r="F339" s="6">
        <v>28</v>
      </c>
      <c r="G339" s="6">
        <v>682.1799999999999</v>
      </c>
      <c r="H339" s="6">
        <v>399.76</v>
      </c>
      <c r="I339" s="6">
        <v>19101.04</v>
      </c>
      <c r="J339" s="6">
        <v>11193.28</v>
      </c>
    </row>
    <row r="340" spans="1:10">
      <c r="A340" s="5">
        <v>45839</v>
      </c>
      <c r="B340" t="s">
        <v>46</v>
      </c>
      <c r="C340" t="s">
        <v>47</v>
      </c>
      <c r="D340" t="s">
        <v>42</v>
      </c>
      <c r="E340" t="s">
        <v>40</v>
      </c>
      <c r="F340" s="6">
        <v>24</v>
      </c>
      <c r="G340" s="6">
        <v>723.39</v>
      </c>
      <c r="H340" s="6">
        <v>399.76</v>
      </c>
      <c r="I340" s="6">
        <v>17361.36</v>
      </c>
      <c r="J340" s="6">
        <v>9594.24</v>
      </c>
    </row>
    <row r="341" spans="1:10">
      <c r="A341" s="5">
        <v>45839</v>
      </c>
      <c r="B341" t="s">
        <v>46</v>
      </c>
      <c r="C341" t="s">
        <v>47</v>
      </c>
      <c r="D341" t="s">
        <v>42</v>
      </c>
      <c r="E341" t="s">
        <v>41</v>
      </c>
      <c r="F341" s="6">
        <v>13</v>
      </c>
      <c r="G341" s="6">
        <v>682.1799999999999</v>
      </c>
      <c r="H341" s="6">
        <v>399.76</v>
      </c>
      <c r="I341" s="6">
        <v>8868.34</v>
      </c>
      <c r="J341" s="6">
        <v>5196.88</v>
      </c>
    </row>
    <row r="342" spans="1:10">
      <c r="A342" s="5">
        <v>45839</v>
      </c>
      <c r="B342" t="s">
        <v>46</v>
      </c>
      <c r="C342" t="s">
        <v>47</v>
      </c>
      <c r="D342" t="s">
        <v>43</v>
      </c>
      <c r="E342" t="s">
        <v>40</v>
      </c>
      <c r="F342" s="6">
        <v>19</v>
      </c>
      <c r="G342" s="6">
        <v>723.39</v>
      </c>
      <c r="H342" s="6">
        <v>399.76</v>
      </c>
      <c r="I342" s="6">
        <v>13744.41</v>
      </c>
      <c r="J342" s="6">
        <v>7595.44</v>
      </c>
    </row>
    <row r="343" spans="1:10">
      <c r="A343" s="5">
        <v>45839</v>
      </c>
      <c r="B343" t="s">
        <v>46</v>
      </c>
      <c r="C343" t="s">
        <v>47</v>
      </c>
      <c r="D343" t="s">
        <v>43</v>
      </c>
      <c r="E343" t="s">
        <v>41</v>
      </c>
      <c r="F343" s="6">
        <v>9</v>
      </c>
      <c r="G343" s="6">
        <v>682.1799999999999</v>
      </c>
      <c r="H343" s="6">
        <v>399.76</v>
      </c>
      <c r="I343" s="6">
        <v>6139.62</v>
      </c>
      <c r="J343" s="6">
        <v>3597.84</v>
      </c>
    </row>
    <row r="344" spans="1:10">
      <c r="A344" s="5">
        <v>45870</v>
      </c>
      <c r="B344" t="s">
        <v>37</v>
      </c>
      <c r="C344" t="s">
        <v>38</v>
      </c>
      <c r="D344" t="s">
        <v>39</v>
      </c>
      <c r="E344" t="s">
        <v>40</v>
      </c>
      <c r="F344" s="6">
        <v>105</v>
      </c>
      <c r="G344" s="6">
        <v>2765.91</v>
      </c>
      <c r="H344" s="6">
        <v>1992.9</v>
      </c>
      <c r="I344" s="6">
        <v>290420.55</v>
      </c>
      <c r="J344" s="6">
        <v>209254.5</v>
      </c>
    </row>
    <row r="345" spans="1:10">
      <c r="A345" s="5">
        <v>45870</v>
      </c>
      <c r="B345" t="s">
        <v>37</v>
      </c>
      <c r="C345" t="s">
        <v>38</v>
      </c>
      <c r="D345" t="s">
        <v>39</v>
      </c>
      <c r="E345" t="s">
        <v>41</v>
      </c>
      <c r="F345" s="6">
        <v>56</v>
      </c>
      <c r="G345" s="6">
        <v>2608.32</v>
      </c>
      <c r="H345" s="6">
        <v>1992.9</v>
      </c>
      <c r="I345" s="6">
        <v>146065.92</v>
      </c>
      <c r="J345" s="6">
        <v>111602.4</v>
      </c>
    </row>
    <row r="346" spans="1:10">
      <c r="A346" s="5">
        <v>45870</v>
      </c>
      <c r="B346" t="s">
        <v>37</v>
      </c>
      <c r="C346" t="s">
        <v>38</v>
      </c>
      <c r="D346" t="s">
        <v>42</v>
      </c>
      <c r="E346" t="s">
        <v>40</v>
      </c>
      <c r="F346" s="6">
        <v>49</v>
      </c>
      <c r="G346" s="6">
        <v>2765.91</v>
      </c>
      <c r="H346" s="6">
        <v>1992.9</v>
      </c>
      <c r="I346" s="6">
        <v>135529.59</v>
      </c>
      <c r="J346" s="6">
        <v>97652.10000000001</v>
      </c>
    </row>
    <row r="347" spans="1:10">
      <c r="A347" s="5">
        <v>45870</v>
      </c>
      <c r="B347" t="s">
        <v>37</v>
      </c>
      <c r="C347" t="s">
        <v>38</v>
      </c>
      <c r="D347" t="s">
        <v>42</v>
      </c>
      <c r="E347" t="s">
        <v>41</v>
      </c>
      <c r="F347" s="6">
        <v>27</v>
      </c>
      <c r="G347" s="6">
        <v>2608.32</v>
      </c>
      <c r="H347" s="6">
        <v>1992.9</v>
      </c>
      <c r="I347" s="6">
        <v>70424.64</v>
      </c>
      <c r="J347" s="6">
        <v>53808.3</v>
      </c>
    </row>
    <row r="348" spans="1:10">
      <c r="A348" s="5">
        <v>45870</v>
      </c>
      <c r="B348" t="s">
        <v>37</v>
      </c>
      <c r="C348" t="s">
        <v>38</v>
      </c>
      <c r="D348" t="s">
        <v>43</v>
      </c>
      <c r="E348" t="s">
        <v>40</v>
      </c>
      <c r="F348" s="6">
        <v>34</v>
      </c>
      <c r="G348" s="6">
        <v>2765.91</v>
      </c>
      <c r="H348" s="6">
        <v>1992.9</v>
      </c>
      <c r="I348" s="6">
        <v>94040.94</v>
      </c>
      <c r="J348" s="6">
        <v>67758.60000000001</v>
      </c>
    </row>
    <row r="349" spans="1:10">
      <c r="A349" s="5">
        <v>45870</v>
      </c>
      <c r="B349" t="s">
        <v>37</v>
      </c>
      <c r="C349" t="s">
        <v>38</v>
      </c>
      <c r="D349" t="s">
        <v>43</v>
      </c>
      <c r="E349" t="s">
        <v>41</v>
      </c>
      <c r="F349" s="6">
        <v>18</v>
      </c>
      <c r="G349" s="6">
        <v>2608.32</v>
      </c>
      <c r="H349" s="6">
        <v>1992.9</v>
      </c>
      <c r="I349" s="6">
        <v>46949.76</v>
      </c>
      <c r="J349" s="6">
        <v>35872.2</v>
      </c>
    </row>
    <row r="350" spans="1:10">
      <c r="A350" s="5">
        <v>45870</v>
      </c>
      <c r="B350" t="s">
        <v>44</v>
      </c>
      <c r="C350" t="s">
        <v>45</v>
      </c>
      <c r="D350" t="s">
        <v>39</v>
      </c>
      <c r="E350" t="s">
        <v>40</v>
      </c>
      <c r="F350" s="6">
        <v>82</v>
      </c>
      <c r="G350" s="6">
        <v>1755.29</v>
      </c>
      <c r="H350" s="6">
        <v>1041.48</v>
      </c>
      <c r="I350" s="6">
        <v>143933.78</v>
      </c>
      <c r="J350" s="6">
        <v>85401.36</v>
      </c>
    </row>
    <row r="351" spans="1:10">
      <c r="A351" s="5">
        <v>45870</v>
      </c>
      <c r="B351" t="s">
        <v>44</v>
      </c>
      <c r="C351" t="s">
        <v>45</v>
      </c>
      <c r="D351" t="s">
        <v>39</v>
      </c>
      <c r="E351" t="s">
        <v>41</v>
      </c>
      <c r="F351" s="6">
        <v>47</v>
      </c>
      <c r="G351" s="6">
        <v>1655.28</v>
      </c>
      <c r="H351" s="6">
        <v>1041.48</v>
      </c>
      <c r="I351" s="6">
        <v>77798.16</v>
      </c>
      <c r="J351" s="6">
        <v>48949.56</v>
      </c>
    </row>
    <row r="352" spans="1:10">
      <c r="A352" s="5">
        <v>45870</v>
      </c>
      <c r="B352" t="s">
        <v>44</v>
      </c>
      <c r="C352" t="s">
        <v>45</v>
      </c>
      <c r="D352" t="s">
        <v>42</v>
      </c>
      <c r="E352" t="s">
        <v>40</v>
      </c>
      <c r="F352" s="6">
        <v>38</v>
      </c>
      <c r="G352" s="6">
        <v>1755.29</v>
      </c>
      <c r="H352" s="6">
        <v>1041.48</v>
      </c>
      <c r="I352" s="6">
        <v>66701.02</v>
      </c>
      <c r="J352" s="6">
        <v>39576.24</v>
      </c>
    </row>
    <row r="353" spans="1:10">
      <c r="A353" s="5">
        <v>45870</v>
      </c>
      <c r="B353" t="s">
        <v>44</v>
      </c>
      <c r="C353" t="s">
        <v>45</v>
      </c>
      <c r="D353" t="s">
        <v>42</v>
      </c>
      <c r="E353" t="s">
        <v>41</v>
      </c>
      <c r="F353" s="6">
        <v>21</v>
      </c>
      <c r="G353" s="6">
        <v>1655.28</v>
      </c>
      <c r="H353" s="6">
        <v>1041.48</v>
      </c>
      <c r="I353" s="6">
        <v>34760.88</v>
      </c>
      <c r="J353" s="6">
        <v>21871.08</v>
      </c>
    </row>
    <row r="354" spans="1:10">
      <c r="A354" s="5">
        <v>45870</v>
      </c>
      <c r="B354" t="s">
        <v>44</v>
      </c>
      <c r="C354" t="s">
        <v>45</v>
      </c>
      <c r="D354" t="s">
        <v>43</v>
      </c>
      <c r="E354" t="s">
        <v>40</v>
      </c>
      <c r="F354" s="6">
        <v>29</v>
      </c>
      <c r="G354" s="6">
        <v>1755.29</v>
      </c>
      <c r="H354" s="6">
        <v>1041.48</v>
      </c>
      <c r="I354" s="6">
        <v>50903.41</v>
      </c>
      <c r="J354" s="6">
        <v>30202.92</v>
      </c>
    </row>
    <row r="355" spans="1:10">
      <c r="A355" s="5">
        <v>45870</v>
      </c>
      <c r="B355" t="s">
        <v>44</v>
      </c>
      <c r="C355" t="s">
        <v>45</v>
      </c>
      <c r="D355" t="s">
        <v>43</v>
      </c>
      <c r="E355" t="s">
        <v>41</v>
      </c>
      <c r="F355" s="6">
        <v>15</v>
      </c>
      <c r="G355" s="6">
        <v>1655.28</v>
      </c>
      <c r="H355" s="6">
        <v>1041.48</v>
      </c>
      <c r="I355" s="6">
        <v>24829.2</v>
      </c>
      <c r="J355" s="6">
        <v>15622.2</v>
      </c>
    </row>
    <row r="356" spans="1:10">
      <c r="A356" s="5">
        <v>45870</v>
      </c>
      <c r="B356" t="s">
        <v>46</v>
      </c>
      <c r="C356" t="s">
        <v>47</v>
      </c>
      <c r="D356" t="s">
        <v>39</v>
      </c>
      <c r="E356" t="s">
        <v>40</v>
      </c>
      <c r="F356" s="6">
        <v>61</v>
      </c>
      <c r="G356" s="6">
        <v>723.39</v>
      </c>
      <c r="H356" s="6">
        <v>399.76</v>
      </c>
      <c r="I356" s="6">
        <v>44126.79</v>
      </c>
      <c r="J356" s="6">
        <v>24385.36</v>
      </c>
    </row>
    <row r="357" spans="1:10">
      <c r="A357" s="5">
        <v>45870</v>
      </c>
      <c r="B357" t="s">
        <v>46</v>
      </c>
      <c r="C357" t="s">
        <v>47</v>
      </c>
      <c r="D357" t="s">
        <v>39</v>
      </c>
      <c r="E357" t="s">
        <v>41</v>
      </c>
      <c r="F357" s="6">
        <v>32</v>
      </c>
      <c r="G357" s="6">
        <v>682.1799999999999</v>
      </c>
      <c r="H357" s="6">
        <v>399.76</v>
      </c>
      <c r="I357" s="6">
        <v>21829.76</v>
      </c>
      <c r="J357" s="6">
        <v>12792.32</v>
      </c>
    </row>
    <row r="358" spans="1:10">
      <c r="A358" s="5">
        <v>45870</v>
      </c>
      <c r="B358" t="s">
        <v>46</v>
      </c>
      <c r="C358" t="s">
        <v>47</v>
      </c>
      <c r="D358" t="s">
        <v>42</v>
      </c>
      <c r="E358" t="s">
        <v>40</v>
      </c>
      <c r="F358" s="6">
        <v>27</v>
      </c>
      <c r="G358" s="6">
        <v>723.39</v>
      </c>
      <c r="H358" s="6">
        <v>399.76</v>
      </c>
      <c r="I358" s="6">
        <v>19531.53</v>
      </c>
      <c r="J358" s="6">
        <v>10793.52</v>
      </c>
    </row>
    <row r="359" spans="1:10">
      <c r="A359" s="5">
        <v>45870</v>
      </c>
      <c r="B359" t="s">
        <v>46</v>
      </c>
      <c r="C359" t="s">
        <v>47</v>
      </c>
      <c r="D359" t="s">
        <v>42</v>
      </c>
      <c r="E359" t="s">
        <v>41</v>
      </c>
      <c r="F359" s="6">
        <v>14</v>
      </c>
      <c r="G359" s="6">
        <v>682.1799999999999</v>
      </c>
      <c r="H359" s="6">
        <v>399.76</v>
      </c>
      <c r="I359" s="6">
        <v>9550.52</v>
      </c>
      <c r="J359" s="6">
        <v>5596.64</v>
      </c>
    </row>
    <row r="360" spans="1:10">
      <c r="A360" s="5">
        <v>45870</v>
      </c>
      <c r="B360" t="s">
        <v>46</v>
      </c>
      <c r="C360" t="s">
        <v>47</v>
      </c>
      <c r="D360" t="s">
        <v>43</v>
      </c>
      <c r="E360" t="s">
        <v>40</v>
      </c>
      <c r="F360" s="6">
        <v>19</v>
      </c>
      <c r="G360" s="6">
        <v>723.39</v>
      </c>
      <c r="H360" s="6">
        <v>399.76</v>
      </c>
      <c r="I360" s="6">
        <v>13744.41</v>
      </c>
      <c r="J360" s="6">
        <v>7595.44</v>
      </c>
    </row>
    <row r="361" spans="1:10">
      <c r="A361" s="5">
        <v>45870</v>
      </c>
      <c r="B361" t="s">
        <v>46</v>
      </c>
      <c r="C361" t="s">
        <v>47</v>
      </c>
      <c r="D361" t="s">
        <v>43</v>
      </c>
      <c r="E361" t="s">
        <v>41</v>
      </c>
      <c r="F361" s="6">
        <v>11</v>
      </c>
      <c r="G361" s="6">
        <v>682.1799999999999</v>
      </c>
      <c r="H361" s="6">
        <v>399.76</v>
      </c>
      <c r="I361" s="6">
        <v>7503.98</v>
      </c>
      <c r="J361" s="6">
        <v>4397.36</v>
      </c>
    </row>
    <row r="362" spans="1:10">
      <c r="A362" s="5">
        <v>45901</v>
      </c>
      <c r="B362" t="s">
        <v>37</v>
      </c>
      <c r="C362" t="s">
        <v>38</v>
      </c>
      <c r="D362" t="s">
        <v>39</v>
      </c>
      <c r="E362" t="s">
        <v>40</v>
      </c>
      <c r="F362" s="6">
        <v>117</v>
      </c>
      <c r="G362" s="6">
        <v>2765.91</v>
      </c>
      <c r="H362" s="6">
        <v>1992.9</v>
      </c>
      <c r="I362" s="6">
        <v>323611.47</v>
      </c>
      <c r="J362" s="6">
        <v>233169.3</v>
      </c>
    </row>
    <row r="363" spans="1:10">
      <c r="A363" s="5">
        <v>45901</v>
      </c>
      <c r="B363" t="s">
        <v>37</v>
      </c>
      <c r="C363" t="s">
        <v>38</v>
      </c>
      <c r="D363" t="s">
        <v>39</v>
      </c>
      <c r="E363" t="s">
        <v>41</v>
      </c>
      <c r="F363" s="6">
        <v>55</v>
      </c>
      <c r="G363" s="6">
        <v>2608.32</v>
      </c>
      <c r="H363" s="6">
        <v>1992.9</v>
      </c>
      <c r="I363" s="6">
        <v>143457.6</v>
      </c>
      <c r="J363" s="6">
        <v>109609.5</v>
      </c>
    </row>
    <row r="364" spans="1:10">
      <c r="A364" s="5">
        <v>45901</v>
      </c>
      <c r="B364" t="s">
        <v>37</v>
      </c>
      <c r="C364" t="s">
        <v>38</v>
      </c>
      <c r="D364" t="s">
        <v>42</v>
      </c>
      <c r="E364" t="s">
        <v>40</v>
      </c>
      <c r="F364" s="6">
        <v>56</v>
      </c>
      <c r="G364" s="6">
        <v>2765.91</v>
      </c>
      <c r="H364" s="6">
        <v>1992.9</v>
      </c>
      <c r="I364" s="6">
        <v>154890.96</v>
      </c>
      <c r="J364" s="6">
        <v>111602.4</v>
      </c>
    </row>
    <row r="365" spans="1:10">
      <c r="A365" s="5">
        <v>45901</v>
      </c>
      <c r="B365" t="s">
        <v>37</v>
      </c>
      <c r="C365" t="s">
        <v>38</v>
      </c>
      <c r="D365" t="s">
        <v>42</v>
      </c>
      <c r="E365" t="s">
        <v>41</v>
      </c>
      <c r="F365" s="6">
        <v>26</v>
      </c>
      <c r="G365" s="6">
        <v>2608.32</v>
      </c>
      <c r="H365" s="6">
        <v>1992.9</v>
      </c>
      <c r="I365" s="6">
        <v>67816.32000000001</v>
      </c>
      <c r="J365" s="6">
        <v>51815.4</v>
      </c>
    </row>
    <row r="366" spans="1:10">
      <c r="A366" s="5">
        <v>45901</v>
      </c>
      <c r="B366" t="s">
        <v>37</v>
      </c>
      <c r="C366" t="s">
        <v>38</v>
      </c>
      <c r="D366" t="s">
        <v>43</v>
      </c>
      <c r="E366" t="s">
        <v>40</v>
      </c>
      <c r="F366" s="6">
        <v>35</v>
      </c>
      <c r="G366" s="6">
        <v>2765.91</v>
      </c>
      <c r="H366" s="6">
        <v>1992.9</v>
      </c>
      <c r="I366" s="6">
        <v>96806.85000000001</v>
      </c>
      <c r="J366" s="6">
        <v>69751.5</v>
      </c>
    </row>
    <row r="367" spans="1:10">
      <c r="A367" s="5">
        <v>45901</v>
      </c>
      <c r="B367" t="s">
        <v>37</v>
      </c>
      <c r="C367" t="s">
        <v>38</v>
      </c>
      <c r="D367" t="s">
        <v>43</v>
      </c>
      <c r="E367" t="s">
        <v>41</v>
      </c>
      <c r="F367" s="6">
        <v>19</v>
      </c>
      <c r="G367" s="6">
        <v>2608.32</v>
      </c>
      <c r="H367" s="6">
        <v>1992.9</v>
      </c>
      <c r="I367" s="6">
        <v>49558.08</v>
      </c>
      <c r="J367" s="6">
        <v>37865.1</v>
      </c>
    </row>
    <row r="368" spans="1:10">
      <c r="A368" s="5">
        <v>45901</v>
      </c>
      <c r="B368" t="s">
        <v>44</v>
      </c>
      <c r="C368" t="s">
        <v>45</v>
      </c>
      <c r="D368" t="s">
        <v>39</v>
      </c>
      <c r="E368" t="s">
        <v>40</v>
      </c>
      <c r="F368" s="6">
        <v>95</v>
      </c>
      <c r="G368" s="6">
        <v>1755.29</v>
      </c>
      <c r="H368" s="6">
        <v>1041.48</v>
      </c>
      <c r="I368" s="6">
        <v>166752.55</v>
      </c>
      <c r="J368" s="6">
        <v>98940.60000000001</v>
      </c>
    </row>
    <row r="369" spans="1:10">
      <c r="A369" s="5">
        <v>45901</v>
      </c>
      <c r="B369" t="s">
        <v>44</v>
      </c>
      <c r="C369" t="s">
        <v>45</v>
      </c>
      <c r="D369" t="s">
        <v>39</v>
      </c>
      <c r="E369" t="s">
        <v>41</v>
      </c>
      <c r="F369" s="6">
        <v>47</v>
      </c>
      <c r="G369" s="6">
        <v>1655.28</v>
      </c>
      <c r="H369" s="6">
        <v>1041.48</v>
      </c>
      <c r="I369" s="6">
        <v>77798.16</v>
      </c>
      <c r="J369" s="6">
        <v>48949.56</v>
      </c>
    </row>
    <row r="370" spans="1:10">
      <c r="A370" s="5">
        <v>45901</v>
      </c>
      <c r="B370" t="s">
        <v>44</v>
      </c>
      <c r="C370" t="s">
        <v>45</v>
      </c>
      <c r="D370" t="s">
        <v>42</v>
      </c>
      <c r="E370" t="s">
        <v>40</v>
      </c>
      <c r="F370" s="6">
        <v>41</v>
      </c>
      <c r="G370" s="6">
        <v>1755.29</v>
      </c>
      <c r="H370" s="6">
        <v>1041.48</v>
      </c>
      <c r="I370" s="6">
        <v>71966.89</v>
      </c>
      <c r="J370" s="6">
        <v>42700.68</v>
      </c>
    </row>
    <row r="371" spans="1:10">
      <c r="A371" s="5">
        <v>45901</v>
      </c>
      <c r="B371" t="s">
        <v>44</v>
      </c>
      <c r="C371" t="s">
        <v>45</v>
      </c>
      <c r="D371" t="s">
        <v>42</v>
      </c>
      <c r="E371" t="s">
        <v>41</v>
      </c>
      <c r="F371" s="6">
        <v>22</v>
      </c>
      <c r="G371" s="6">
        <v>1655.28</v>
      </c>
      <c r="H371" s="6">
        <v>1041.48</v>
      </c>
      <c r="I371" s="6">
        <v>36416.16</v>
      </c>
      <c r="J371" s="6">
        <v>22912.56</v>
      </c>
    </row>
    <row r="372" spans="1:10">
      <c r="A372" s="5">
        <v>45901</v>
      </c>
      <c r="B372" t="s">
        <v>44</v>
      </c>
      <c r="C372" t="s">
        <v>45</v>
      </c>
      <c r="D372" t="s">
        <v>43</v>
      </c>
      <c r="E372" t="s">
        <v>40</v>
      </c>
      <c r="F372" s="6">
        <v>29</v>
      </c>
      <c r="G372" s="6">
        <v>1755.29</v>
      </c>
      <c r="H372" s="6">
        <v>1041.48</v>
      </c>
      <c r="I372" s="6">
        <v>50903.41</v>
      </c>
      <c r="J372" s="6">
        <v>30202.92</v>
      </c>
    </row>
    <row r="373" spans="1:10">
      <c r="A373" s="5">
        <v>45901</v>
      </c>
      <c r="B373" t="s">
        <v>44</v>
      </c>
      <c r="C373" t="s">
        <v>45</v>
      </c>
      <c r="D373" t="s">
        <v>43</v>
      </c>
      <c r="E373" t="s">
        <v>41</v>
      </c>
      <c r="F373" s="6">
        <v>15</v>
      </c>
      <c r="G373" s="6">
        <v>1655.28</v>
      </c>
      <c r="H373" s="6">
        <v>1041.48</v>
      </c>
      <c r="I373" s="6">
        <v>24829.2</v>
      </c>
      <c r="J373" s="6">
        <v>15622.2</v>
      </c>
    </row>
    <row r="374" spans="1:10">
      <c r="A374" s="5">
        <v>45901</v>
      </c>
      <c r="B374" t="s">
        <v>46</v>
      </c>
      <c r="C374" t="s">
        <v>47</v>
      </c>
      <c r="D374" t="s">
        <v>39</v>
      </c>
      <c r="E374" t="s">
        <v>40</v>
      </c>
      <c r="F374" s="6">
        <v>61</v>
      </c>
      <c r="G374" s="6">
        <v>723.39</v>
      </c>
      <c r="H374" s="6">
        <v>399.76</v>
      </c>
      <c r="I374" s="6">
        <v>44126.79</v>
      </c>
      <c r="J374" s="6">
        <v>24385.36</v>
      </c>
    </row>
    <row r="375" spans="1:10">
      <c r="A375" s="5">
        <v>45901</v>
      </c>
      <c r="B375" t="s">
        <v>46</v>
      </c>
      <c r="C375" t="s">
        <v>47</v>
      </c>
      <c r="D375" t="s">
        <v>39</v>
      </c>
      <c r="E375" t="s">
        <v>41</v>
      </c>
      <c r="F375" s="6">
        <v>34</v>
      </c>
      <c r="G375" s="6">
        <v>682.1799999999999</v>
      </c>
      <c r="H375" s="6">
        <v>399.76</v>
      </c>
      <c r="I375" s="6">
        <v>23194.12</v>
      </c>
      <c r="J375" s="6">
        <v>13591.84</v>
      </c>
    </row>
    <row r="376" spans="1:10">
      <c r="A376" s="5">
        <v>45901</v>
      </c>
      <c r="B376" t="s">
        <v>46</v>
      </c>
      <c r="C376" t="s">
        <v>47</v>
      </c>
      <c r="D376" t="s">
        <v>42</v>
      </c>
      <c r="E376" t="s">
        <v>40</v>
      </c>
      <c r="F376" s="6">
        <v>29</v>
      </c>
      <c r="G376" s="6">
        <v>723.39</v>
      </c>
      <c r="H376" s="6">
        <v>399.76</v>
      </c>
      <c r="I376" s="6">
        <v>20978.31</v>
      </c>
      <c r="J376" s="6">
        <v>11593.04</v>
      </c>
    </row>
    <row r="377" spans="1:10">
      <c r="A377" s="5">
        <v>45901</v>
      </c>
      <c r="B377" t="s">
        <v>46</v>
      </c>
      <c r="C377" t="s">
        <v>47</v>
      </c>
      <c r="D377" t="s">
        <v>42</v>
      </c>
      <c r="E377" t="s">
        <v>41</v>
      </c>
      <c r="F377" s="6">
        <v>15</v>
      </c>
      <c r="G377" s="6">
        <v>682.1799999999999</v>
      </c>
      <c r="H377" s="6">
        <v>399.76</v>
      </c>
      <c r="I377" s="6">
        <v>10232.7</v>
      </c>
      <c r="J377" s="6">
        <v>5996.4</v>
      </c>
    </row>
    <row r="378" spans="1:10">
      <c r="A378" s="5">
        <v>45901</v>
      </c>
      <c r="B378" t="s">
        <v>46</v>
      </c>
      <c r="C378" t="s">
        <v>47</v>
      </c>
      <c r="D378" t="s">
        <v>43</v>
      </c>
      <c r="E378" t="s">
        <v>40</v>
      </c>
      <c r="F378" s="6">
        <v>20</v>
      </c>
      <c r="G378" s="6">
        <v>723.39</v>
      </c>
      <c r="H378" s="6">
        <v>399.76</v>
      </c>
      <c r="I378" s="6">
        <v>14467.8</v>
      </c>
      <c r="J378" s="6">
        <v>7995.2</v>
      </c>
    </row>
    <row r="379" spans="1:10">
      <c r="A379" s="5">
        <v>45901</v>
      </c>
      <c r="B379" t="s">
        <v>46</v>
      </c>
      <c r="C379" t="s">
        <v>47</v>
      </c>
      <c r="D379" t="s">
        <v>43</v>
      </c>
      <c r="E379" t="s">
        <v>41</v>
      </c>
      <c r="F379" s="6">
        <v>11</v>
      </c>
      <c r="G379" s="6">
        <v>682.1799999999999</v>
      </c>
      <c r="H379" s="6">
        <v>399.76</v>
      </c>
      <c r="I379" s="6">
        <v>7503.98</v>
      </c>
      <c r="J379" s="6">
        <v>4397.36</v>
      </c>
    </row>
    <row r="380" spans="1:10">
      <c r="A380" s="5">
        <v>45931</v>
      </c>
      <c r="B380" t="s">
        <v>37</v>
      </c>
      <c r="C380" t="s">
        <v>38</v>
      </c>
      <c r="D380" t="s">
        <v>39</v>
      </c>
      <c r="E380" t="s">
        <v>40</v>
      </c>
      <c r="F380" s="6">
        <v>134</v>
      </c>
      <c r="G380" s="6">
        <v>2765.91</v>
      </c>
      <c r="H380" s="6">
        <v>1992.9</v>
      </c>
      <c r="I380" s="6">
        <v>370631.94</v>
      </c>
      <c r="J380" s="6">
        <v>267048.6</v>
      </c>
    </row>
    <row r="381" spans="1:10">
      <c r="A381" s="5">
        <v>45931</v>
      </c>
      <c r="B381" t="s">
        <v>37</v>
      </c>
      <c r="C381" t="s">
        <v>38</v>
      </c>
      <c r="D381" t="s">
        <v>39</v>
      </c>
      <c r="E381" t="s">
        <v>41</v>
      </c>
      <c r="F381" s="6">
        <v>71</v>
      </c>
      <c r="G381" s="6">
        <v>2608.32</v>
      </c>
      <c r="H381" s="6">
        <v>1992.9</v>
      </c>
      <c r="I381" s="6">
        <v>185190.72</v>
      </c>
      <c r="J381" s="6">
        <v>141495.9</v>
      </c>
    </row>
    <row r="382" spans="1:10">
      <c r="A382" s="5">
        <v>45931</v>
      </c>
      <c r="B382" t="s">
        <v>37</v>
      </c>
      <c r="C382" t="s">
        <v>38</v>
      </c>
      <c r="D382" t="s">
        <v>42</v>
      </c>
      <c r="E382" t="s">
        <v>40</v>
      </c>
      <c r="F382" s="6">
        <v>62</v>
      </c>
      <c r="G382" s="6">
        <v>2765.91</v>
      </c>
      <c r="H382" s="6">
        <v>1992.9</v>
      </c>
      <c r="I382" s="6">
        <v>171486.42</v>
      </c>
      <c r="J382" s="6">
        <v>123559.8</v>
      </c>
    </row>
    <row r="383" spans="1:10">
      <c r="A383" s="5">
        <v>45931</v>
      </c>
      <c r="B383" t="s">
        <v>37</v>
      </c>
      <c r="C383" t="s">
        <v>38</v>
      </c>
      <c r="D383" t="s">
        <v>42</v>
      </c>
      <c r="E383" t="s">
        <v>41</v>
      </c>
      <c r="F383" s="6">
        <v>31</v>
      </c>
      <c r="G383" s="6">
        <v>2608.32</v>
      </c>
      <c r="H383" s="6">
        <v>1992.9</v>
      </c>
      <c r="I383" s="6">
        <v>80857.92</v>
      </c>
      <c r="J383" s="6">
        <v>61779.9</v>
      </c>
    </row>
    <row r="384" spans="1:10">
      <c r="A384" s="5">
        <v>45931</v>
      </c>
      <c r="B384" t="s">
        <v>37</v>
      </c>
      <c r="C384" t="s">
        <v>38</v>
      </c>
      <c r="D384" t="s">
        <v>43</v>
      </c>
      <c r="E384" t="s">
        <v>40</v>
      </c>
      <c r="F384" s="6">
        <v>43</v>
      </c>
      <c r="G384" s="6">
        <v>2765.91</v>
      </c>
      <c r="H384" s="6">
        <v>1992.9</v>
      </c>
      <c r="I384" s="6">
        <v>118934.13</v>
      </c>
      <c r="J384" s="6">
        <v>85694.7</v>
      </c>
    </row>
    <row r="385" spans="1:10">
      <c r="A385" s="5">
        <v>45931</v>
      </c>
      <c r="B385" t="s">
        <v>37</v>
      </c>
      <c r="C385" t="s">
        <v>38</v>
      </c>
      <c r="D385" t="s">
        <v>43</v>
      </c>
      <c r="E385" t="s">
        <v>41</v>
      </c>
      <c r="F385" s="6">
        <v>24</v>
      </c>
      <c r="G385" s="6">
        <v>2608.32</v>
      </c>
      <c r="H385" s="6">
        <v>1992.9</v>
      </c>
      <c r="I385" s="6">
        <v>62599.68</v>
      </c>
      <c r="J385" s="6">
        <v>47829.6</v>
      </c>
    </row>
    <row r="386" spans="1:10">
      <c r="A386" s="5">
        <v>45931</v>
      </c>
      <c r="B386" t="s">
        <v>44</v>
      </c>
      <c r="C386" t="s">
        <v>45</v>
      </c>
      <c r="D386" t="s">
        <v>39</v>
      </c>
      <c r="E386" t="s">
        <v>40</v>
      </c>
      <c r="F386" s="6">
        <v>93</v>
      </c>
      <c r="G386" s="6">
        <v>1755.29</v>
      </c>
      <c r="H386" s="6">
        <v>1041.48</v>
      </c>
      <c r="I386" s="6">
        <v>163241.97</v>
      </c>
      <c r="J386" s="6">
        <v>96857.64</v>
      </c>
    </row>
    <row r="387" spans="1:10">
      <c r="A387" s="5">
        <v>45931</v>
      </c>
      <c r="B387" t="s">
        <v>44</v>
      </c>
      <c r="C387" t="s">
        <v>45</v>
      </c>
      <c r="D387" t="s">
        <v>39</v>
      </c>
      <c r="E387" t="s">
        <v>41</v>
      </c>
      <c r="F387" s="6">
        <v>51</v>
      </c>
      <c r="G387" s="6">
        <v>1655.28</v>
      </c>
      <c r="H387" s="6">
        <v>1041.48</v>
      </c>
      <c r="I387" s="6">
        <v>84419.28</v>
      </c>
      <c r="J387" s="6">
        <v>53115.48</v>
      </c>
    </row>
    <row r="388" spans="1:10">
      <c r="A388" s="5">
        <v>45931</v>
      </c>
      <c r="B388" t="s">
        <v>44</v>
      </c>
      <c r="C388" t="s">
        <v>45</v>
      </c>
      <c r="D388" t="s">
        <v>42</v>
      </c>
      <c r="E388" t="s">
        <v>40</v>
      </c>
      <c r="F388" s="6">
        <v>44</v>
      </c>
      <c r="G388" s="6">
        <v>1755.29</v>
      </c>
      <c r="H388" s="6">
        <v>1041.48</v>
      </c>
      <c r="I388" s="6">
        <v>77232.75999999999</v>
      </c>
      <c r="J388" s="6">
        <v>45825.12</v>
      </c>
    </row>
    <row r="389" spans="1:10">
      <c r="A389" s="5">
        <v>45931</v>
      </c>
      <c r="B389" t="s">
        <v>44</v>
      </c>
      <c r="C389" t="s">
        <v>45</v>
      </c>
      <c r="D389" t="s">
        <v>42</v>
      </c>
      <c r="E389" t="s">
        <v>41</v>
      </c>
      <c r="F389" s="6">
        <v>22</v>
      </c>
      <c r="G389" s="6">
        <v>1655.28</v>
      </c>
      <c r="H389" s="6">
        <v>1041.48</v>
      </c>
      <c r="I389" s="6">
        <v>36416.16</v>
      </c>
      <c r="J389" s="6">
        <v>22912.56</v>
      </c>
    </row>
    <row r="390" spans="1:10">
      <c r="A390" s="5">
        <v>45931</v>
      </c>
      <c r="B390" t="s">
        <v>44</v>
      </c>
      <c r="C390" t="s">
        <v>45</v>
      </c>
      <c r="D390" t="s">
        <v>43</v>
      </c>
      <c r="E390" t="s">
        <v>40</v>
      </c>
      <c r="F390" s="6">
        <v>31</v>
      </c>
      <c r="G390" s="6">
        <v>1755.29</v>
      </c>
      <c r="H390" s="6">
        <v>1041.48</v>
      </c>
      <c r="I390" s="6">
        <v>54413.99</v>
      </c>
      <c r="J390" s="6">
        <v>32285.88</v>
      </c>
    </row>
    <row r="391" spans="1:10">
      <c r="A391" s="5">
        <v>45931</v>
      </c>
      <c r="B391" t="s">
        <v>44</v>
      </c>
      <c r="C391" t="s">
        <v>45</v>
      </c>
      <c r="D391" t="s">
        <v>43</v>
      </c>
      <c r="E391" t="s">
        <v>41</v>
      </c>
      <c r="F391" s="6">
        <v>16</v>
      </c>
      <c r="G391" s="6">
        <v>1655.28</v>
      </c>
      <c r="H391" s="6">
        <v>1041.48</v>
      </c>
      <c r="I391" s="6">
        <v>26484.48</v>
      </c>
      <c r="J391" s="6">
        <v>16663.68</v>
      </c>
    </row>
    <row r="392" spans="1:10">
      <c r="A392" s="5">
        <v>45931</v>
      </c>
      <c r="B392" t="s">
        <v>46</v>
      </c>
      <c r="C392" t="s">
        <v>47</v>
      </c>
      <c r="D392" t="s">
        <v>39</v>
      </c>
      <c r="E392" t="s">
        <v>40</v>
      </c>
      <c r="F392" s="6">
        <v>62</v>
      </c>
      <c r="G392" s="6">
        <v>723.39</v>
      </c>
      <c r="H392" s="6">
        <v>399.76</v>
      </c>
      <c r="I392" s="6">
        <v>44850.18</v>
      </c>
      <c r="J392" s="6">
        <v>24785.12</v>
      </c>
    </row>
    <row r="393" spans="1:10">
      <c r="A393" s="5">
        <v>45931</v>
      </c>
      <c r="B393" t="s">
        <v>46</v>
      </c>
      <c r="C393" t="s">
        <v>47</v>
      </c>
      <c r="D393" t="s">
        <v>39</v>
      </c>
      <c r="E393" t="s">
        <v>41</v>
      </c>
      <c r="F393" s="6">
        <v>36</v>
      </c>
      <c r="G393" s="6">
        <v>682.1799999999999</v>
      </c>
      <c r="H393" s="6">
        <v>399.76</v>
      </c>
      <c r="I393" s="6">
        <v>24558.48</v>
      </c>
      <c r="J393" s="6">
        <v>14391.36</v>
      </c>
    </row>
    <row r="394" spans="1:10">
      <c r="A394" s="5">
        <v>45931</v>
      </c>
      <c r="B394" t="s">
        <v>46</v>
      </c>
      <c r="C394" t="s">
        <v>47</v>
      </c>
      <c r="D394" t="s">
        <v>42</v>
      </c>
      <c r="E394" t="s">
        <v>40</v>
      </c>
      <c r="F394" s="6">
        <v>30</v>
      </c>
      <c r="G394" s="6">
        <v>723.39</v>
      </c>
      <c r="H394" s="6">
        <v>399.76</v>
      </c>
      <c r="I394" s="6">
        <v>21701.7</v>
      </c>
      <c r="J394" s="6">
        <v>11992.8</v>
      </c>
    </row>
    <row r="395" spans="1:10">
      <c r="A395" s="5">
        <v>45931</v>
      </c>
      <c r="B395" t="s">
        <v>46</v>
      </c>
      <c r="C395" t="s">
        <v>47</v>
      </c>
      <c r="D395" t="s">
        <v>42</v>
      </c>
      <c r="E395" t="s">
        <v>41</v>
      </c>
      <c r="F395" s="6">
        <v>15</v>
      </c>
      <c r="G395" s="6">
        <v>682.1799999999999</v>
      </c>
      <c r="H395" s="6">
        <v>399.76</v>
      </c>
      <c r="I395" s="6">
        <v>10232.7</v>
      </c>
      <c r="J395" s="6">
        <v>5996.4</v>
      </c>
    </row>
    <row r="396" spans="1:10">
      <c r="A396" s="5">
        <v>45931</v>
      </c>
      <c r="B396" t="s">
        <v>46</v>
      </c>
      <c r="C396" t="s">
        <v>47</v>
      </c>
      <c r="D396" t="s">
        <v>43</v>
      </c>
      <c r="E396" t="s">
        <v>40</v>
      </c>
      <c r="F396" s="6">
        <v>22</v>
      </c>
      <c r="G396" s="6">
        <v>723.39</v>
      </c>
      <c r="H396" s="6">
        <v>399.76</v>
      </c>
      <c r="I396" s="6">
        <v>15914.58</v>
      </c>
      <c r="J396" s="6">
        <v>8794.719999999999</v>
      </c>
    </row>
    <row r="397" spans="1:10">
      <c r="A397" s="5">
        <v>45931</v>
      </c>
      <c r="B397" t="s">
        <v>46</v>
      </c>
      <c r="C397" t="s">
        <v>47</v>
      </c>
      <c r="D397" t="s">
        <v>43</v>
      </c>
      <c r="E397" t="s">
        <v>41</v>
      </c>
      <c r="F397" s="6">
        <v>10</v>
      </c>
      <c r="G397" s="6">
        <v>682.1799999999999</v>
      </c>
      <c r="H397" s="6">
        <v>399.76</v>
      </c>
      <c r="I397" s="6">
        <v>6821.8</v>
      </c>
      <c r="J397" s="6">
        <v>3997.6</v>
      </c>
    </row>
    <row r="398" spans="1:10">
      <c r="A398" s="5">
        <v>45962</v>
      </c>
      <c r="B398" t="s">
        <v>37</v>
      </c>
      <c r="C398" t="s">
        <v>38</v>
      </c>
      <c r="D398" t="s">
        <v>39</v>
      </c>
      <c r="E398" t="s">
        <v>40</v>
      </c>
      <c r="F398" s="6">
        <v>163</v>
      </c>
      <c r="G398" s="6">
        <v>2765.91</v>
      </c>
      <c r="H398" s="6">
        <v>1992.9</v>
      </c>
      <c r="I398" s="6">
        <v>450843.33</v>
      </c>
      <c r="J398" s="6">
        <v>324842.7</v>
      </c>
    </row>
    <row r="399" spans="1:10">
      <c r="A399" s="5">
        <v>45962</v>
      </c>
      <c r="B399" t="s">
        <v>37</v>
      </c>
      <c r="C399" t="s">
        <v>38</v>
      </c>
      <c r="D399" t="s">
        <v>39</v>
      </c>
      <c r="E399" t="s">
        <v>41</v>
      </c>
      <c r="F399" s="6">
        <v>79</v>
      </c>
      <c r="G399" s="6">
        <v>2608.32</v>
      </c>
      <c r="H399" s="6">
        <v>1992.9</v>
      </c>
      <c r="I399" s="6">
        <v>206057.28</v>
      </c>
      <c r="J399" s="6">
        <v>157439.1</v>
      </c>
    </row>
    <row r="400" spans="1:10">
      <c r="A400" s="5">
        <v>45962</v>
      </c>
      <c r="B400" t="s">
        <v>37</v>
      </c>
      <c r="C400" t="s">
        <v>38</v>
      </c>
      <c r="D400" t="s">
        <v>42</v>
      </c>
      <c r="E400" t="s">
        <v>40</v>
      </c>
      <c r="F400" s="6">
        <v>74</v>
      </c>
      <c r="G400" s="6">
        <v>2765.91</v>
      </c>
      <c r="H400" s="6">
        <v>1992.9</v>
      </c>
      <c r="I400" s="6">
        <v>204677.34</v>
      </c>
      <c r="J400" s="6">
        <v>147474.6</v>
      </c>
    </row>
    <row r="401" spans="1:10">
      <c r="A401" s="5">
        <v>45962</v>
      </c>
      <c r="B401" t="s">
        <v>37</v>
      </c>
      <c r="C401" t="s">
        <v>38</v>
      </c>
      <c r="D401" t="s">
        <v>42</v>
      </c>
      <c r="E401" t="s">
        <v>41</v>
      </c>
      <c r="F401" s="6">
        <v>36</v>
      </c>
      <c r="G401" s="6">
        <v>2608.32</v>
      </c>
      <c r="H401" s="6">
        <v>1992.9</v>
      </c>
      <c r="I401" s="6">
        <v>93899.52</v>
      </c>
      <c r="J401" s="6">
        <v>71744.39999999999</v>
      </c>
    </row>
    <row r="402" spans="1:10">
      <c r="A402" s="5">
        <v>45962</v>
      </c>
      <c r="B402" t="s">
        <v>37</v>
      </c>
      <c r="C402" t="s">
        <v>38</v>
      </c>
      <c r="D402" t="s">
        <v>43</v>
      </c>
      <c r="E402" t="s">
        <v>40</v>
      </c>
      <c r="F402" s="6">
        <v>54</v>
      </c>
      <c r="G402" s="6">
        <v>2765.91</v>
      </c>
      <c r="H402" s="6">
        <v>1992.9</v>
      </c>
      <c r="I402" s="6">
        <v>149359.14</v>
      </c>
      <c r="J402" s="6">
        <v>107616.6</v>
      </c>
    </row>
    <row r="403" spans="1:10">
      <c r="A403" s="5">
        <v>45962</v>
      </c>
      <c r="B403" t="s">
        <v>37</v>
      </c>
      <c r="C403" t="s">
        <v>38</v>
      </c>
      <c r="D403" t="s">
        <v>43</v>
      </c>
      <c r="E403" t="s">
        <v>41</v>
      </c>
      <c r="F403" s="6">
        <v>26</v>
      </c>
      <c r="G403" s="6">
        <v>2608.32</v>
      </c>
      <c r="H403" s="6">
        <v>1992.9</v>
      </c>
      <c r="I403" s="6">
        <v>67816.32000000001</v>
      </c>
      <c r="J403" s="6">
        <v>51815.4</v>
      </c>
    </row>
    <row r="404" spans="1:10">
      <c r="A404" s="5">
        <v>45962</v>
      </c>
      <c r="B404" t="s">
        <v>44</v>
      </c>
      <c r="C404" t="s">
        <v>45</v>
      </c>
      <c r="D404" t="s">
        <v>39</v>
      </c>
      <c r="E404" t="s">
        <v>40</v>
      </c>
      <c r="F404" s="6">
        <v>103</v>
      </c>
      <c r="G404" s="6">
        <v>1755.29</v>
      </c>
      <c r="H404" s="6">
        <v>1041.48</v>
      </c>
      <c r="I404" s="6">
        <v>180794.87</v>
      </c>
      <c r="J404" s="6">
        <v>107272.44</v>
      </c>
    </row>
    <row r="405" spans="1:10">
      <c r="A405" s="5">
        <v>45962</v>
      </c>
      <c r="B405" t="s">
        <v>44</v>
      </c>
      <c r="C405" t="s">
        <v>45</v>
      </c>
      <c r="D405" t="s">
        <v>39</v>
      </c>
      <c r="E405" t="s">
        <v>41</v>
      </c>
      <c r="F405" s="6">
        <v>56</v>
      </c>
      <c r="G405" s="6">
        <v>1655.28</v>
      </c>
      <c r="H405" s="6">
        <v>1041.48</v>
      </c>
      <c r="I405" s="6">
        <v>92695.67999999999</v>
      </c>
      <c r="J405" s="6">
        <v>58322.88</v>
      </c>
    </row>
    <row r="406" spans="1:10">
      <c r="A406" s="5">
        <v>45962</v>
      </c>
      <c r="B406" t="s">
        <v>44</v>
      </c>
      <c r="C406" t="s">
        <v>45</v>
      </c>
      <c r="D406" t="s">
        <v>42</v>
      </c>
      <c r="E406" t="s">
        <v>40</v>
      </c>
      <c r="F406" s="6">
        <v>52</v>
      </c>
      <c r="G406" s="6">
        <v>1755.29</v>
      </c>
      <c r="H406" s="6">
        <v>1041.48</v>
      </c>
      <c r="I406" s="6">
        <v>91275.08</v>
      </c>
      <c r="J406" s="6">
        <v>54156.96</v>
      </c>
    </row>
    <row r="407" spans="1:10">
      <c r="A407" s="5">
        <v>45962</v>
      </c>
      <c r="B407" t="s">
        <v>44</v>
      </c>
      <c r="C407" t="s">
        <v>45</v>
      </c>
      <c r="D407" t="s">
        <v>42</v>
      </c>
      <c r="E407" t="s">
        <v>41</v>
      </c>
      <c r="F407" s="6">
        <v>27</v>
      </c>
      <c r="G407" s="6">
        <v>1655.28</v>
      </c>
      <c r="H407" s="6">
        <v>1041.48</v>
      </c>
      <c r="I407" s="6">
        <v>44692.56</v>
      </c>
      <c r="J407" s="6">
        <v>28119.96</v>
      </c>
    </row>
    <row r="408" spans="1:10">
      <c r="A408" s="5">
        <v>45962</v>
      </c>
      <c r="B408" t="s">
        <v>44</v>
      </c>
      <c r="C408" t="s">
        <v>45</v>
      </c>
      <c r="D408" t="s">
        <v>43</v>
      </c>
      <c r="E408" t="s">
        <v>40</v>
      </c>
      <c r="F408" s="6">
        <v>36</v>
      </c>
      <c r="G408" s="6">
        <v>1755.29</v>
      </c>
      <c r="H408" s="6">
        <v>1041.48</v>
      </c>
      <c r="I408" s="6">
        <v>63190.44</v>
      </c>
      <c r="J408" s="6">
        <v>37493.28</v>
      </c>
    </row>
    <row r="409" spans="1:10">
      <c r="A409" s="5">
        <v>45962</v>
      </c>
      <c r="B409" t="s">
        <v>44</v>
      </c>
      <c r="C409" t="s">
        <v>45</v>
      </c>
      <c r="D409" t="s">
        <v>43</v>
      </c>
      <c r="E409" t="s">
        <v>41</v>
      </c>
      <c r="F409" s="6">
        <v>19</v>
      </c>
      <c r="G409" s="6">
        <v>1655.28</v>
      </c>
      <c r="H409" s="6">
        <v>1041.48</v>
      </c>
      <c r="I409" s="6">
        <v>31450.32</v>
      </c>
      <c r="J409" s="6">
        <v>19788.12</v>
      </c>
    </row>
    <row r="410" spans="1:10">
      <c r="A410" s="5">
        <v>45962</v>
      </c>
      <c r="B410" t="s">
        <v>46</v>
      </c>
      <c r="C410" t="s">
        <v>47</v>
      </c>
      <c r="D410" t="s">
        <v>39</v>
      </c>
      <c r="E410" t="s">
        <v>40</v>
      </c>
      <c r="F410" s="6">
        <v>79</v>
      </c>
      <c r="G410" s="6">
        <v>723.39</v>
      </c>
      <c r="H410" s="6">
        <v>399.76</v>
      </c>
      <c r="I410" s="6">
        <v>57147.81</v>
      </c>
      <c r="J410" s="6">
        <v>31581.04</v>
      </c>
    </row>
    <row r="411" spans="1:10">
      <c r="A411" s="5">
        <v>45962</v>
      </c>
      <c r="B411" t="s">
        <v>46</v>
      </c>
      <c r="C411" t="s">
        <v>47</v>
      </c>
      <c r="D411" t="s">
        <v>39</v>
      </c>
      <c r="E411" t="s">
        <v>41</v>
      </c>
      <c r="F411" s="6">
        <v>38</v>
      </c>
      <c r="G411" s="6">
        <v>682.1799999999999</v>
      </c>
      <c r="H411" s="6">
        <v>399.76</v>
      </c>
      <c r="I411" s="6">
        <v>25922.84</v>
      </c>
      <c r="J411" s="6">
        <v>15190.88</v>
      </c>
    </row>
    <row r="412" spans="1:10">
      <c r="A412" s="5">
        <v>45962</v>
      </c>
      <c r="B412" t="s">
        <v>46</v>
      </c>
      <c r="C412" t="s">
        <v>47</v>
      </c>
      <c r="D412" t="s">
        <v>42</v>
      </c>
      <c r="E412" t="s">
        <v>40</v>
      </c>
      <c r="F412" s="6">
        <v>37</v>
      </c>
      <c r="G412" s="6">
        <v>723.39</v>
      </c>
      <c r="H412" s="6">
        <v>399.76</v>
      </c>
      <c r="I412" s="6">
        <v>26765.43</v>
      </c>
      <c r="J412" s="6">
        <v>14791.12</v>
      </c>
    </row>
    <row r="413" spans="1:10">
      <c r="A413" s="5">
        <v>45962</v>
      </c>
      <c r="B413" t="s">
        <v>46</v>
      </c>
      <c r="C413" t="s">
        <v>47</v>
      </c>
      <c r="D413" t="s">
        <v>42</v>
      </c>
      <c r="E413" t="s">
        <v>41</v>
      </c>
      <c r="F413" s="6">
        <v>17</v>
      </c>
      <c r="G413" s="6">
        <v>682.1799999999999</v>
      </c>
      <c r="H413" s="6">
        <v>399.76</v>
      </c>
      <c r="I413" s="6">
        <v>11597.06</v>
      </c>
      <c r="J413" s="6">
        <v>6795.92</v>
      </c>
    </row>
    <row r="414" spans="1:10">
      <c r="A414" s="5">
        <v>45962</v>
      </c>
      <c r="B414" t="s">
        <v>46</v>
      </c>
      <c r="C414" t="s">
        <v>47</v>
      </c>
      <c r="D414" t="s">
        <v>43</v>
      </c>
      <c r="E414" t="s">
        <v>40</v>
      </c>
      <c r="F414" s="6">
        <v>24</v>
      </c>
      <c r="G414" s="6">
        <v>723.39</v>
      </c>
      <c r="H414" s="6">
        <v>399.76</v>
      </c>
      <c r="I414" s="6">
        <v>17361.36</v>
      </c>
      <c r="J414" s="6">
        <v>9594.24</v>
      </c>
    </row>
    <row r="415" spans="1:10">
      <c r="A415" s="5">
        <v>45962</v>
      </c>
      <c r="B415" t="s">
        <v>46</v>
      </c>
      <c r="C415" t="s">
        <v>47</v>
      </c>
      <c r="D415" t="s">
        <v>43</v>
      </c>
      <c r="E415" t="s">
        <v>41</v>
      </c>
      <c r="F415" s="6">
        <v>13</v>
      </c>
      <c r="G415" s="6">
        <v>682.1799999999999</v>
      </c>
      <c r="H415" s="6">
        <v>399.76</v>
      </c>
      <c r="I415" s="6">
        <v>8868.34</v>
      </c>
      <c r="J415" s="6">
        <v>5196.88</v>
      </c>
    </row>
    <row r="416" spans="1:10">
      <c r="A416" s="5">
        <v>45992</v>
      </c>
      <c r="B416" t="s">
        <v>37</v>
      </c>
      <c r="C416" t="s">
        <v>38</v>
      </c>
      <c r="D416" t="s">
        <v>39</v>
      </c>
      <c r="E416" t="s">
        <v>40</v>
      </c>
      <c r="F416" s="6">
        <v>149</v>
      </c>
      <c r="G416" s="6">
        <v>2765.91</v>
      </c>
      <c r="H416" s="6">
        <v>1992.9</v>
      </c>
      <c r="I416" s="6">
        <v>412120.59</v>
      </c>
      <c r="J416" s="6">
        <v>296942.1</v>
      </c>
    </row>
    <row r="417" spans="1:10">
      <c r="A417" s="5">
        <v>45992</v>
      </c>
      <c r="B417" t="s">
        <v>37</v>
      </c>
      <c r="C417" t="s">
        <v>38</v>
      </c>
      <c r="D417" t="s">
        <v>39</v>
      </c>
      <c r="E417" t="s">
        <v>41</v>
      </c>
      <c r="F417" s="6">
        <v>79</v>
      </c>
      <c r="G417" s="6">
        <v>2608.32</v>
      </c>
      <c r="H417" s="6">
        <v>1992.9</v>
      </c>
      <c r="I417" s="6">
        <v>206057.28</v>
      </c>
      <c r="J417" s="6">
        <v>157439.1</v>
      </c>
    </row>
    <row r="418" spans="1:10">
      <c r="A418" s="5">
        <v>45992</v>
      </c>
      <c r="B418" t="s">
        <v>37</v>
      </c>
      <c r="C418" t="s">
        <v>38</v>
      </c>
      <c r="D418" t="s">
        <v>42</v>
      </c>
      <c r="E418" t="s">
        <v>40</v>
      </c>
      <c r="F418" s="6">
        <v>67</v>
      </c>
      <c r="G418" s="6">
        <v>2765.91</v>
      </c>
      <c r="H418" s="6">
        <v>1992.9</v>
      </c>
      <c r="I418" s="6">
        <v>185315.97</v>
      </c>
      <c r="J418" s="6">
        <v>133524.3</v>
      </c>
    </row>
    <row r="419" spans="1:10">
      <c r="A419" s="5">
        <v>45992</v>
      </c>
      <c r="B419" t="s">
        <v>37</v>
      </c>
      <c r="C419" t="s">
        <v>38</v>
      </c>
      <c r="D419" t="s">
        <v>42</v>
      </c>
      <c r="E419" t="s">
        <v>41</v>
      </c>
      <c r="F419" s="6">
        <v>35</v>
      </c>
      <c r="G419" s="6">
        <v>2608.32</v>
      </c>
      <c r="H419" s="6">
        <v>1992.9</v>
      </c>
      <c r="I419" s="6">
        <v>91291.2</v>
      </c>
      <c r="J419" s="6">
        <v>69751.5</v>
      </c>
    </row>
    <row r="420" spans="1:10">
      <c r="A420" s="5">
        <v>45992</v>
      </c>
      <c r="B420" t="s">
        <v>37</v>
      </c>
      <c r="C420" t="s">
        <v>38</v>
      </c>
      <c r="D420" t="s">
        <v>43</v>
      </c>
      <c r="E420" t="s">
        <v>40</v>
      </c>
      <c r="F420" s="6">
        <v>48</v>
      </c>
      <c r="G420" s="6">
        <v>2765.91</v>
      </c>
      <c r="H420" s="6">
        <v>1992.9</v>
      </c>
      <c r="I420" s="6">
        <v>132763.68</v>
      </c>
      <c r="J420" s="6">
        <v>95659.2</v>
      </c>
    </row>
    <row r="421" spans="1:10">
      <c r="A421" s="5">
        <v>45992</v>
      </c>
      <c r="B421" t="s">
        <v>37</v>
      </c>
      <c r="C421" t="s">
        <v>38</v>
      </c>
      <c r="D421" t="s">
        <v>43</v>
      </c>
      <c r="E421" t="s">
        <v>41</v>
      </c>
      <c r="F421" s="6">
        <v>24</v>
      </c>
      <c r="G421" s="6">
        <v>2608.32</v>
      </c>
      <c r="H421" s="6">
        <v>1992.9</v>
      </c>
      <c r="I421" s="6">
        <v>62599.68</v>
      </c>
      <c r="J421" s="6">
        <v>47829.6</v>
      </c>
    </row>
    <row r="422" spans="1:10">
      <c r="A422" s="5">
        <v>45992</v>
      </c>
      <c r="B422" t="s">
        <v>44</v>
      </c>
      <c r="C422" t="s">
        <v>45</v>
      </c>
      <c r="D422" t="s">
        <v>39</v>
      </c>
      <c r="E422" t="s">
        <v>40</v>
      </c>
      <c r="F422" s="6">
        <v>100</v>
      </c>
      <c r="G422" s="6">
        <v>1755.29</v>
      </c>
      <c r="H422" s="6">
        <v>1041.48</v>
      </c>
      <c r="I422" s="6">
        <v>175529</v>
      </c>
      <c r="J422" s="6">
        <v>104148</v>
      </c>
    </row>
    <row r="423" spans="1:10">
      <c r="A423" s="5">
        <v>45992</v>
      </c>
      <c r="B423" t="s">
        <v>44</v>
      </c>
      <c r="C423" t="s">
        <v>45</v>
      </c>
      <c r="D423" t="s">
        <v>39</v>
      </c>
      <c r="E423" t="s">
        <v>41</v>
      </c>
      <c r="F423" s="6">
        <v>55</v>
      </c>
      <c r="G423" s="6">
        <v>1655.28</v>
      </c>
      <c r="H423" s="6">
        <v>1041.48</v>
      </c>
      <c r="I423" s="6">
        <v>91040.39999999999</v>
      </c>
      <c r="J423" s="6">
        <v>57281.4</v>
      </c>
    </row>
    <row r="424" spans="1:10">
      <c r="A424" s="5">
        <v>45992</v>
      </c>
      <c r="B424" t="s">
        <v>44</v>
      </c>
      <c r="C424" t="s">
        <v>45</v>
      </c>
      <c r="D424" t="s">
        <v>42</v>
      </c>
      <c r="E424" t="s">
        <v>40</v>
      </c>
      <c r="F424" s="6">
        <v>47</v>
      </c>
      <c r="G424" s="6">
        <v>1755.29</v>
      </c>
      <c r="H424" s="6">
        <v>1041.48</v>
      </c>
      <c r="I424" s="6">
        <v>82498.63</v>
      </c>
      <c r="J424" s="6">
        <v>48949.56</v>
      </c>
    </row>
    <row r="425" spans="1:10">
      <c r="A425" s="5">
        <v>45992</v>
      </c>
      <c r="B425" t="s">
        <v>44</v>
      </c>
      <c r="C425" t="s">
        <v>45</v>
      </c>
      <c r="D425" t="s">
        <v>42</v>
      </c>
      <c r="E425" t="s">
        <v>41</v>
      </c>
      <c r="F425" s="6">
        <v>24</v>
      </c>
      <c r="G425" s="6">
        <v>1655.28</v>
      </c>
      <c r="H425" s="6">
        <v>1041.48</v>
      </c>
      <c r="I425" s="6">
        <v>39726.72</v>
      </c>
      <c r="J425" s="6">
        <v>24995.52</v>
      </c>
    </row>
    <row r="426" spans="1:10">
      <c r="A426" s="5">
        <v>45992</v>
      </c>
      <c r="B426" t="s">
        <v>44</v>
      </c>
      <c r="C426" t="s">
        <v>45</v>
      </c>
      <c r="D426" t="s">
        <v>43</v>
      </c>
      <c r="E426" t="s">
        <v>40</v>
      </c>
      <c r="F426" s="6">
        <v>32</v>
      </c>
      <c r="G426" s="6">
        <v>1755.29</v>
      </c>
      <c r="H426" s="6">
        <v>1041.48</v>
      </c>
      <c r="I426" s="6">
        <v>56169.28</v>
      </c>
      <c r="J426" s="6">
        <v>33327.36</v>
      </c>
    </row>
    <row r="427" spans="1:10">
      <c r="A427" s="5">
        <v>45992</v>
      </c>
      <c r="B427" t="s">
        <v>44</v>
      </c>
      <c r="C427" t="s">
        <v>45</v>
      </c>
      <c r="D427" t="s">
        <v>43</v>
      </c>
      <c r="E427" t="s">
        <v>41</v>
      </c>
      <c r="F427" s="6">
        <v>17</v>
      </c>
      <c r="G427" s="6">
        <v>1655.28</v>
      </c>
      <c r="H427" s="6">
        <v>1041.48</v>
      </c>
      <c r="I427" s="6">
        <v>28139.76</v>
      </c>
      <c r="J427" s="6">
        <v>17705.16</v>
      </c>
    </row>
    <row r="428" spans="1:10">
      <c r="A428" s="5">
        <v>45992</v>
      </c>
      <c r="B428" t="s">
        <v>46</v>
      </c>
      <c r="C428" t="s">
        <v>47</v>
      </c>
      <c r="D428" t="s">
        <v>39</v>
      </c>
      <c r="E428" t="s">
        <v>40</v>
      </c>
      <c r="F428" s="6">
        <v>67</v>
      </c>
      <c r="G428" s="6">
        <v>723.39</v>
      </c>
      <c r="H428" s="6">
        <v>399.76</v>
      </c>
      <c r="I428" s="6">
        <v>48467.13</v>
      </c>
      <c r="J428" s="6">
        <v>26783.92</v>
      </c>
    </row>
    <row r="429" spans="1:10">
      <c r="A429" s="5">
        <v>45992</v>
      </c>
      <c r="B429" t="s">
        <v>46</v>
      </c>
      <c r="C429" t="s">
        <v>47</v>
      </c>
      <c r="D429" t="s">
        <v>39</v>
      </c>
      <c r="E429" t="s">
        <v>41</v>
      </c>
      <c r="F429" s="6">
        <v>38</v>
      </c>
      <c r="G429" s="6">
        <v>682.1799999999999</v>
      </c>
      <c r="H429" s="6">
        <v>399.76</v>
      </c>
      <c r="I429" s="6">
        <v>25922.84</v>
      </c>
      <c r="J429" s="6">
        <v>15190.88</v>
      </c>
    </row>
    <row r="430" spans="1:10">
      <c r="A430" s="5">
        <v>45992</v>
      </c>
      <c r="B430" t="s">
        <v>46</v>
      </c>
      <c r="C430" t="s">
        <v>47</v>
      </c>
      <c r="D430" t="s">
        <v>42</v>
      </c>
      <c r="E430" t="s">
        <v>40</v>
      </c>
      <c r="F430" s="6">
        <v>31</v>
      </c>
      <c r="G430" s="6">
        <v>723.39</v>
      </c>
      <c r="H430" s="6">
        <v>399.76</v>
      </c>
      <c r="I430" s="6">
        <v>22425.09</v>
      </c>
      <c r="J430" s="6">
        <v>12392.56</v>
      </c>
    </row>
    <row r="431" spans="1:10">
      <c r="A431" s="5">
        <v>45992</v>
      </c>
      <c r="B431" t="s">
        <v>46</v>
      </c>
      <c r="C431" t="s">
        <v>47</v>
      </c>
      <c r="D431" t="s">
        <v>42</v>
      </c>
      <c r="E431" t="s">
        <v>41</v>
      </c>
      <c r="F431" s="6">
        <v>16</v>
      </c>
      <c r="G431" s="6">
        <v>682.1799999999999</v>
      </c>
      <c r="H431" s="6">
        <v>399.76</v>
      </c>
      <c r="I431" s="6">
        <v>10914.88</v>
      </c>
      <c r="J431" s="6">
        <v>6396.16</v>
      </c>
    </row>
    <row r="432" spans="1:10">
      <c r="A432" s="5">
        <v>45992</v>
      </c>
      <c r="B432" t="s">
        <v>46</v>
      </c>
      <c r="C432" t="s">
        <v>47</v>
      </c>
      <c r="D432" t="s">
        <v>43</v>
      </c>
      <c r="E432" t="s">
        <v>40</v>
      </c>
      <c r="F432" s="6">
        <v>23</v>
      </c>
      <c r="G432" s="6">
        <v>723.39</v>
      </c>
      <c r="H432" s="6">
        <v>399.76</v>
      </c>
      <c r="I432" s="6">
        <v>16637.97</v>
      </c>
      <c r="J432" s="6">
        <v>9194.48</v>
      </c>
    </row>
    <row r="433" spans="1:10">
      <c r="A433" s="5">
        <v>45992</v>
      </c>
      <c r="B433" t="s">
        <v>46</v>
      </c>
      <c r="C433" t="s">
        <v>47</v>
      </c>
      <c r="D433" t="s">
        <v>43</v>
      </c>
      <c r="E433" t="s">
        <v>41</v>
      </c>
      <c r="F433" s="6">
        <v>11</v>
      </c>
      <c r="G433" s="6">
        <v>682.1799999999999</v>
      </c>
      <c r="H433" s="6">
        <v>399.76</v>
      </c>
      <c r="I433" s="6">
        <v>7503.98</v>
      </c>
      <c r="J433" s="6">
        <v>4397.36</v>
      </c>
    </row>
  </sheetData>
  <autoFilter ref="A1:J4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A899"/>
  </sheetPr>
  <dimension ref="A1:D12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4" width="18.7109375" customWidth="1"/>
  </cols>
  <sheetData>
    <row r="1" spans="1:4" ht="34" customHeight="1">
      <c r="A1" s="4" t="s">
        <v>27</v>
      </c>
      <c r="B1" s="4" t="s">
        <v>48</v>
      </c>
      <c r="C1" s="4" t="s">
        <v>49</v>
      </c>
      <c r="D1" s="4" t="s">
        <v>50</v>
      </c>
    </row>
    <row r="2" spans="1:4">
      <c r="A2" s="5">
        <v>45292</v>
      </c>
      <c r="B2" t="s">
        <v>51</v>
      </c>
      <c r="C2" t="s">
        <v>51</v>
      </c>
      <c r="D2" s="6">
        <v>95000</v>
      </c>
    </row>
    <row r="3" spans="1:4">
      <c r="A3" s="5">
        <v>45292</v>
      </c>
      <c r="B3" t="s">
        <v>52</v>
      </c>
      <c r="C3" t="s">
        <v>53</v>
      </c>
      <c r="D3" s="6">
        <v>33483.76</v>
      </c>
    </row>
    <row r="4" spans="1:4">
      <c r="A4" s="5">
        <v>45292</v>
      </c>
      <c r="B4" t="s">
        <v>54</v>
      </c>
      <c r="C4" t="s">
        <v>55</v>
      </c>
      <c r="D4" s="6">
        <v>32000</v>
      </c>
    </row>
    <row r="5" spans="1:4">
      <c r="A5" s="5">
        <v>45292</v>
      </c>
      <c r="B5" t="s">
        <v>56</v>
      </c>
      <c r="C5" t="s">
        <v>57</v>
      </c>
      <c r="D5" s="6">
        <v>18000</v>
      </c>
    </row>
    <row r="6" spans="1:4">
      <c r="A6" s="5">
        <v>45292</v>
      </c>
      <c r="B6" t="s">
        <v>58</v>
      </c>
      <c r="C6" t="s">
        <v>59</v>
      </c>
      <c r="D6" s="6">
        <v>20462.3</v>
      </c>
    </row>
    <row r="7" spans="1:4">
      <c r="A7" s="5">
        <v>45323</v>
      </c>
      <c r="B7" t="s">
        <v>51</v>
      </c>
      <c r="C7" t="s">
        <v>51</v>
      </c>
      <c r="D7" s="6">
        <v>95000</v>
      </c>
    </row>
    <row r="8" spans="1:4">
      <c r="A8" s="5">
        <v>45323</v>
      </c>
      <c r="B8" t="s">
        <v>52</v>
      </c>
      <c r="C8" t="s">
        <v>53</v>
      </c>
      <c r="D8" s="6">
        <v>35030.03</v>
      </c>
    </row>
    <row r="9" spans="1:4">
      <c r="A9" s="5">
        <v>45323</v>
      </c>
      <c r="B9" t="s">
        <v>54</v>
      </c>
      <c r="C9" t="s">
        <v>55</v>
      </c>
      <c r="D9" s="6">
        <v>32000</v>
      </c>
    </row>
    <row r="10" spans="1:4">
      <c r="A10" s="5">
        <v>45323</v>
      </c>
      <c r="B10" t="s">
        <v>56</v>
      </c>
      <c r="C10" t="s">
        <v>57</v>
      </c>
      <c r="D10" s="6">
        <v>18000</v>
      </c>
    </row>
    <row r="11" spans="1:4">
      <c r="A11" s="5">
        <v>45323</v>
      </c>
      <c r="B11" t="s">
        <v>58</v>
      </c>
      <c r="C11" t="s">
        <v>59</v>
      </c>
      <c r="D11" s="6">
        <v>21407.24</v>
      </c>
    </row>
    <row r="12" spans="1:4">
      <c r="A12" s="5">
        <v>45352</v>
      </c>
      <c r="B12" t="s">
        <v>51</v>
      </c>
      <c r="C12" t="s">
        <v>51</v>
      </c>
      <c r="D12" s="6">
        <v>95000</v>
      </c>
    </row>
    <row r="13" spans="1:4">
      <c r="A13" s="5">
        <v>45352</v>
      </c>
      <c r="B13" t="s">
        <v>52</v>
      </c>
      <c r="C13" t="s">
        <v>53</v>
      </c>
      <c r="D13" s="6">
        <v>41009.46</v>
      </c>
    </row>
    <row r="14" spans="1:4">
      <c r="A14" s="5">
        <v>45352</v>
      </c>
      <c r="B14" t="s">
        <v>54</v>
      </c>
      <c r="C14" t="s">
        <v>55</v>
      </c>
      <c r="D14" s="6">
        <v>32000</v>
      </c>
    </row>
    <row r="15" spans="1:4">
      <c r="A15" s="5">
        <v>45352</v>
      </c>
      <c r="B15" t="s">
        <v>56</v>
      </c>
      <c r="C15" t="s">
        <v>57</v>
      </c>
      <c r="D15" s="6">
        <v>18000</v>
      </c>
    </row>
    <row r="16" spans="1:4">
      <c r="A16" s="5">
        <v>45352</v>
      </c>
      <c r="B16" t="s">
        <v>58</v>
      </c>
      <c r="C16" t="s">
        <v>59</v>
      </c>
      <c r="D16" s="6">
        <v>25061.33</v>
      </c>
    </row>
    <row r="17" spans="1:4">
      <c r="A17" s="5">
        <v>45383</v>
      </c>
      <c r="B17" t="s">
        <v>51</v>
      </c>
      <c r="C17" t="s">
        <v>51</v>
      </c>
      <c r="D17" s="6">
        <v>95000</v>
      </c>
    </row>
    <row r="18" spans="1:4">
      <c r="A18" s="5">
        <v>45383</v>
      </c>
      <c r="B18" t="s">
        <v>52</v>
      </c>
      <c r="C18" t="s">
        <v>53</v>
      </c>
      <c r="D18" s="6">
        <v>41033.48</v>
      </c>
    </row>
    <row r="19" spans="1:4">
      <c r="A19" s="5">
        <v>45383</v>
      </c>
      <c r="B19" t="s">
        <v>54</v>
      </c>
      <c r="C19" t="s">
        <v>55</v>
      </c>
      <c r="D19" s="6">
        <v>32000</v>
      </c>
    </row>
    <row r="20" spans="1:4">
      <c r="A20" s="5">
        <v>45383</v>
      </c>
      <c r="B20" t="s">
        <v>56</v>
      </c>
      <c r="C20" t="s">
        <v>57</v>
      </c>
      <c r="D20" s="6">
        <v>18000</v>
      </c>
    </row>
    <row r="21" spans="1:4">
      <c r="A21" s="5">
        <v>45383</v>
      </c>
      <c r="B21" t="s">
        <v>58</v>
      </c>
      <c r="C21" t="s">
        <v>59</v>
      </c>
      <c r="D21" s="6">
        <v>25076.02</v>
      </c>
    </row>
    <row r="22" spans="1:4">
      <c r="A22" s="5">
        <v>45413</v>
      </c>
      <c r="B22" t="s">
        <v>51</v>
      </c>
      <c r="C22" t="s">
        <v>51</v>
      </c>
      <c r="D22" s="6">
        <v>95000</v>
      </c>
    </row>
    <row r="23" spans="1:4">
      <c r="A23" s="5">
        <v>45413</v>
      </c>
      <c r="B23" t="s">
        <v>52</v>
      </c>
      <c r="C23" t="s">
        <v>53</v>
      </c>
      <c r="D23" s="6">
        <v>42697.44</v>
      </c>
    </row>
    <row r="24" spans="1:4">
      <c r="A24" s="5">
        <v>45413</v>
      </c>
      <c r="B24" t="s">
        <v>54</v>
      </c>
      <c r="C24" t="s">
        <v>55</v>
      </c>
      <c r="D24" s="6">
        <v>32000</v>
      </c>
    </row>
    <row r="25" spans="1:4">
      <c r="A25" s="5">
        <v>45413</v>
      </c>
      <c r="B25" t="s">
        <v>56</v>
      </c>
      <c r="C25" t="s">
        <v>57</v>
      </c>
      <c r="D25" s="6">
        <v>18000</v>
      </c>
    </row>
    <row r="26" spans="1:4">
      <c r="A26" s="5">
        <v>45413</v>
      </c>
      <c r="B26" t="s">
        <v>58</v>
      </c>
      <c r="C26" t="s">
        <v>59</v>
      </c>
      <c r="D26" s="6">
        <v>26092.88</v>
      </c>
    </row>
    <row r="27" spans="1:4">
      <c r="A27" s="5">
        <v>45444</v>
      </c>
      <c r="B27" t="s">
        <v>51</v>
      </c>
      <c r="C27" t="s">
        <v>51</v>
      </c>
      <c r="D27" s="6">
        <v>95000</v>
      </c>
    </row>
    <row r="28" spans="1:4">
      <c r="A28" s="5">
        <v>45444</v>
      </c>
      <c r="B28" t="s">
        <v>52</v>
      </c>
      <c r="C28" t="s">
        <v>53</v>
      </c>
      <c r="D28" s="6">
        <v>44214.86</v>
      </c>
    </row>
    <row r="29" spans="1:4">
      <c r="A29" s="5">
        <v>45444</v>
      </c>
      <c r="B29" t="s">
        <v>54</v>
      </c>
      <c r="C29" t="s">
        <v>55</v>
      </c>
      <c r="D29" s="6">
        <v>32000</v>
      </c>
    </row>
    <row r="30" spans="1:4">
      <c r="A30" s="5">
        <v>45444</v>
      </c>
      <c r="B30" t="s">
        <v>56</v>
      </c>
      <c r="C30" t="s">
        <v>57</v>
      </c>
      <c r="D30" s="6">
        <v>18000</v>
      </c>
    </row>
    <row r="31" spans="1:4">
      <c r="A31" s="5">
        <v>45444</v>
      </c>
      <c r="B31" t="s">
        <v>58</v>
      </c>
      <c r="C31" t="s">
        <v>59</v>
      </c>
      <c r="D31" s="6">
        <v>27020.19</v>
      </c>
    </row>
    <row r="32" spans="1:4">
      <c r="A32" s="5">
        <v>45474</v>
      </c>
      <c r="B32" t="s">
        <v>51</v>
      </c>
      <c r="C32" t="s">
        <v>51</v>
      </c>
      <c r="D32" s="6">
        <v>98800</v>
      </c>
    </row>
    <row r="33" spans="1:4">
      <c r="A33" s="5">
        <v>45474</v>
      </c>
      <c r="B33" t="s">
        <v>52</v>
      </c>
      <c r="C33" t="s">
        <v>53</v>
      </c>
      <c r="D33" s="6">
        <v>39018.78</v>
      </c>
    </row>
    <row r="34" spans="1:4">
      <c r="A34" s="5">
        <v>45474</v>
      </c>
      <c r="B34" t="s">
        <v>54</v>
      </c>
      <c r="C34" t="s">
        <v>55</v>
      </c>
      <c r="D34" s="6">
        <v>32000</v>
      </c>
    </row>
    <row r="35" spans="1:4">
      <c r="A35" s="5">
        <v>45474</v>
      </c>
      <c r="B35" t="s">
        <v>56</v>
      </c>
      <c r="C35" t="s">
        <v>57</v>
      </c>
      <c r="D35" s="6">
        <v>18000</v>
      </c>
    </row>
    <row r="36" spans="1:4">
      <c r="A36" s="5">
        <v>45474</v>
      </c>
      <c r="B36" t="s">
        <v>58</v>
      </c>
      <c r="C36" t="s">
        <v>59</v>
      </c>
      <c r="D36" s="6">
        <v>23844.81</v>
      </c>
    </row>
    <row r="37" spans="1:4">
      <c r="A37" s="5">
        <v>45505</v>
      </c>
      <c r="B37" t="s">
        <v>51</v>
      </c>
      <c r="C37" t="s">
        <v>51</v>
      </c>
      <c r="D37" s="6">
        <v>98800</v>
      </c>
    </row>
    <row r="38" spans="1:4">
      <c r="A38" s="5">
        <v>45505</v>
      </c>
      <c r="B38" t="s">
        <v>52</v>
      </c>
      <c r="C38" t="s">
        <v>53</v>
      </c>
      <c r="D38" s="6">
        <v>42243.92</v>
      </c>
    </row>
    <row r="39" spans="1:4">
      <c r="A39" s="5">
        <v>45505</v>
      </c>
      <c r="B39" t="s">
        <v>54</v>
      </c>
      <c r="C39" t="s">
        <v>55</v>
      </c>
      <c r="D39" s="6">
        <v>32000</v>
      </c>
    </row>
    <row r="40" spans="1:4">
      <c r="A40" s="5">
        <v>45505</v>
      </c>
      <c r="B40" t="s">
        <v>56</v>
      </c>
      <c r="C40" t="s">
        <v>57</v>
      </c>
      <c r="D40" s="6">
        <v>18000</v>
      </c>
    </row>
    <row r="41" spans="1:4">
      <c r="A41" s="5">
        <v>45505</v>
      </c>
      <c r="B41" t="s">
        <v>58</v>
      </c>
      <c r="C41" t="s">
        <v>59</v>
      </c>
      <c r="D41" s="6">
        <v>25815.73</v>
      </c>
    </row>
    <row r="42" spans="1:4">
      <c r="A42" s="5">
        <v>45536</v>
      </c>
      <c r="B42" t="s">
        <v>51</v>
      </c>
      <c r="C42" t="s">
        <v>51</v>
      </c>
      <c r="D42" s="6">
        <v>98800</v>
      </c>
    </row>
    <row r="43" spans="1:4">
      <c r="A43" s="5">
        <v>45536</v>
      </c>
      <c r="B43" t="s">
        <v>52</v>
      </c>
      <c r="C43" t="s">
        <v>53</v>
      </c>
      <c r="D43" s="6">
        <v>43883.51</v>
      </c>
    </row>
    <row r="44" spans="1:4">
      <c r="A44" s="5">
        <v>45536</v>
      </c>
      <c r="B44" t="s">
        <v>54</v>
      </c>
      <c r="C44" t="s">
        <v>55</v>
      </c>
      <c r="D44" s="6">
        <v>32000</v>
      </c>
    </row>
    <row r="45" spans="1:4">
      <c r="A45" s="5">
        <v>45536</v>
      </c>
      <c r="B45" t="s">
        <v>56</v>
      </c>
      <c r="C45" t="s">
        <v>57</v>
      </c>
      <c r="D45" s="6">
        <v>18000</v>
      </c>
    </row>
    <row r="46" spans="1:4">
      <c r="A46" s="5">
        <v>45536</v>
      </c>
      <c r="B46" t="s">
        <v>58</v>
      </c>
      <c r="C46" t="s">
        <v>59</v>
      </c>
      <c r="D46" s="6">
        <v>26817.7</v>
      </c>
    </row>
    <row r="47" spans="1:4">
      <c r="A47" s="5">
        <v>45566</v>
      </c>
      <c r="B47" t="s">
        <v>51</v>
      </c>
      <c r="C47" t="s">
        <v>51</v>
      </c>
      <c r="D47" s="6">
        <v>98800</v>
      </c>
    </row>
    <row r="48" spans="1:4">
      <c r="A48" s="5">
        <v>45566</v>
      </c>
      <c r="B48" t="s">
        <v>52</v>
      </c>
      <c r="C48" t="s">
        <v>53</v>
      </c>
      <c r="D48" s="6">
        <v>48113.16</v>
      </c>
    </row>
    <row r="49" spans="1:4">
      <c r="A49" s="5">
        <v>45566</v>
      </c>
      <c r="B49" t="s">
        <v>54</v>
      </c>
      <c r="C49" t="s">
        <v>55</v>
      </c>
      <c r="D49" s="6">
        <v>32000</v>
      </c>
    </row>
    <row r="50" spans="1:4">
      <c r="A50" s="5">
        <v>45566</v>
      </c>
      <c r="B50" t="s">
        <v>56</v>
      </c>
      <c r="C50" t="s">
        <v>57</v>
      </c>
      <c r="D50" s="6">
        <v>18000</v>
      </c>
    </row>
    <row r="51" spans="1:4">
      <c r="A51" s="5">
        <v>45566</v>
      </c>
      <c r="B51" t="s">
        <v>58</v>
      </c>
      <c r="C51" t="s">
        <v>59</v>
      </c>
      <c r="D51" s="6">
        <v>29402.49</v>
      </c>
    </row>
    <row r="52" spans="1:4">
      <c r="A52" s="5">
        <v>45597</v>
      </c>
      <c r="B52" t="s">
        <v>51</v>
      </c>
      <c r="C52" t="s">
        <v>51</v>
      </c>
      <c r="D52" s="6">
        <v>98800</v>
      </c>
    </row>
    <row r="53" spans="1:4">
      <c r="A53" s="5">
        <v>45597</v>
      </c>
      <c r="B53" t="s">
        <v>52</v>
      </c>
      <c r="C53" t="s">
        <v>53</v>
      </c>
      <c r="D53" s="6">
        <v>54158.84</v>
      </c>
    </row>
    <row r="54" spans="1:4">
      <c r="A54" s="5">
        <v>45597</v>
      </c>
      <c r="B54" t="s">
        <v>54</v>
      </c>
      <c r="C54" t="s">
        <v>55</v>
      </c>
      <c r="D54" s="6">
        <v>32000</v>
      </c>
    </row>
    <row r="55" spans="1:4">
      <c r="A55" s="5">
        <v>45597</v>
      </c>
      <c r="B55" t="s">
        <v>56</v>
      </c>
      <c r="C55" t="s">
        <v>57</v>
      </c>
      <c r="D55" s="6">
        <v>18000</v>
      </c>
    </row>
    <row r="56" spans="1:4">
      <c r="A56" s="5">
        <v>45597</v>
      </c>
      <c r="B56" t="s">
        <v>58</v>
      </c>
      <c r="C56" t="s">
        <v>59</v>
      </c>
      <c r="D56" s="6">
        <v>33097.07</v>
      </c>
    </row>
    <row r="57" spans="1:4">
      <c r="A57" s="5">
        <v>45627</v>
      </c>
      <c r="B57" t="s">
        <v>51</v>
      </c>
      <c r="C57" t="s">
        <v>51</v>
      </c>
      <c r="D57" s="6">
        <v>98800</v>
      </c>
    </row>
    <row r="58" spans="1:4">
      <c r="A58" s="5">
        <v>45627</v>
      </c>
      <c r="B58" t="s">
        <v>52</v>
      </c>
      <c r="C58" t="s">
        <v>53</v>
      </c>
      <c r="D58" s="6">
        <v>49741.9</v>
      </c>
    </row>
    <row r="59" spans="1:4">
      <c r="A59" s="5">
        <v>45627</v>
      </c>
      <c r="B59" t="s">
        <v>54</v>
      </c>
      <c r="C59" t="s">
        <v>55</v>
      </c>
      <c r="D59" s="6">
        <v>32000</v>
      </c>
    </row>
    <row r="60" spans="1:4">
      <c r="A60" s="5">
        <v>45627</v>
      </c>
      <c r="B60" t="s">
        <v>56</v>
      </c>
      <c r="C60" t="s">
        <v>57</v>
      </c>
      <c r="D60" s="6">
        <v>18000</v>
      </c>
    </row>
    <row r="61" spans="1:4">
      <c r="A61" s="5">
        <v>45627</v>
      </c>
      <c r="B61" t="s">
        <v>58</v>
      </c>
      <c r="C61" t="s">
        <v>59</v>
      </c>
      <c r="D61" s="6">
        <v>30397.83</v>
      </c>
    </row>
    <row r="62" spans="1:4">
      <c r="A62" s="5">
        <v>45658</v>
      </c>
      <c r="B62" t="s">
        <v>51</v>
      </c>
      <c r="C62" t="s">
        <v>51</v>
      </c>
      <c r="D62" s="6">
        <v>105925</v>
      </c>
    </row>
    <row r="63" spans="1:4">
      <c r="A63" s="5">
        <v>45658</v>
      </c>
      <c r="B63" t="s">
        <v>52</v>
      </c>
      <c r="C63" t="s">
        <v>53</v>
      </c>
      <c r="D63" s="6">
        <v>41439.29</v>
      </c>
    </row>
    <row r="64" spans="1:4">
      <c r="A64" s="5">
        <v>45658</v>
      </c>
      <c r="B64" t="s">
        <v>54</v>
      </c>
      <c r="C64" t="s">
        <v>55</v>
      </c>
      <c r="D64" s="6">
        <v>33920</v>
      </c>
    </row>
    <row r="65" spans="1:4">
      <c r="A65" s="5">
        <v>45658</v>
      </c>
      <c r="B65" t="s">
        <v>56</v>
      </c>
      <c r="C65" t="s">
        <v>57</v>
      </c>
      <c r="D65" s="6">
        <v>20160</v>
      </c>
    </row>
    <row r="66" spans="1:4">
      <c r="A66" s="5">
        <v>45658</v>
      </c>
      <c r="B66" t="s">
        <v>58</v>
      </c>
      <c r="C66" t="s">
        <v>59</v>
      </c>
      <c r="D66" s="6">
        <v>25324.01</v>
      </c>
    </row>
    <row r="67" spans="1:4">
      <c r="A67" s="5">
        <v>45689</v>
      </c>
      <c r="B67" t="s">
        <v>51</v>
      </c>
      <c r="C67" t="s">
        <v>51</v>
      </c>
      <c r="D67" s="6">
        <v>105925</v>
      </c>
    </row>
    <row r="68" spans="1:4">
      <c r="A68" s="5">
        <v>45689</v>
      </c>
      <c r="B68" t="s">
        <v>52</v>
      </c>
      <c r="C68" t="s">
        <v>53</v>
      </c>
      <c r="D68" s="6">
        <v>42362.34</v>
      </c>
    </row>
    <row r="69" spans="1:4">
      <c r="A69" s="5">
        <v>45689</v>
      </c>
      <c r="B69" t="s">
        <v>54</v>
      </c>
      <c r="C69" t="s">
        <v>55</v>
      </c>
      <c r="D69" s="6">
        <v>33920</v>
      </c>
    </row>
    <row r="70" spans="1:4">
      <c r="A70" s="5">
        <v>45689</v>
      </c>
      <c r="B70" t="s">
        <v>56</v>
      </c>
      <c r="C70" t="s">
        <v>57</v>
      </c>
      <c r="D70" s="6">
        <v>20160</v>
      </c>
    </row>
    <row r="71" spans="1:4">
      <c r="A71" s="5">
        <v>45689</v>
      </c>
      <c r="B71" t="s">
        <v>58</v>
      </c>
      <c r="C71" t="s">
        <v>59</v>
      </c>
      <c r="D71" s="6">
        <v>25888.1</v>
      </c>
    </row>
    <row r="72" spans="1:4">
      <c r="A72" s="5">
        <v>45717</v>
      </c>
      <c r="B72" t="s">
        <v>51</v>
      </c>
      <c r="C72" t="s">
        <v>51</v>
      </c>
      <c r="D72" s="6">
        <v>105925</v>
      </c>
    </row>
    <row r="73" spans="1:4">
      <c r="A73" s="5">
        <v>45717</v>
      </c>
      <c r="B73" t="s">
        <v>52</v>
      </c>
      <c r="C73" t="s">
        <v>53</v>
      </c>
      <c r="D73" s="6">
        <v>50038.31</v>
      </c>
    </row>
    <row r="74" spans="1:4">
      <c r="A74" s="5">
        <v>45717</v>
      </c>
      <c r="B74" t="s">
        <v>54</v>
      </c>
      <c r="C74" t="s">
        <v>55</v>
      </c>
      <c r="D74" s="6">
        <v>33920</v>
      </c>
    </row>
    <row r="75" spans="1:4">
      <c r="A75" s="5">
        <v>45717</v>
      </c>
      <c r="B75" t="s">
        <v>56</v>
      </c>
      <c r="C75" t="s">
        <v>57</v>
      </c>
      <c r="D75" s="6">
        <v>20160</v>
      </c>
    </row>
    <row r="76" spans="1:4">
      <c r="A76" s="5">
        <v>45717</v>
      </c>
      <c r="B76" t="s">
        <v>58</v>
      </c>
      <c r="C76" t="s">
        <v>59</v>
      </c>
      <c r="D76" s="6">
        <v>30578.97</v>
      </c>
    </row>
    <row r="77" spans="1:4">
      <c r="A77" s="5">
        <v>45748</v>
      </c>
      <c r="B77" t="s">
        <v>51</v>
      </c>
      <c r="C77" t="s">
        <v>51</v>
      </c>
      <c r="D77" s="6">
        <v>105925</v>
      </c>
    </row>
    <row r="78" spans="1:4">
      <c r="A78" s="5">
        <v>45748</v>
      </c>
      <c r="B78" t="s">
        <v>52</v>
      </c>
      <c r="C78" t="s">
        <v>53</v>
      </c>
      <c r="D78" s="6">
        <v>49834.7</v>
      </c>
    </row>
    <row r="79" spans="1:4">
      <c r="A79" s="5">
        <v>45748</v>
      </c>
      <c r="B79" t="s">
        <v>54</v>
      </c>
      <c r="C79" t="s">
        <v>55</v>
      </c>
      <c r="D79" s="6">
        <v>33920</v>
      </c>
    </row>
    <row r="80" spans="1:4">
      <c r="A80" s="5">
        <v>45748</v>
      </c>
      <c r="B80" t="s">
        <v>56</v>
      </c>
      <c r="C80" t="s">
        <v>57</v>
      </c>
      <c r="D80" s="6">
        <v>20160</v>
      </c>
    </row>
    <row r="81" spans="1:4">
      <c r="A81" s="5">
        <v>45748</v>
      </c>
      <c r="B81" t="s">
        <v>58</v>
      </c>
      <c r="C81" t="s">
        <v>59</v>
      </c>
      <c r="D81" s="6">
        <v>30454.54</v>
      </c>
    </row>
    <row r="82" spans="1:4">
      <c r="A82" s="5">
        <v>45748</v>
      </c>
      <c r="B82" t="s">
        <v>56</v>
      </c>
      <c r="C82" t="s">
        <v>60</v>
      </c>
      <c r="D82" s="6">
        <v>28000</v>
      </c>
    </row>
    <row r="83" spans="1:4">
      <c r="A83" s="5">
        <v>45778</v>
      </c>
      <c r="B83" t="s">
        <v>51</v>
      </c>
      <c r="C83" t="s">
        <v>51</v>
      </c>
      <c r="D83" s="6">
        <v>105925</v>
      </c>
    </row>
    <row r="84" spans="1:4">
      <c r="A84" s="5">
        <v>45778</v>
      </c>
      <c r="B84" t="s">
        <v>52</v>
      </c>
      <c r="C84" t="s">
        <v>53</v>
      </c>
      <c r="D84" s="6">
        <v>52188.43</v>
      </c>
    </row>
    <row r="85" spans="1:4">
      <c r="A85" s="5">
        <v>45778</v>
      </c>
      <c r="B85" t="s">
        <v>54</v>
      </c>
      <c r="C85" t="s">
        <v>55</v>
      </c>
      <c r="D85" s="6">
        <v>33920</v>
      </c>
    </row>
    <row r="86" spans="1:4">
      <c r="A86" s="5">
        <v>45778</v>
      </c>
      <c r="B86" t="s">
        <v>56</v>
      </c>
      <c r="C86" t="s">
        <v>57</v>
      </c>
      <c r="D86" s="6">
        <v>20160</v>
      </c>
    </row>
    <row r="87" spans="1:4">
      <c r="A87" s="5">
        <v>45778</v>
      </c>
      <c r="B87" t="s">
        <v>58</v>
      </c>
      <c r="C87" t="s">
        <v>59</v>
      </c>
      <c r="D87" s="6">
        <v>31892.93</v>
      </c>
    </row>
    <row r="88" spans="1:4">
      <c r="A88" s="5">
        <v>45778</v>
      </c>
      <c r="B88" t="s">
        <v>56</v>
      </c>
      <c r="C88" t="s">
        <v>60</v>
      </c>
      <c r="D88" s="6">
        <v>28000</v>
      </c>
    </row>
    <row r="89" spans="1:4">
      <c r="A89" s="5">
        <v>45809</v>
      </c>
      <c r="B89" t="s">
        <v>51</v>
      </c>
      <c r="C89" t="s">
        <v>51</v>
      </c>
      <c r="D89" s="6">
        <v>105925</v>
      </c>
    </row>
    <row r="90" spans="1:4">
      <c r="A90" s="5">
        <v>45809</v>
      </c>
      <c r="B90" t="s">
        <v>52</v>
      </c>
      <c r="C90" t="s">
        <v>53</v>
      </c>
      <c r="D90" s="6">
        <v>52961.79</v>
      </c>
    </row>
    <row r="91" spans="1:4">
      <c r="A91" s="5">
        <v>45809</v>
      </c>
      <c r="B91" t="s">
        <v>54</v>
      </c>
      <c r="C91" t="s">
        <v>55</v>
      </c>
      <c r="D91" s="6">
        <v>33920</v>
      </c>
    </row>
    <row r="92" spans="1:4">
      <c r="A92" s="5">
        <v>45809</v>
      </c>
      <c r="B92" t="s">
        <v>56</v>
      </c>
      <c r="C92" t="s">
        <v>57</v>
      </c>
      <c r="D92" s="6">
        <v>20160</v>
      </c>
    </row>
    <row r="93" spans="1:4">
      <c r="A93" s="5">
        <v>45809</v>
      </c>
      <c r="B93" t="s">
        <v>58</v>
      </c>
      <c r="C93" t="s">
        <v>59</v>
      </c>
      <c r="D93" s="6">
        <v>32365.54</v>
      </c>
    </row>
    <row r="94" spans="1:4">
      <c r="A94" s="5">
        <v>45839</v>
      </c>
      <c r="B94" t="s">
        <v>51</v>
      </c>
      <c r="C94" t="s">
        <v>51</v>
      </c>
      <c r="D94" s="6">
        <v>110162</v>
      </c>
    </row>
    <row r="95" spans="1:4">
      <c r="A95" s="5">
        <v>45839</v>
      </c>
      <c r="B95" t="s">
        <v>52</v>
      </c>
      <c r="C95" t="s">
        <v>53</v>
      </c>
      <c r="D95" s="6">
        <v>43463.25</v>
      </c>
    </row>
    <row r="96" spans="1:4">
      <c r="A96" s="5">
        <v>45839</v>
      </c>
      <c r="B96" t="s">
        <v>54</v>
      </c>
      <c r="C96" t="s">
        <v>55</v>
      </c>
      <c r="D96" s="6">
        <v>33920</v>
      </c>
    </row>
    <row r="97" spans="1:4">
      <c r="A97" s="5">
        <v>45839</v>
      </c>
      <c r="B97" t="s">
        <v>56</v>
      </c>
      <c r="C97" t="s">
        <v>57</v>
      </c>
      <c r="D97" s="6">
        <v>20160</v>
      </c>
    </row>
    <row r="98" spans="1:4">
      <c r="A98" s="5">
        <v>45839</v>
      </c>
      <c r="B98" t="s">
        <v>58</v>
      </c>
      <c r="C98" t="s">
        <v>59</v>
      </c>
      <c r="D98" s="6">
        <v>26560.87</v>
      </c>
    </row>
    <row r="99" spans="1:4">
      <c r="A99" s="5">
        <v>45870</v>
      </c>
      <c r="B99" t="s">
        <v>51</v>
      </c>
      <c r="C99" t="s">
        <v>51</v>
      </c>
      <c r="D99" s="6">
        <v>110162</v>
      </c>
    </row>
    <row r="100" spans="1:4">
      <c r="A100" s="5">
        <v>45870</v>
      </c>
      <c r="B100" t="s">
        <v>52</v>
      </c>
      <c r="C100" t="s">
        <v>53</v>
      </c>
      <c r="D100" s="6">
        <v>46751.21</v>
      </c>
    </row>
    <row r="101" spans="1:4">
      <c r="A101" s="5">
        <v>45870</v>
      </c>
      <c r="B101" t="s">
        <v>54</v>
      </c>
      <c r="C101" t="s">
        <v>55</v>
      </c>
      <c r="D101" s="6">
        <v>33920</v>
      </c>
    </row>
    <row r="102" spans="1:4">
      <c r="A102" s="5">
        <v>45870</v>
      </c>
      <c r="B102" t="s">
        <v>56</v>
      </c>
      <c r="C102" t="s">
        <v>57</v>
      </c>
      <c r="D102" s="6">
        <v>20160</v>
      </c>
    </row>
    <row r="103" spans="1:4">
      <c r="A103" s="5">
        <v>45870</v>
      </c>
      <c r="B103" t="s">
        <v>58</v>
      </c>
      <c r="C103" t="s">
        <v>59</v>
      </c>
      <c r="D103" s="6">
        <v>28570.19</v>
      </c>
    </row>
    <row r="104" spans="1:4">
      <c r="A104" s="5">
        <v>45901</v>
      </c>
      <c r="B104" t="s">
        <v>51</v>
      </c>
      <c r="C104" t="s">
        <v>51</v>
      </c>
      <c r="D104" s="6">
        <v>110162</v>
      </c>
    </row>
    <row r="105" spans="1:4">
      <c r="A105" s="5">
        <v>45901</v>
      </c>
      <c r="B105" t="s">
        <v>52</v>
      </c>
      <c r="C105" t="s">
        <v>53</v>
      </c>
      <c r="D105" s="6">
        <v>49871.21</v>
      </c>
    </row>
    <row r="106" spans="1:4">
      <c r="A106" s="5">
        <v>45901</v>
      </c>
      <c r="B106" t="s">
        <v>54</v>
      </c>
      <c r="C106" t="s">
        <v>55</v>
      </c>
      <c r="D106" s="6">
        <v>33920</v>
      </c>
    </row>
    <row r="107" spans="1:4">
      <c r="A107" s="5">
        <v>45901</v>
      </c>
      <c r="B107" t="s">
        <v>56</v>
      </c>
      <c r="C107" t="s">
        <v>57</v>
      </c>
      <c r="D107" s="6">
        <v>20160</v>
      </c>
    </row>
    <row r="108" spans="1:4">
      <c r="A108" s="5">
        <v>45901</v>
      </c>
      <c r="B108" t="s">
        <v>58</v>
      </c>
      <c r="C108" t="s">
        <v>59</v>
      </c>
      <c r="D108" s="6">
        <v>30476.85</v>
      </c>
    </row>
    <row r="109" spans="1:4">
      <c r="A109" s="5">
        <v>45931</v>
      </c>
      <c r="B109" t="s">
        <v>51</v>
      </c>
      <c r="C109" t="s">
        <v>51</v>
      </c>
      <c r="D109" s="6">
        <v>110162</v>
      </c>
    </row>
    <row r="110" spans="1:4">
      <c r="A110" s="5">
        <v>45931</v>
      </c>
      <c r="B110" t="s">
        <v>52</v>
      </c>
      <c r="C110" t="s">
        <v>53</v>
      </c>
      <c r="D110" s="6">
        <v>56015.6</v>
      </c>
    </row>
    <row r="111" spans="1:4">
      <c r="A111" s="5">
        <v>45931</v>
      </c>
      <c r="B111" t="s">
        <v>54</v>
      </c>
      <c r="C111" t="s">
        <v>55</v>
      </c>
      <c r="D111" s="6">
        <v>33920</v>
      </c>
    </row>
    <row r="112" spans="1:4">
      <c r="A112" s="5">
        <v>45931</v>
      </c>
      <c r="B112" t="s">
        <v>56</v>
      </c>
      <c r="C112" t="s">
        <v>57</v>
      </c>
      <c r="D112" s="6">
        <v>20160</v>
      </c>
    </row>
    <row r="113" spans="1:4">
      <c r="A113" s="5">
        <v>45931</v>
      </c>
      <c r="B113" t="s">
        <v>58</v>
      </c>
      <c r="C113" t="s">
        <v>59</v>
      </c>
      <c r="D113" s="6">
        <v>34231.76</v>
      </c>
    </row>
    <row r="114" spans="1:4">
      <c r="A114" s="5">
        <v>45962</v>
      </c>
      <c r="B114" t="s">
        <v>51</v>
      </c>
      <c r="C114" t="s">
        <v>51</v>
      </c>
      <c r="D114" s="6">
        <v>110162</v>
      </c>
    </row>
    <row r="115" spans="1:4">
      <c r="A115" s="5">
        <v>45962</v>
      </c>
      <c r="B115" t="s">
        <v>52</v>
      </c>
      <c r="C115" t="s">
        <v>53</v>
      </c>
      <c r="D115" s="6">
        <v>65678.92999999999</v>
      </c>
    </row>
    <row r="116" spans="1:4">
      <c r="A116" s="5">
        <v>45962</v>
      </c>
      <c r="B116" t="s">
        <v>54</v>
      </c>
      <c r="C116" t="s">
        <v>55</v>
      </c>
      <c r="D116" s="6">
        <v>33920</v>
      </c>
    </row>
    <row r="117" spans="1:4">
      <c r="A117" s="5">
        <v>45962</v>
      </c>
      <c r="B117" t="s">
        <v>56</v>
      </c>
      <c r="C117" t="s">
        <v>57</v>
      </c>
      <c r="D117" s="6">
        <v>20160</v>
      </c>
    </row>
    <row r="118" spans="1:4">
      <c r="A118" s="5">
        <v>45962</v>
      </c>
      <c r="B118" t="s">
        <v>58</v>
      </c>
      <c r="C118" t="s">
        <v>59</v>
      </c>
      <c r="D118" s="6">
        <v>40137.12</v>
      </c>
    </row>
    <row r="119" spans="1:4">
      <c r="A119" s="5">
        <v>45992</v>
      </c>
      <c r="B119" t="s">
        <v>51</v>
      </c>
      <c r="C119" t="s">
        <v>51</v>
      </c>
      <c r="D119" s="6">
        <v>110162</v>
      </c>
    </row>
    <row r="120" spans="1:4">
      <c r="A120" s="5">
        <v>45992</v>
      </c>
      <c r="B120" t="s">
        <v>52</v>
      </c>
      <c r="C120" t="s">
        <v>53</v>
      </c>
      <c r="D120" s="6">
        <v>61024.47</v>
      </c>
    </row>
    <row r="121" spans="1:4">
      <c r="A121" s="5">
        <v>45992</v>
      </c>
      <c r="B121" t="s">
        <v>54</v>
      </c>
      <c r="C121" t="s">
        <v>55</v>
      </c>
      <c r="D121" s="6">
        <v>33920</v>
      </c>
    </row>
    <row r="122" spans="1:4">
      <c r="A122" s="5">
        <v>45992</v>
      </c>
      <c r="B122" t="s">
        <v>56</v>
      </c>
      <c r="C122" t="s">
        <v>57</v>
      </c>
      <c r="D122" s="6">
        <v>20160</v>
      </c>
    </row>
    <row r="123" spans="1:4">
      <c r="A123" s="5">
        <v>45992</v>
      </c>
      <c r="B123" t="s">
        <v>58</v>
      </c>
      <c r="C123" t="s">
        <v>59</v>
      </c>
      <c r="D123" s="6">
        <v>37292.73</v>
      </c>
    </row>
  </sheetData>
  <autoFilter ref="A1:D12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A899"/>
  </sheetPr>
  <dimension ref="A1:Y9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5" width="18.7109375" customWidth="1"/>
  </cols>
  <sheetData>
    <row r="1" spans="1:25" ht="34" customHeight="1">
      <c r="A1" s="4" t="s">
        <v>27</v>
      </c>
      <c r="B1" s="4" t="s">
        <v>61</v>
      </c>
      <c r="C1" s="4" t="s">
        <v>32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35</v>
      </c>
      <c r="I1" s="4" t="s">
        <v>36</v>
      </c>
      <c r="J1" s="4" t="s">
        <v>51</v>
      </c>
      <c r="K1" s="4" t="s">
        <v>52</v>
      </c>
      <c r="L1" s="4" t="s">
        <v>54</v>
      </c>
      <c r="M1" s="4" t="s">
        <v>56</v>
      </c>
      <c r="N1" s="4" t="s">
        <v>66</v>
      </c>
      <c r="O1" s="4" t="s">
        <v>67</v>
      </c>
      <c r="P1" s="4" t="s">
        <v>68</v>
      </c>
      <c r="Q1" s="4" t="s">
        <v>69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4" t="s">
        <v>75</v>
      </c>
      <c r="X1" s="4" t="s">
        <v>76</v>
      </c>
      <c r="Y1" s="4" t="s">
        <v>77</v>
      </c>
    </row>
    <row r="2" spans="1:25">
      <c r="A2" s="5">
        <v>45292</v>
      </c>
      <c r="B2" t="s">
        <v>78</v>
      </c>
      <c r="C2" s="7">
        <v>499</v>
      </c>
      <c r="D2" s="7">
        <v>1863.936633266533</v>
      </c>
      <c r="E2" s="8">
        <v>0.6615601573664237</v>
      </c>
      <c r="F2" s="8">
        <v>0.0360000024943437</v>
      </c>
      <c r="G2" s="8">
        <v>0.02200000391353925</v>
      </c>
      <c r="H2" s="6">
        <v>930104.38</v>
      </c>
      <c r="I2" s="6">
        <v>615320</v>
      </c>
      <c r="J2" s="7">
        <v>95000</v>
      </c>
      <c r="K2" s="6">
        <v>33483.76</v>
      </c>
      <c r="L2" s="7">
        <v>32000</v>
      </c>
      <c r="M2" s="7">
        <v>18000</v>
      </c>
      <c r="N2" s="6">
        <v>20462.3</v>
      </c>
      <c r="O2" s="7">
        <v>40</v>
      </c>
      <c r="P2" s="7">
        <v>46</v>
      </c>
      <c r="Q2" s="7">
        <v>35</v>
      </c>
      <c r="R2" s="8">
        <v>0.08500000000000001</v>
      </c>
      <c r="S2" s="8">
        <v>0.34</v>
      </c>
      <c r="T2" s="8">
        <v>0.012</v>
      </c>
      <c r="U2" s="8">
        <v>0.01</v>
      </c>
      <c r="V2" s="7">
        <v>18000</v>
      </c>
      <c r="W2" s="7">
        <v>0</v>
      </c>
      <c r="X2" s="7">
        <v>18000</v>
      </c>
      <c r="Y2" s="7">
        <v>0</v>
      </c>
    </row>
    <row r="3" spans="1:25">
      <c r="A3" s="5">
        <v>45323</v>
      </c>
      <c r="B3" t="s">
        <v>78</v>
      </c>
      <c r="C3" s="7">
        <v>523</v>
      </c>
      <c r="D3" s="7">
        <v>1860.528642447419</v>
      </c>
      <c r="E3" s="8">
        <v>0.66091744232565</v>
      </c>
      <c r="F3" s="8">
        <v>0.0359999966291782</v>
      </c>
      <c r="G3" s="8">
        <v>0.02199999736911469</v>
      </c>
      <c r="H3" s="6">
        <v>973056.48</v>
      </c>
      <c r="I3" s="6">
        <v>643110</v>
      </c>
      <c r="J3" s="7">
        <v>95000</v>
      </c>
      <c r="K3" s="6">
        <v>35030.03</v>
      </c>
      <c r="L3" s="7">
        <v>32000</v>
      </c>
      <c r="M3" s="7">
        <v>18000</v>
      </c>
      <c r="N3" s="6">
        <v>21407.24</v>
      </c>
      <c r="O3" s="7">
        <v>40</v>
      </c>
      <c r="P3" s="7">
        <v>46</v>
      </c>
      <c r="Q3" s="7">
        <v>35</v>
      </c>
      <c r="R3" s="8">
        <v>0.08500000000000001</v>
      </c>
      <c r="S3" s="8">
        <v>0.34</v>
      </c>
      <c r="T3" s="8">
        <v>0.012</v>
      </c>
      <c r="U3" s="8">
        <v>0.01</v>
      </c>
      <c r="V3" s="7">
        <v>18000</v>
      </c>
      <c r="W3" s="7">
        <v>0</v>
      </c>
      <c r="X3" s="7">
        <v>18000</v>
      </c>
      <c r="Y3" s="7">
        <v>0</v>
      </c>
    </row>
    <row r="4" spans="1:25">
      <c r="A4" s="5">
        <v>45352</v>
      </c>
      <c r="B4" t="s">
        <v>78</v>
      </c>
      <c r="C4" s="7">
        <v>612</v>
      </c>
      <c r="D4" s="7">
        <v>1861.358725490196</v>
      </c>
      <c r="E4" s="8">
        <v>0.6608690534711474</v>
      </c>
      <c r="F4" s="8">
        <v>0.03600000400297926</v>
      </c>
      <c r="G4" s="8">
        <v>0.02199999659395624</v>
      </c>
      <c r="H4" s="6">
        <v>1139151.54</v>
      </c>
      <c r="I4" s="6">
        <v>752830</v>
      </c>
      <c r="J4" s="7">
        <v>95000</v>
      </c>
      <c r="K4" s="6">
        <v>41009.46</v>
      </c>
      <c r="L4" s="7">
        <v>32000</v>
      </c>
      <c r="M4" s="7">
        <v>18000</v>
      </c>
      <c r="N4" s="6">
        <v>25061.33</v>
      </c>
      <c r="O4" s="7">
        <v>40</v>
      </c>
      <c r="P4" s="7">
        <v>46</v>
      </c>
      <c r="Q4" s="7">
        <v>35</v>
      </c>
      <c r="R4" s="8">
        <v>0.08500000000000001</v>
      </c>
      <c r="S4" s="8">
        <v>0.34</v>
      </c>
      <c r="T4" s="8">
        <v>0.012</v>
      </c>
      <c r="U4" s="8">
        <v>0.01</v>
      </c>
      <c r="V4" s="7">
        <v>90000</v>
      </c>
      <c r="W4" s="7">
        <v>0</v>
      </c>
      <c r="X4" s="7">
        <v>18000</v>
      </c>
      <c r="Y4" s="7">
        <v>0</v>
      </c>
    </row>
    <row r="5" spans="1:25">
      <c r="A5" s="5">
        <v>45383</v>
      </c>
      <c r="B5" t="s">
        <v>78</v>
      </c>
      <c r="C5" s="7">
        <v>611</v>
      </c>
      <c r="D5" s="7">
        <v>1865.497348608838</v>
      </c>
      <c r="E5" s="8">
        <v>0.6614559674603739</v>
      </c>
      <c r="F5" s="8">
        <v>0.03600000028074636</v>
      </c>
      <c r="G5" s="8">
        <v>0.0220000040708222</v>
      </c>
      <c r="H5" s="6">
        <v>1139818.88</v>
      </c>
      <c r="I5" s="6">
        <v>753940</v>
      </c>
      <c r="J5" s="7">
        <v>95000</v>
      </c>
      <c r="K5" s="6">
        <v>41033.48</v>
      </c>
      <c r="L5" s="7">
        <v>32000</v>
      </c>
      <c r="M5" s="7">
        <v>18000</v>
      </c>
      <c r="N5" s="6">
        <v>25076.02</v>
      </c>
      <c r="O5" s="7">
        <v>40</v>
      </c>
      <c r="P5" s="7">
        <v>46</v>
      </c>
      <c r="Q5" s="7">
        <v>35</v>
      </c>
      <c r="R5" s="8">
        <v>0.08500000000000001</v>
      </c>
      <c r="S5" s="8">
        <v>0.34</v>
      </c>
      <c r="T5" s="8">
        <v>0.012</v>
      </c>
      <c r="U5" s="8">
        <v>0.01</v>
      </c>
      <c r="V5" s="7">
        <v>18000</v>
      </c>
      <c r="W5" s="7">
        <v>0</v>
      </c>
      <c r="X5" s="7">
        <v>18000</v>
      </c>
      <c r="Y5" s="7">
        <v>0</v>
      </c>
    </row>
    <row r="6" spans="1:25">
      <c r="A6" s="5">
        <v>45413</v>
      </c>
      <c r="B6" t="s">
        <v>78</v>
      </c>
      <c r="C6" s="7">
        <v>635</v>
      </c>
      <c r="D6" s="7">
        <v>1867.779653543307</v>
      </c>
      <c r="E6" s="8">
        <v>0.6620518254324086</v>
      </c>
      <c r="F6" s="8">
        <v>0.03599999757175154</v>
      </c>
      <c r="G6" s="8">
        <v>0.02199999851607038</v>
      </c>
      <c r="H6" s="6">
        <v>1186040.08</v>
      </c>
      <c r="I6" s="6">
        <v>785220</v>
      </c>
      <c r="J6" s="7">
        <v>95000</v>
      </c>
      <c r="K6" s="6">
        <v>42697.44</v>
      </c>
      <c r="L6" s="7">
        <v>32000</v>
      </c>
      <c r="M6" s="7">
        <v>18000</v>
      </c>
      <c r="N6" s="6">
        <v>26092.88</v>
      </c>
      <c r="O6" s="7">
        <v>40</v>
      </c>
      <c r="P6" s="7">
        <v>46</v>
      </c>
      <c r="Q6" s="7">
        <v>35</v>
      </c>
      <c r="R6" s="8">
        <v>0.08500000000000001</v>
      </c>
      <c r="S6" s="8">
        <v>0.34</v>
      </c>
      <c r="T6" s="8">
        <v>0.012</v>
      </c>
      <c r="U6" s="8">
        <v>0.01</v>
      </c>
      <c r="V6" s="7">
        <v>18000</v>
      </c>
      <c r="W6" s="7">
        <v>0</v>
      </c>
      <c r="X6" s="7">
        <v>18000</v>
      </c>
      <c r="Y6" s="7">
        <v>0</v>
      </c>
    </row>
    <row r="7" spans="1:25">
      <c r="A7" s="5">
        <v>45444</v>
      </c>
      <c r="B7" t="s">
        <v>78</v>
      </c>
      <c r="C7" s="7">
        <v>654</v>
      </c>
      <c r="D7" s="7">
        <v>1877.967278287462</v>
      </c>
      <c r="E7" s="8">
        <v>0.6619005226061817</v>
      </c>
      <c r="F7" s="8">
        <v>0.0359999986972706</v>
      </c>
      <c r="G7" s="8">
        <v>0.0219999973945412</v>
      </c>
      <c r="H7" s="6">
        <v>1228190.6</v>
      </c>
      <c r="I7" s="6">
        <v>812940</v>
      </c>
      <c r="J7" s="7">
        <v>95000</v>
      </c>
      <c r="K7" s="6">
        <v>44214.86</v>
      </c>
      <c r="L7" s="7">
        <v>32000</v>
      </c>
      <c r="M7" s="7">
        <v>18000</v>
      </c>
      <c r="N7" s="6">
        <v>27020.19</v>
      </c>
      <c r="O7" s="7">
        <v>40</v>
      </c>
      <c r="P7" s="7">
        <v>46</v>
      </c>
      <c r="Q7" s="7">
        <v>35</v>
      </c>
      <c r="R7" s="8">
        <v>0.08500000000000001</v>
      </c>
      <c r="S7" s="8">
        <v>0.34</v>
      </c>
      <c r="T7" s="8">
        <v>0.012</v>
      </c>
      <c r="U7" s="8">
        <v>0.01</v>
      </c>
      <c r="V7" s="7">
        <v>90000</v>
      </c>
      <c r="W7" s="7">
        <v>0</v>
      </c>
      <c r="X7" s="7">
        <v>18000</v>
      </c>
      <c r="Y7" s="7">
        <v>0</v>
      </c>
    </row>
    <row r="8" spans="1:25">
      <c r="A8" s="5">
        <v>45474</v>
      </c>
      <c r="B8" t="s">
        <v>78</v>
      </c>
      <c r="C8" s="7">
        <v>578</v>
      </c>
      <c r="D8" s="7">
        <v>1875.181591695502</v>
      </c>
      <c r="E8" s="8">
        <v>0.6626716917916766</v>
      </c>
      <c r="F8" s="8">
        <v>0.03600000132859105</v>
      </c>
      <c r="G8" s="8">
        <v>0.02200000081191675</v>
      </c>
      <c r="H8" s="6">
        <v>1083854.96</v>
      </c>
      <c r="I8" s="6">
        <v>718240</v>
      </c>
      <c r="J8" s="7">
        <v>98800</v>
      </c>
      <c r="K8" s="6">
        <v>39018.78</v>
      </c>
      <c r="L8" s="7">
        <v>32000</v>
      </c>
      <c r="M8" s="7">
        <v>18000</v>
      </c>
      <c r="N8" s="6">
        <v>23844.81</v>
      </c>
      <c r="O8" s="7">
        <v>40</v>
      </c>
      <c r="P8" s="7">
        <v>46</v>
      </c>
      <c r="Q8" s="7">
        <v>35</v>
      </c>
      <c r="R8" s="8">
        <v>0.08500000000000001</v>
      </c>
      <c r="S8" s="8">
        <v>0.34</v>
      </c>
      <c r="T8" s="8">
        <v>0.012</v>
      </c>
      <c r="U8" s="8">
        <v>0.01</v>
      </c>
      <c r="V8" s="7">
        <v>18000</v>
      </c>
      <c r="W8" s="7">
        <v>0</v>
      </c>
      <c r="X8" s="7">
        <v>18000</v>
      </c>
      <c r="Y8" s="7">
        <v>0</v>
      </c>
    </row>
    <row r="9" spans="1:25">
      <c r="A9" s="5">
        <v>45505</v>
      </c>
      <c r="B9" t="s">
        <v>78</v>
      </c>
      <c r="C9" s="7">
        <v>629</v>
      </c>
      <c r="D9" s="7">
        <v>1865.568108108108</v>
      </c>
      <c r="E9" s="8">
        <v>0.6616004668793526</v>
      </c>
      <c r="F9" s="8">
        <v>0.03599999638669932</v>
      </c>
      <c r="G9" s="8">
        <v>0.02199999873875354</v>
      </c>
      <c r="H9" s="6">
        <v>1173442.34</v>
      </c>
      <c r="I9" s="6">
        <v>776350</v>
      </c>
      <c r="J9" s="7">
        <v>98800</v>
      </c>
      <c r="K9" s="6">
        <v>42243.92</v>
      </c>
      <c r="L9" s="7">
        <v>32000</v>
      </c>
      <c r="M9" s="7">
        <v>18000</v>
      </c>
      <c r="N9" s="6">
        <v>25815.73</v>
      </c>
      <c r="O9" s="7">
        <v>40</v>
      </c>
      <c r="P9" s="7">
        <v>46</v>
      </c>
      <c r="Q9" s="7">
        <v>35</v>
      </c>
      <c r="R9" s="8">
        <v>0.08500000000000001</v>
      </c>
      <c r="S9" s="8">
        <v>0.34</v>
      </c>
      <c r="T9" s="8">
        <v>0.012</v>
      </c>
      <c r="U9" s="8">
        <v>0.01</v>
      </c>
      <c r="V9" s="7">
        <v>18000</v>
      </c>
      <c r="W9" s="7">
        <v>0</v>
      </c>
      <c r="X9" s="7">
        <v>18000</v>
      </c>
      <c r="Y9" s="7">
        <v>0</v>
      </c>
    </row>
    <row r="10" spans="1:25">
      <c r="A10" s="5">
        <v>45536</v>
      </c>
      <c r="B10" t="s">
        <v>78</v>
      </c>
      <c r="C10" s="7">
        <v>654</v>
      </c>
      <c r="D10" s="7">
        <v>1863.893363914373</v>
      </c>
      <c r="E10" s="8">
        <v>0.6608113860118489</v>
      </c>
      <c r="F10" s="8">
        <v>0.0360000038064416</v>
      </c>
      <c r="G10" s="8">
        <v>0.02200000187040664</v>
      </c>
      <c r="H10" s="6">
        <v>1218986.26</v>
      </c>
      <c r="I10" s="6">
        <v>805520</v>
      </c>
      <c r="J10" s="7">
        <v>98800</v>
      </c>
      <c r="K10" s="6">
        <v>43883.51</v>
      </c>
      <c r="L10" s="7">
        <v>32000</v>
      </c>
      <c r="M10" s="7">
        <v>18000</v>
      </c>
      <c r="N10" s="6">
        <v>26817.7</v>
      </c>
      <c r="O10" s="7">
        <v>40</v>
      </c>
      <c r="P10" s="7">
        <v>46</v>
      </c>
      <c r="Q10" s="7">
        <v>35</v>
      </c>
      <c r="R10" s="8">
        <v>0.08500000000000001</v>
      </c>
      <c r="S10" s="8">
        <v>0.34</v>
      </c>
      <c r="T10" s="8">
        <v>0.012</v>
      </c>
      <c r="U10" s="8">
        <v>0.01</v>
      </c>
      <c r="V10" s="7">
        <v>90000</v>
      </c>
      <c r="W10" s="7">
        <v>0</v>
      </c>
      <c r="X10" s="7">
        <v>18000</v>
      </c>
      <c r="Y10" s="7">
        <v>0</v>
      </c>
    </row>
    <row r="11" spans="1:25">
      <c r="A11" s="5">
        <v>45566</v>
      </c>
      <c r="B11" t="s">
        <v>78</v>
      </c>
      <c r="C11" s="7">
        <v>707</v>
      </c>
      <c r="D11" s="7">
        <v>1890.348882602546</v>
      </c>
      <c r="E11" s="8">
        <v>0.662510634491739</v>
      </c>
      <c r="F11" s="8">
        <v>0.03600000017957666</v>
      </c>
      <c r="G11" s="8">
        <v>0.02200000260386141</v>
      </c>
      <c r="H11" s="6">
        <v>1336476.66</v>
      </c>
      <c r="I11" s="6">
        <v>885430</v>
      </c>
      <c r="J11" s="7">
        <v>98800</v>
      </c>
      <c r="K11" s="6">
        <v>48113.16</v>
      </c>
      <c r="L11" s="7">
        <v>32000</v>
      </c>
      <c r="M11" s="7">
        <v>18000</v>
      </c>
      <c r="N11" s="6">
        <v>29402.49</v>
      </c>
      <c r="O11" s="7">
        <v>40</v>
      </c>
      <c r="P11" s="7">
        <v>46</v>
      </c>
      <c r="Q11" s="7">
        <v>35</v>
      </c>
      <c r="R11" s="8">
        <v>0.08500000000000001</v>
      </c>
      <c r="S11" s="8">
        <v>0.34</v>
      </c>
      <c r="T11" s="8">
        <v>0.012</v>
      </c>
      <c r="U11" s="8">
        <v>0.01</v>
      </c>
      <c r="V11" s="7">
        <v>18000</v>
      </c>
      <c r="W11" s="7">
        <v>0</v>
      </c>
      <c r="X11" s="7">
        <v>18000</v>
      </c>
      <c r="Y11" s="7">
        <v>0</v>
      </c>
    </row>
    <row r="12" spans="1:25">
      <c r="A12" s="5">
        <v>45597</v>
      </c>
      <c r="B12" t="s">
        <v>78</v>
      </c>
      <c r="C12" s="7">
        <v>800</v>
      </c>
      <c r="D12" s="7">
        <v>1880.5154</v>
      </c>
      <c r="E12" s="8">
        <v>0.6622386607416243</v>
      </c>
      <c r="F12" s="8">
        <v>0.03599999766021592</v>
      </c>
      <c r="G12" s="8">
        <v>0.02199999930870015</v>
      </c>
      <c r="H12" s="6">
        <v>1504412.32</v>
      </c>
      <c r="I12" s="6">
        <v>996280</v>
      </c>
      <c r="J12" s="7">
        <v>98800</v>
      </c>
      <c r="K12" s="6">
        <v>54158.84</v>
      </c>
      <c r="L12" s="7">
        <v>32000</v>
      </c>
      <c r="M12" s="7">
        <v>18000</v>
      </c>
      <c r="N12" s="6">
        <v>33097.07</v>
      </c>
      <c r="O12" s="7">
        <v>40</v>
      </c>
      <c r="P12" s="7">
        <v>46</v>
      </c>
      <c r="Q12" s="7">
        <v>35</v>
      </c>
      <c r="R12" s="8">
        <v>0.08500000000000001</v>
      </c>
      <c r="S12" s="8">
        <v>0.34</v>
      </c>
      <c r="T12" s="8">
        <v>0.012</v>
      </c>
      <c r="U12" s="8">
        <v>0.01</v>
      </c>
      <c r="V12" s="7">
        <v>18000</v>
      </c>
      <c r="W12" s="7">
        <v>0</v>
      </c>
      <c r="X12" s="7">
        <v>18000</v>
      </c>
      <c r="Y12" s="7">
        <v>0</v>
      </c>
    </row>
    <row r="13" spans="1:25">
      <c r="A13" s="5">
        <v>45627</v>
      </c>
      <c r="B13" t="s">
        <v>78</v>
      </c>
      <c r="C13" s="7">
        <v>735</v>
      </c>
      <c r="D13" s="7">
        <v>1879.890585034014</v>
      </c>
      <c r="E13" s="8">
        <v>0.6623123919254296</v>
      </c>
      <c r="F13" s="8">
        <v>0.03599999646816903</v>
      </c>
      <c r="G13" s="8">
        <v>0.02199999944996075</v>
      </c>
      <c r="H13" s="6">
        <v>1381719.58</v>
      </c>
      <c r="I13" s="6">
        <v>915130</v>
      </c>
      <c r="J13" s="7">
        <v>98800</v>
      </c>
      <c r="K13" s="6">
        <v>49741.9</v>
      </c>
      <c r="L13" s="7">
        <v>32000</v>
      </c>
      <c r="M13" s="7">
        <v>18000</v>
      </c>
      <c r="N13" s="6">
        <v>30397.83</v>
      </c>
      <c r="O13" s="7">
        <v>40</v>
      </c>
      <c r="P13" s="7">
        <v>46</v>
      </c>
      <c r="Q13" s="7">
        <v>35</v>
      </c>
      <c r="R13" s="8">
        <v>0.08500000000000001</v>
      </c>
      <c r="S13" s="8">
        <v>0.34</v>
      </c>
      <c r="T13" s="8">
        <v>0.012</v>
      </c>
      <c r="U13" s="8">
        <v>0.01</v>
      </c>
      <c r="V13" s="7">
        <v>90000</v>
      </c>
      <c r="W13" s="7">
        <v>0</v>
      </c>
      <c r="X13" s="7">
        <v>18000</v>
      </c>
      <c r="Y13" s="7">
        <v>0</v>
      </c>
    </row>
    <row r="14" spans="1:25">
      <c r="A14" s="5">
        <v>45658</v>
      </c>
      <c r="B14" t="s">
        <v>78</v>
      </c>
      <c r="C14" s="7">
        <v>590</v>
      </c>
      <c r="D14" s="7">
        <v>1951.002525423729</v>
      </c>
      <c r="E14" s="8">
        <v>0.683682910382736</v>
      </c>
      <c r="F14" s="8">
        <v>0.03599999683778394</v>
      </c>
      <c r="G14" s="8">
        <v>0.02199999758490092</v>
      </c>
      <c r="H14" s="6">
        <v>1151091.49</v>
      </c>
      <c r="I14" s="6">
        <v>786981.58</v>
      </c>
      <c r="J14" s="7">
        <v>105925</v>
      </c>
      <c r="K14" s="6">
        <v>41439.29</v>
      </c>
      <c r="L14" s="7">
        <v>33920</v>
      </c>
      <c r="M14" s="7">
        <v>20160</v>
      </c>
      <c r="N14" s="6">
        <v>25324.01</v>
      </c>
      <c r="O14" s="7">
        <v>47</v>
      </c>
      <c r="P14" s="7">
        <v>52</v>
      </c>
      <c r="Q14" s="7">
        <v>35</v>
      </c>
      <c r="R14" s="8">
        <v>0.08500000000000001</v>
      </c>
      <c r="S14" s="8">
        <v>0.34</v>
      </c>
      <c r="T14" s="8">
        <v>0.012</v>
      </c>
      <c r="U14" s="8">
        <v>0.01</v>
      </c>
      <c r="V14" s="7">
        <v>18000</v>
      </c>
      <c r="W14" s="7">
        <v>0</v>
      </c>
      <c r="X14" s="7">
        <v>18000</v>
      </c>
      <c r="Y14" s="7">
        <v>0</v>
      </c>
    </row>
    <row r="15" spans="1:25">
      <c r="A15" s="5">
        <v>45689</v>
      </c>
      <c r="B15" t="s">
        <v>78</v>
      </c>
      <c r="C15" s="7">
        <v>602</v>
      </c>
      <c r="D15" s="7">
        <v>1954.703920265781</v>
      </c>
      <c r="E15" s="8">
        <v>0.6847841516574686</v>
      </c>
      <c r="F15" s="8">
        <v>0.03599999714463387</v>
      </c>
      <c r="G15" s="8">
        <v>0.02200000108775852</v>
      </c>
      <c r="H15" s="6">
        <v>1176731.76</v>
      </c>
      <c r="I15" s="6">
        <v>805807.26</v>
      </c>
      <c r="J15" s="7">
        <v>105925</v>
      </c>
      <c r="K15" s="6">
        <v>42362.34</v>
      </c>
      <c r="L15" s="7">
        <v>33920</v>
      </c>
      <c r="M15" s="7">
        <v>20160</v>
      </c>
      <c r="N15" s="6">
        <v>25888.1</v>
      </c>
      <c r="O15" s="7">
        <v>47</v>
      </c>
      <c r="P15" s="7">
        <v>52</v>
      </c>
      <c r="Q15" s="7">
        <v>35</v>
      </c>
      <c r="R15" s="8">
        <v>0.08500000000000001</v>
      </c>
      <c r="S15" s="8">
        <v>0.34</v>
      </c>
      <c r="T15" s="8">
        <v>0.012</v>
      </c>
      <c r="U15" s="8">
        <v>0.01</v>
      </c>
      <c r="V15" s="7">
        <v>18000</v>
      </c>
      <c r="W15" s="7">
        <v>0</v>
      </c>
      <c r="X15" s="7">
        <v>18000</v>
      </c>
      <c r="Y15" s="7">
        <v>0</v>
      </c>
    </row>
    <row r="16" spans="1:25">
      <c r="A16" s="5">
        <v>45717</v>
      </c>
      <c r="B16" t="s">
        <v>78</v>
      </c>
      <c r="C16" s="7">
        <v>709</v>
      </c>
      <c r="D16" s="7">
        <v>1960.441579689704</v>
      </c>
      <c r="E16" s="8">
        <v>0.6851252273925678</v>
      </c>
      <c r="F16" s="8">
        <v>0.0359999993668851</v>
      </c>
      <c r="G16" s="8">
        <v>0.02200000161156519</v>
      </c>
      <c r="H16" s="6">
        <v>1389953.08</v>
      </c>
      <c r="I16" s="6">
        <v>952291.92</v>
      </c>
      <c r="J16" s="7">
        <v>105925</v>
      </c>
      <c r="K16" s="6">
        <v>50038.31</v>
      </c>
      <c r="L16" s="7">
        <v>33920</v>
      </c>
      <c r="M16" s="7">
        <v>20160</v>
      </c>
      <c r="N16" s="6">
        <v>30578.97</v>
      </c>
      <c r="O16" s="7">
        <v>47</v>
      </c>
      <c r="P16" s="7">
        <v>52</v>
      </c>
      <c r="Q16" s="7">
        <v>35</v>
      </c>
      <c r="R16" s="8">
        <v>0.08500000000000001</v>
      </c>
      <c r="S16" s="8">
        <v>0.34</v>
      </c>
      <c r="T16" s="8">
        <v>0.012</v>
      </c>
      <c r="U16" s="8">
        <v>0.01</v>
      </c>
      <c r="V16" s="7">
        <v>90000</v>
      </c>
      <c r="W16" s="7">
        <v>0</v>
      </c>
      <c r="X16" s="7">
        <v>18000</v>
      </c>
      <c r="Y16" s="7">
        <v>0</v>
      </c>
    </row>
    <row r="17" spans="1:25">
      <c r="A17" s="5">
        <v>45748</v>
      </c>
      <c r="B17" t="s">
        <v>78</v>
      </c>
      <c r="C17" s="7">
        <v>702</v>
      </c>
      <c r="D17" s="7">
        <v>1971.933361823362</v>
      </c>
      <c r="E17" s="8">
        <v>0.6863343119333867</v>
      </c>
      <c r="F17" s="8">
        <v>0.03600000005779105</v>
      </c>
      <c r="G17" s="8">
        <v>0.02200000083797033</v>
      </c>
      <c r="H17" s="6">
        <v>1384297.22</v>
      </c>
      <c r="I17" s="6">
        <v>950090.6800000001</v>
      </c>
      <c r="J17" s="7">
        <v>105925</v>
      </c>
      <c r="K17" s="6">
        <v>49834.7</v>
      </c>
      <c r="L17" s="7">
        <v>33920</v>
      </c>
      <c r="M17" s="7">
        <v>48160</v>
      </c>
      <c r="N17" s="6">
        <v>30454.54</v>
      </c>
      <c r="O17" s="7">
        <v>47</v>
      </c>
      <c r="P17" s="7">
        <v>52</v>
      </c>
      <c r="Q17" s="7">
        <v>35</v>
      </c>
      <c r="R17" s="8">
        <v>0.08500000000000001</v>
      </c>
      <c r="S17" s="8">
        <v>0.34</v>
      </c>
      <c r="T17" s="8">
        <v>0.012</v>
      </c>
      <c r="U17" s="8">
        <v>0.01</v>
      </c>
      <c r="V17" s="7">
        <v>18000</v>
      </c>
      <c r="W17" s="7">
        <v>350000</v>
      </c>
      <c r="X17" s="7">
        <v>18000</v>
      </c>
      <c r="Y17" s="7">
        <v>0</v>
      </c>
    </row>
    <row r="18" spans="1:25">
      <c r="A18" s="5">
        <v>45778</v>
      </c>
      <c r="B18" t="s">
        <v>78</v>
      </c>
      <c r="C18" s="7">
        <v>744</v>
      </c>
      <c r="D18" s="7">
        <v>1948.492647849462</v>
      </c>
      <c r="E18" s="8">
        <v>0.6841643712554673</v>
      </c>
      <c r="F18" s="8">
        <v>0.03600000201423967</v>
      </c>
      <c r="G18" s="8">
        <v>0.02200000161415096</v>
      </c>
      <c r="H18" s="6">
        <v>1449678.53</v>
      </c>
      <c r="I18" s="6">
        <v>991818.4</v>
      </c>
      <c r="J18" s="7">
        <v>105925</v>
      </c>
      <c r="K18" s="6">
        <v>52188.43</v>
      </c>
      <c r="L18" s="7">
        <v>33920</v>
      </c>
      <c r="M18" s="7">
        <v>48160</v>
      </c>
      <c r="N18" s="6">
        <v>31892.93</v>
      </c>
      <c r="O18" s="7">
        <v>47</v>
      </c>
      <c r="P18" s="7">
        <v>52</v>
      </c>
      <c r="Q18" s="7">
        <v>35</v>
      </c>
      <c r="R18" s="8">
        <v>0.08500000000000001</v>
      </c>
      <c r="S18" s="8">
        <v>0.34</v>
      </c>
      <c r="T18" s="8">
        <v>0.012</v>
      </c>
      <c r="U18" s="8">
        <v>0.01</v>
      </c>
      <c r="V18" s="7">
        <v>18000</v>
      </c>
      <c r="W18" s="7">
        <v>0</v>
      </c>
      <c r="X18" s="7">
        <v>18000</v>
      </c>
      <c r="Y18" s="7">
        <v>0</v>
      </c>
    </row>
    <row r="19" spans="1:25">
      <c r="A19" s="5">
        <v>45809</v>
      </c>
      <c r="B19" t="s">
        <v>78</v>
      </c>
      <c r="C19" s="7">
        <v>753</v>
      </c>
      <c r="D19" s="7">
        <v>1953.733027888446</v>
      </c>
      <c r="E19" s="8">
        <v>0.6846361210901346</v>
      </c>
      <c r="F19" s="8">
        <v>0.03599999665570247</v>
      </c>
      <c r="G19" s="8">
        <v>0.02199999908915474</v>
      </c>
      <c r="H19" s="6">
        <v>1471160.97</v>
      </c>
      <c r="I19" s="6">
        <v>1007209.94</v>
      </c>
      <c r="J19" s="7">
        <v>105925</v>
      </c>
      <c r="K19" s="6">
        <v>52961.79</v>
      </c>
      <c r="L19" s="7">
        <v>33920</v>
      </c>
      <c r="M19" s="7">
        <v>20160</v>
      </c>
      <c r="N19" s="6">
        <v>32365.54</v>
      </c>
      <c r="O19" s="7">
        <v>47</v>
      </c>
      <c r="P19" s="7">
        <v>52</v>
      </c>
      <c r="Q19" s="7">
        <v>35</v>
      </c>
      <c r="R19" s="8">
        <v>0.08500000000000001</v>
      </c>
      <c r="S19" s="8">
        <v>0.34</v>
      </c>
      <c r="T19" s="8">
        <v>0.012</v>
      </c>
      <c r="U19" s="8">
        <v>0.01</v>
      </c>
      <c r="V19" s="7">
        <v>90000</v>
      </c>
      <c r="W19" s="7">
        <v>0</v>
      </c>
      <c r="X19" s="7">
        <v>18000</v>
      </c>
      <c r="Y19" s="7">
        <v>0</v>
      </c>
    </row>
    <row r="20" spans="1:25">
      <c r="A20" s="5">
        <v>45839</v>
      </c>
      <c r="B20" t="s">
        <v>78</v>
      </c>
      <c r="C20" s="7">
        <v>635</v>
      </c>
      <c r="D20" s="7">
        <v>1901.279496062992</v>
      </c>
      <c r="E20" s="8">
        <v>0.6792646424064134</v>
      </c>
      <c r="F20" s="8">
        <v>0.03600000059636591</v>
      </c>
      <c r="G20" s="8">
        <v>0.02199999622301593</v>
      </c>
      <c r="H20" s="6">
        <v>1207312.48</v>
      </c>
      <c r="I20" s="6">
        <v>820084.6800000001</v>
      </c>
      <c r="J20" s="7">
        <v>110162</v>
      </c>
      <c r="K20" s="6">
        <v>43463.25</v>
      </c>
      <c r="L20" s="7">
        <v>33920</v>
      </c>
      <c r="M20" s="7">
        <v>20160</v>
      </c>
      <c r="N20" s="6">
        <v>26560.87</v>
      </c>
      <c r="O20" s="7">
        <v>60</v>
      </c>
      <c r="P20" s="7">
        <v>62</v>
      </c>
      <c r="Q20" s="7">
        <v>35</v>
      </c>
      <c r="R20" s="8">
        <v>0.08500000000000001</v>
      </c>
      <c r="S20" s="8">
        <v>0.34</v>
      </c>
      <c r="T20" s="8">
        <v>0.012</v>
      </c>
      <c r="U20" s="8">
        <v>0.01</v>
      </c>
      <c r="V20" s="7">
        <v>18000</v>
      </c>
      <c r="W20" s="7">
        <v>0</v>
      </c>
      <c r="X20" s="7">
        <v>18000</v>
      </c>
      <c r="Y20" s="7">
        <v>0</v>
      </c>
    </row>
    <row r="21" spans="1:25">
      <c r="A21" s="5">
        <v>45870</v>
      </c>
      <c r="B21" t="s">
        <v>78</v>
      </c>
      <c r="C21" s="7">
        <v>685</v>
      </c>
      <c r="D21" s="7">
        <v>1895.831883211679</v>
      </c>
      <c r="E21" s="8">
        <v>0.6800412805705984</v>
      </c>
      <c r="F21" s="8">
        <v>0.03599999673505806</v>
      </c>
      <c r="G21" s="8">
        <v>0.02200000271051783</v>
      </c>
      <c r="H21" s="6">
        <v>1298644.84</v>
      </c>
      <c r="I21" s="6">
        <v>883132.1</v>
      </c>
      <c r="J21" s="7">
        <v>110162</v>
      </c>
      <c r="K21" s="6">
        <v>46751.21</v>
      </c>
      <c r="L21" s="7">
        <v>33920</v>
      </c>
      <c r="M21" s="7">
        <v>20160</v>
      </c>
      <c r="N21" s="6">
        <v>28570.19</v>
      </c>
      <c r="O21" s="7">
        <v>60</v>
      </c>
      <c r="P21" s="7">
        <v>62</v>
      </c>
      <c r="Q21" s="7">
        <v>35</v>
      </c>
      <c r="R21" s="8">
        <v>0.08500000000000001</v>
      </c>
      <c r="S21" s="8">
        <v>0.34</v>
      </c>
      <c r="T21" s="8">
        <v>0.012</v>
      </c>
      <c r="U21" s="8">
        <v>0.01</v>
      </c>
      <c r="V21" s="7">
        <v>18000</v>
      </c>
      <c r="W21" s="7">
        <v>0</v>
      </c>
      <c r="X21" s="7">
        <v>18000</v>
      </c>
      <c r="Y21" s="7">
        <v>0</v>
      </c>
    </row>
    <row r="22" spans="1:25">
      <c r="A22" s="5">
        <v>45901</v>
      </c>
      <c r="B22" t="s">
        <v>78</v>
      </c>
      <c r="C22" s="7">
        <v>727</v>
      </c>
      <c r="D22" s="7">
        <v>1905.517675378267</v>
      </c>
      <c r="E22" s="8">
        <v>0.6793425319152983</v>
      </c>
      <c r="F22" s="8">
        <v>0.03600000101060314</v>
      </c>
      <c r="G22" s="8">
        <v>0.02200000021655781</v>
      </c>
      <c r="H22" s="6">
        <v>1385311.35</v>
      </c>
      <c r="I22" s="6">
        <v>941100.92</v>
      </c>
      <c r="J22" s="7">
        <v>110162</v>
      </c>
      <c r="K22" s="6">
        <v>49871.21</v>
      </c>
      <c r="L22" s="7">
        <v>33920</v>
      </c>
      <c r="M22" s="7">
        <v>20160</v>
      </c>
      <c r="N22" s="6">
        <v>30476.85</v>
      </c>
      <c r="O22" s="7">
        <v>60</v>
      </c>
      <c r="P22" s="7">
        <v>62</v>
      </c>
      <c r="Q22" s="7">
        <v>35</v>
      </c>
      <c r="R22" s="8">
        <v>0.08500000000000001</v>
      </c>
      <c r="S22" s="8">
        <v>0.34</v>
      </c>
      <c r="T22" s="8">
        <v>0.012</v>
      </c>
      <c r="U22" s="8">
        <v>0.01</v>
      </c>
      <c r="V22" s="7">
        <v>90000</v>
      </c>
      <c r="W22" s="7">
        <v>0</v>
      </c>
      <c r="X22" s="7">
        <v>18000</v>
      </c>
      <c r="Y22" s="7">
        <v>0</v>
      </c>
    </row>
    <row r="23" spans="1:25">
      <c r="A23" s="5">
        <v>45931</v>
      </c>
      <c r="B23" t="s">
        <v>78</v>
      </c>
      <c r="C23" s="7">
        <v>797</v>
      </c>
      <c r="D23" s="7">
        <v>1952.307264742786</v>
      </c>
      <c r="E23" s="8">
        <v>0.6844694501642616</v>
      </c>
      <c r="F23" s="8">
        <v>0.03599999997429287</v>
      </c>
      <c r="G23" s="8">
        <v>0.02200000284063725</v>
      </c>
      <c r="H23" s="6">
        <v>1555988.89</v>
      </c>
      <c r="I23" s="6">
        <v>1065026.86</v>
      </c>
      <c r="J23" s="7">
        <v>110162</v>
      </c>
      <c r="K23" s="6">
        <v>56015.6</v>
      </c>
      <c r="L23" s="7">
        <v>33920</v>
      </c>
      <c r="M23" s="7">
        <v>20160</v>
      </c>
      <c r="N23" s="6">
        <v>34231.76</v>
      </c>
      <c r="O23" s="7">
        <v>47</v>
      </c>
      <c r="P23" s="7">
        <v>52</v>
      </c>
      <c r="Q23" s="7">
        <v>35</v>
      </c>
      <c r="R23" s="8">
        <v>0.08500000000000001</v>
      </c>
      <c r="S23" s="8">
        <v>0.34</v>
      </c>
      <c r="T23" s="8">
        <v>0.012</v>
      </c>
      <c r="U23" s="8">
        <v>0.01</v>
      </c>
      <c r="V23" s="7">
        <v>18000</v>
      </c>
      <c r="W23" s="7">
        <v>0</v>
      </c>
      <c r="X23" s="7">
        <v>18000</v>
      </c>
      <c r="Y23" s="7">
        <v>0</v>
      </c>
    </row>
    <row r="24" spans="1:25">
      <c r="A24" s="5">
        <v>45962</v>
      </c>
      <c r="B24" t="s">
        <v>78</v>
      </c>
      <c r="C24" s="7">
        <v>933</v>
      </c>
      <c r="D24" s="7">
        <v>1955.428424437299</v>
      </c>
      <c r="E24" s="8">
        <v>0.6847327563767958</v>
      </c>
      <c r="F24" s="8">
        <v>0.03600000004384968</v>
      </c>
      <c r="G24" s="8">
        <v>0.02199999789521541</v>
      </c>
      <c r="H24" s="6">
        <v>1824414.72</v>
      </c>
      <c r="I24" s="6">
        <v>1249236.52</v>
      </c>
      <c r="J24" s="7">
        <v>110162</v>
      </c>
      <c r="K24" s="6">
        <v>65678.92999999999</v>
      </c>
      <c r="L24" s="7">
        <v>33920</v>
      </c>
      <c r="M24" s="7">
        <v>20160</v>
      </c>
      <c r="N24" s="6">
        <v>40137.12</v>
      </c>
      <c r="O24" s="7">
        <v>47</v>
      </c>
      <c r="P24" s="7">
        <v>52</v>
      </c>
      <c r="Q24" s="7">
        <v>35</v>
      </c>
      <c r="R24" s="8">
        <v>0.08500000000000001</v>
      </c>
      <c r="S24" s="8">
        <v>0.34</v>
      </c>
      <c r="T24" s="8">
        <v>0.012</v>
      </c>
      <c r="U24" s="8">
        <v>0.01</v>
      </c>
      <c r="V24" s="7">
        <v>18000</v>
      </c>
      <c r="W24" s="7">
        <v>0</v>
      </c>
      <c r="X24" s="7">
        <v>18000</v>
      </c>
      <c r="Y24" s="7">
        <v>0</v>
      </c>
    </row>
    <row r="25" spans="1:25">
      <c r="A25" s="5">
        <v>45992</v>
      </c>
      <c r="B25" t="s">
        <v>78</v>
      </c>
      <c r="C25" s="7">
        <v>863</v>
      </c>
      <c r="D25" s="7">
        <v>1964.222572421785</v>
      </c>
      <c r="E25" s="8">
        <v>0.6854413630888896</v>
      </c>
      <c r="F25" s="8">
        <v>0.03600000184057323</v>
      </c>
      <c r="G25" s="8">
        <v>0.02200000014158256</v>
      </c>
      <c r="H25" s="6">
        <v>1695124.08</v>
      </c>
      <c r="I25" s="6">
        <v>1161908.16</v>
      </c>
      <c r="J25" s="7">
        <v>110162</v>
      </c>
      <c r="K25" s="6">
        <v>61024.47</v>
      </c>
      <c r="L25" s="7">
        <v>33920</v>
      </c>
      <c r="M25" s="7">
        <v>20160</v>
      </c>
      <c r="N25" s="6">
        <v>37292.73</v>
      </c>
      <c r="O25" s="7">
        <v>47</v>
      </c>
      <c r="P25" s="7">
        <v>52</v>
      </c>
      <c r="Q25" s="7">
        <v>35</v>
      </c>
      <c r="R25" s="8">
        <v>0.08500000000000001</v>
      </c>
      <c r="S25" s="8">
        <v>0.34</v>
      </c>
      <c r="T25" s="8">
        <v>0.012</v>
      </c>
      <c r="U25" s="8">
        <v>0.01</v>
      </c>
      <c r="V25" s="7">
        <v>90000</v>
      </c>
      <c r="W25" s="7">
        <v>0</v>
      </c>
      <c r="X25" s="7">
        <v>18000</v>
      </c>
      <c r="Y25" s="7">
        <v>0</v>
      </c>
    </row>
    <row r="26" spans="1:25">
      <c r="A26" s="5">
        <v>45292</v>
      </c>
      <c r="B26" t="s">
        <v>79</v>
      </c>
      <c r="C26" s="7">
        <v>499</v>
      </c>
      <c r="D26" s="7">
        <v>1779.559118236473</v>
      </c>
      <c r="E26" s="8">
        <v>0.651</v>
      </c>
      <c r="F26" s="8">
        <v>0.034</v>
      </c>
      <c r="G26" s="8">
        <v>0.021</v>
      </c>
      <c r="H26" s="6">
        <v>888000</v>
      </c>
      <c r="I26" s="6">
        <v>578088</v>
      </c>
      <c r="J26" s="7">
        <v>95000</v>
      </c>
      <c r="K26" s="6">
        <v>30192</v>
      </c>
      <c r="L26" s="7">
        <v>33000</v>
      </c>
      <c r="M26" s="7">
        <v>19000</v>
      </c>
      <c r="N26" s="6">
        <v>18648</v>
      </c>
      <c r="O26" s="7">
        <v>40</v>
      </c>
      <c r="P26" s="7">
        <v>45</v>
      </c>
      <c r="Q26" s="7">
        <v>36</v>
      </c>
      <c r="R26" s="8">
        <v>0.08500000000000001</v>
      </c>
      <c r="S26" s="8">
        <v>0.34</v>
      </c>
      <c r="T26" s="8">
        <v>0.012</v>
      </c>
      <c r="U26" s="8">
        <v>0.01</v>
      </c>
      <c r="V26" s="7">
        <v>18000</v>
      </c>
      <c r="W26" s="7">
        <v>0</v>
      </c>
      <c r="X26" s="7">
        <v>18000</v>
      </c>
      <c r="Y26" s="7">
        <v>0</v>
      </c>
    </row>
    <row r="27" spans="1:25">
      <c r="A27" s="5">
        <v>45323</v>
      </c>
      <c r="B27" t="s">
        <v>79</v>
      </c>
      <c r="C27" s="7">
        <v>523</v>
      </c>
      <c r="D27" s="7">
        <v>1761.567877629063</v>
      </c>
      <c r="E27" s="8">
        <v>0.651</v>
      </c>
      <c r="F27" s="8">
        <v>0.034</v>
      </c>
      <c r="G27" s="8">
        <v>0.021</v>
      </c>
      <c r="H27" s="6">
        <v>921300</v>
      </c>
      <c r="I27" s="6">
        <v>599766.3</v>
      </c>
      <c r="J27" s="7">
        <v>95000</v>
      </c>
      <c r="K27" s="6">
        <v>31324.2</v>
      </c>
      <c r="L27" s="7">
        <v>33000</v>
      </c>
      <c r="M27" s="7">
        <v>19000</v>
      </c>
      <c r="N27" s="6">
        <v>19347.3</v>
      </c>
      <c r="O27" s="7">
        <v>40</v>
      </c>
      <c r="P27" s="7">
        <v>45</v>
      </c>
      <c r="Q27" s="7">
        <v>36</v>
      </c>
      <c r="R27" s="8">
        <v>0.08500000000000001</v>
      </c>
      <c r="S27" s="8">
        <v>0.34</v>
      </c>
      <c r="T27" s="8">
        <v>0.012</v>
      </c>
      <c r="U27" s="8">
        <v>0.01</v>
      </c>
      <c r="V27" s="7">
        <v>18000</v>
      </c>
      <c r="W27" s="7">
        <v>0</v>
      </c>
      <c r="X27" s="7">
        <v>18000</v>
      </c>
      <c r="Y27" s="7">
        <v>0</v>
      </c>
    </row>
    <row r="28" spans="1:25">
      <c r="A28" s="5">
        <v>45352</v>
      </c>
      <c r="B28" t="s">
        <v>79</v>
      </c>
      <c r="C28" s="7">
        <v>612</v>
      </c>
      <c r="D28" s="7">
        <v>1795.588235294118</v>
      </c>
      <c r="E28" s="8">
        <v>0.651</v>
      </c>
      <c r="F28" s="8">
        <v>0.034</v>
      </c>
      <c r="G28" s="8">
        <v>0.021</v>
      </c>
      <c r="H28" s="6">
        <v>1098900</v>
      </c>
      <c r="I28" s="6">
        <v>715383.9</v>
      </c>
      <c r="J28" s="7">
        <v>95000</v>
      </c>
      <c r="K28" s="6">
        <v>37362.6</v>
      </c>
      <c r="L28" s="7">
        <v>33000</v>
      </c>
      <c r="M28" s="7">
        <v>19000</v>
      </c>
      <c r="N28" s="6">
        <v>23076.9</v>
      </c>
      <c r="O28" s="7">
        <v>40</v>
      </c>
      <c r="P28" s="7">
        <v>45</v>
      </c>
      <c r="Q28" s="7">
        <v>36</v>
      </c>
      <c r="R28" s="8">
        <v>0.08500000000000001</v>
      </c>
      <c r="S28" s="8">
        <v>0.34</v>
      </c>
      <c r="T28" s="8">
        <v>0.012</v>
      </c>
      <c r="U28" s="8">
        <v>0.01</v>
      </c>
      <c r="V28" s="7">
        <v>90000</v>
      </c>
      <c r="W28" s="7">
        <v>0</v>
      </c>
      <c r="X28" s="7">
        <v>18000</v>
      </c>
      <c r="Y28" s="7">
        <v>0</v>
      </c>
    </row>
    <row r="29" spans="1:25">
      <c r="A29" s="5">
        <v>45383</v>
      </c>
      <c r="B29" t="s">
        <v>79</v>
      </c>
      <c r="C29" s="7">
        <v>611</v>
      </c>
      <c r="D29" s="7">
        <v>1762.193126022913</v>
      </c>
      <c r="E29" s="8">
        <v>0.651</v>
      </c>
      <c r="F29" s="8">
        <v>0.034</v>
      </c>
      <c r="G29" s="8">
        <v>0.021</v>
      </c>
      <c r="H29" s="6">
        <v>1076700</v>
      </c>
      <c r="I29" s="6">
        <v>700931.7</v>
      </c>
      <c r="J29" s="7">
        <v>95000</v>
      </c>
      <c r="K29" s="6">
        <v>36607.8</v>
      </c>
      <c r="L29" s="7">
        <v>33000</v>
      </c>
      <c r="M29" s="7">
        <v>19000</v>
      </c>
      <c r="N29" s="6">
        <v>22610.7</v>
      </c>
      <c r="O29" s="7">
        <v>40</v>
      </c>
      <c r="P29" s="7">
        <v>45</v>
      </c>
      <c r="Q29" s="7">
        <v>36</v>
      </c>
      <c r="R29" s="8">
        <v>0.08500000000000001</v>
      </c>
      <c r="S29" s="8">
        <v>0.34</v>
      </c>
      <c r="T29" s="8">
        <v>0.012</v>
      </c>
      <c r="U29" s="8">
        <v>0.01</v>
      </c>
      <c r="V29" s="7">
        <v>18000</v>
      </c>
      <c r="W29" s="7">
        <v>0</v>
      </c>
      <c r="X29" s="7">
        <v>18000</v>
      </c>
      <c r="Y29" s="7">
        <v>0</v>
      </c>
    </row>
    <row r="30" spans="1:25">
      <c r="A30" s="5">
        <v>45413</v>
      </c>
      <c r="B30" t="s">
        <v>79</v>
      </c>
      <c r="C30" s="7">
        <v>635</v>
      </c>
      <c r="D30" s="7">
        <v>1800.472440944882</v>
      </c>
      <c r="E30" s="8">
        <v>0.651</v>
      </c>
      <c r="F30" s="8">
        <v>0.034</v>
      </c>
      <c r="G30" s="8">
        <v>0.021</v>
      </c>
      <c r="H30" s="6">
        <v>1143300</v>
      </c>
      <c r="I30" s="6">
        <v>744288.3</v>
      </c>
      <c r="J30" s="7">
        <v>95000</v>
      </c>
      <c r="K30" s="6">
        <v>38872.2</v>
      </c>
      <c r="L30" s="7">
        <v>33000</v>
      </c>
      <c r="M30" s="7">
        <v>19000</v>
      </c>
      <c r="N30" s="6">
        <v>24009.3</v>
      </c>
      <c r="O30" s="7">
        <v>40</v>
      </c>
      <c r="P30" s="7">
        <v>45</v>
      </c>
      <c r="Q30" s="7">
        <v>36</v>
      </c>
      <c r="R30" s="8">
        <v>0.08500000000000001</v>
      </c>
      <c r="S30" s="8">
        <v>0.34</v>
      </c>
      <c r="T30" s="8">
        <v>0.012</v>
      </c>
      <c r="U30" s="8">
        <v>0.01</v>
      </c>
      <c r="V30" s="7">
        <v>18000</v>
      </c>
      <c r="W30" s="7">
        <v>0</v>
      </c>
      <c r="X30" s="7">
        <v>18000</v>
      </c>
      <c r="Y30" s="7">
        <v>0</v>
      </c>
    </row>
    <row r="31" spans="1:25">
      <c r="A31" s="5">
        <v>45444</v>
      </c>
      <c r="B31" t="s">
        <v>79</v>
      </c>
      <c r="C31" s="7">
        <v>654</v>
      </c>
      <c r="D31" s="7">
        <v>1765.137614678899</v>
      </c>
      <c r="E31" s="8">
        <v>0.651</v>
      </c>
      <c r="F31" s="8">
        <v>0.034</v>
      </c>
      <c r="G31" s="8">
        <v>0.021</v>
      </c>
      <c r="H31" s="6">
        <v>1154400</v>
      </c>
      <c r="I31" s="6">
        <v>751514.4</v>
      </c>
      <c r="J31" s="7">
        <v>95000</v>
      </c>
      <c r="K31" s="6">
        <v>39249.6</v>
      </c>
      <c r="L31" s="7">
        <v>33000</v>
      </c>
      <c r="M31" s="7">
        <v>19000</v>
      </c>
      <c r="N31" s="6">
        <v>24242.4</v>
      </c>
      <c r="O31" s="7">
        <v>40</v>
      </c>
      <c r="P31" s="7">
        <v>45</v>
      </c>
      <c r="Q31" s="7">
        <v>36</v>
      </c>
      <c r="R31" s="8">
        <v>0.08500000000000001</v>
      </c>
      <c r="S31" s="8">
        <v>0.34</v>
      </c>
      <c r="T31" s="8">
        <v>0.012</v>
      </c>
      <c r="U31" s="8">
        <v>0.01</v>
      </c>
      <c r="V31" s="7">
        <v>90000</v>
      </c>
      <c r="W31" s="7">
        <v>0</v>
      </c>
      <c r="X31" s="7">
        <v>18000</v>
      </c>
      <c r="Y31" s="7">
        <v>0</v>
      </c>
    </row>
    <row r="32" spans="1:25">
      <c r="A32" s="5">
        <v>45474</v>
      </c>
      <c r="B32" t="s">
        <v>79</v>
      </c>
      <c r="C32" s="7">
        <v>578</v>
      </c>
      <c r="D32" s="7">
        <v>1805.190311418685</v>
      </c>
      <c r="E32" s="8">
        <v>0.651</v>
      </c>
      <c r="F32" s="8">
        <v>0.034</v>
      </c>
      <c r="G32" s="8">
        <v>0.021</v>
      </c>
      <c r="H32" s="6">
        <v>1043400</v>
      </c>
      <c r="I32" s="6">
        <v>679253.4</v>
      </c>
      <c r="J32" s="7">
        <v>95000</v>
      </c>
      <c r="K32" s="6">
        <v>35475.6</v>
      </c>
      <c r="L32" s="7">
        <v>33000</v>
      </c>
      <c r="M32" s="7">
        <v>19000</v>
      </c>
      <c r="N32" s="6">
        <v>21911.4</v>
      </c>
      <c r="O32" s="7">
        <v>40</v>
      </c>
      <c r="P32" s="7">
        <v>45</v>
      </c>
      <c r="Q32" s="7">
        <v>36</v>
      </c>
      <c r="R32" s="8">
        <v>0.08500000000000001</v>
      </c>
      <c r="S32" s="8">
        <v>0.34</v>
      </c>
      <c r="T32" s="8">
        <v>0.012</v>
      </c>
      <c r="U32" s="8">
        <v>0.01</v>
      </c>
      <c r="V32" s="7">
        <v>18000</v>
      </c>
      <c r="W32" s="7">
        <v>0</v>
      </c>
      <c r="X32" s="7">
        <v>18000</v>
      </c>
      <c r="Y32" s="7">
        <v>0</v>
      </c>
    </row>
    <row r="33" spans="1:25">
      <c r="A33" s="5">
        <v>45505</v>
      </c>
      <c r="B33" t="s">
        <v>79</v>
      </c>
      <c r="C33" s="7">
        <v>629</v>
      </c>
      <c r="D33" s="7">
        <v>1800</v>
      </c>
      <c r="E33" s="8">
        <v>0.651</v>
      </c>
      <c r="F33" s="8">
        <v>0.034</v>
      </c>
      <c r="G33" s="8">
        <v>0.021</v>
      </c>
      <c r="H33" s="6">
        <v>1132200</v>
      </c>
      <c r="I33" s="6">
        <v>737062.2</v>
      </c>
      <c r="J33" s="7">
        <v>95000</v>
      </c>
      <c r="K33" s="6">
        <v>38494.8</v>
      </c>
      <c r="L33" s="7">
        <v>33000</v>
      </c>
      <c r="M33" s="7">
        <v>19000</v>
      </c>
      <c r="N33" s="6">
        <v>23776.2</v>
      </c>
      <c r="O33" s="7">
        <v>40</v>
      </c>
      <c r="P33" s="7">
        <v>45</v>
      </c>
      <c r="Q33" s="7">
        <v>36</v>
      </c>
      <c r="R33" s="8">
        <v>0.08500000000000001</v>
      </c>
      <c r="S33" s="8">
        <v>0.34</v>
      </c>
      <c r="T33" s="8">
        <v>0.012</v>
      </c>
      <c r="U33" s="8">
        <v>0.01</v>
      </c>
      <c r="V33" s="7">
        <v>18000</v>
      </c>
      <c r="W33" s="7">
        <v>0</v>
      </c>
      <c r="X33" s="7">
        <v>18000</v>
      </c>
      <c r="Y33" s="7">
        <v>0</v>
      </c>
    </row>
    <row r="34" spans="1:25">
      <c r="A34" s="5">
        <v>45536</v>
      </c>
      <c r="B34" t="s">
        <v>79</v>
      </c>
      <c r="C34" s="7">
        <v>654</v>
      </c>
      <c r="D34" s="7">
        <v>1799.082568807339</v>
      </c>
      <c r="E34" s="8">
        <v>0.651</v>
      </c>
      <c r="F34" s="8">
        <v>0.034</v>
      </c>
      <c r="G34" s="8">
        <v>0.021</v>
      </c>
      <c r="H34" s="6">
        <v>1176600</v>
      </c>
      <c r="I34" s="6">
        <v>765966.6</v>
      </c>
      <c r="J34" s="7">
        <v>95000</v>
      </c>
      <c r="K34" s="6">
        <v>40004.4</v>
      </c>
      <c r="L34" s="7">
        <v>33000</v>
      </c>
      <c r="M34" s="7">
        <v>19000</v>
      </c>
      <c r="N34" s="6">
        <v>24708.6</v>
      </c>
      <c r="O34" s="7">
        <v>40</v>
      </c>
      <c r="P34" s="7">
        <v>45</v>
      </c>
      <c r="Q34" s="7">
        <v>36</v>
      </c>
      <c r="R34" s="8">
        <v>0.08500000000000001</v>
      </c>
      <c r="S34" s="8">
        <v>0.34</v>
      </c>
      <c r="T34" s="8">
        <v>0.012</v>
      </c>
      <c r="U34" s="8">
        <v>0.01</v>
      </c>
      <c r="V34" s="7">
        <v>90000</v>
      </c>
      <c r="W34" s="7">
        <v>0</v>
      </c>
      <c r="X34" s="7">
        <v>18000</v>
      </c>
      <c r="Y34" s="7">
        <v>0</v>
      </c>
    </row>
    <row r="35" spans="1:25">
      <c r="A35" s="5">
        <v>45566</v>
      </c>
      <c r="B35" t="s">
        <v>79</v>
      </c>
      <c r="C35" s="7">
        <v>707</v>
      </c>
      <c r="D35" s="7">
        <v>1758.415841584159</v>
      </c>
      <c r="E35" s="8">
        <v>0.651</v>
      </c>
      <c r="F35" s="8">
        <v>0.034</v>
      </c>
      <c r="G35" s="8">
        <v>0.021</v>
      </c>
      <c r="H35" s="6">
        <v>1243200</v>
      </c>
      <c r="I35" s="6">
        <v>809323.2</v>
      </c>
      <c r="J35" s="7">
        <v>95000</v>
      </c>
      <c r="K35" s="6">
        <v>42268.8</v>
      </c>
      <c r="L35" s="7">
        <v>33000</v>
      </c>
      <c r="M35" s="7">
        <v>19000</v>
      </c>
      <c r="N35" s="6">
        <v>26107.2</v>
      </c>
      <c r="O35" s="7">
        <v>40</v>
      </c>
      <c r="P35" s="7">
        <v>45</v>
      </c>
      <c r="Q35" s="7">
        <v>36</v>
      </c>
      <c r="R35" s="8">
        <v>0.08500000000000001</v>
      </c>
      <c r="S35" s="8">
        <v>0.34</v>
      </c>
      <c r="T35" s="8">
        <v>0.012</v>
      </c>
      <c r="U35" s="8">
        <v>0.01</v>
      </c>
      <c r="V35" s="7">
        <v>18000</v>
      </c>
      <c r="W35" s="7">
        <v>0</v>
      </c>
      <c r="X35" s="7">
        <v>18000</v>
      </c>
      <c r="Y35" s="7">
        <v>0</v>
      </c>
    </row>
    <row r="36" spans="1:25">
      <c r="A36" s="5">
        <v>45597</v>
      </c>
      <c r="B36" t="s">
        <v>79</v>
      </c>
      <c r="C36" s="7">
        <v>800</v>
      </c>
      <c r="D36" s="7">
        <v>1789.875</v>
      </c>
      <c r="E36" s="8">
        <v>0.651</v>
      </c>
      <c r="F36" s="8">
        <v>0.034</v>
      </c>
      <c r="G36" s="8">
        <v>0.021</v>
      </c>
      <c r="H36" s="6">
        <v>1431900</v>
      </c>
      <c r="I36" s="6">
        <v>932166.9</v>
      </c>
      <c r="J36" s="7">
        <v>95000</v>
      </c>
      <c r="K36" s="6">
        <v>48684.6</v>
      </c>
      <c r="L36" s="7">
        <v>33000</v>
      </c>
      <c r="M36" s="7">
        <v>19000</v>
      </c>
      <c r="N36" s="6">
        <v>30069.9</v>
      </c>
      <c r="O36" s="7">
        <v>40</v>
      </c>
      <c r="P36" s="7">
        <v>45</v>
      </c>
      <c r="Q36" s="7">
        <v>36</v>
      </c>
      <c r="R36" s="8">
        <v>0.08500000000000001</v>
      </c>
      <c r="S36" s="8">
        <v>0.34</v>
      </c>
      <c r="T36" s="8">
        <v>0.012</v>
      </c>
      <c r="U36" s="8">
        <v>0.01</v>
      </c>
      <c r="V36" s="7">
        <v>18000</v>
      </c>
      <c r="W36" s="7">
        <v>0</v>
      </c>
      <c r="X36" s="7">
        <v>18000</v>
      </c>
      <c r="Y36" s="7">
        <v>0</v>
      </c>
    </row>
    <row r="37" spans="1:25">
      <c r="A37" s="5">
        <v>45627</v>
      </c>
      <c r="B37" t="s">
        <v>79</v>
      </c>
      <c r="C37" s="7">
        <v>735</v>
      </c>
      <c r="D37" s="7">
        <v>1782.040816326531</v>
      </c>
      <c r="E37" s="8">
        <v>0.651</v>
      </c>
      <c r="F37" s="8">
        <v>0.034</v>
      </c>
      <c r="G37" s="8">
        <v>0.021</v>
      </c>
      <c r="H37" s="6">
        <v>1309800</v>
      </c>
      <c r="I37" s="6">
        <v>852679.8</v>
      </c>
      <c r="J37" s="7">
        <v>95000</v>
      </c>
      <c r="K37" s="6">
        <v>44533.2</v>
      </c>
      <c r="L37" s="7">
        <v>33000</v>
      </c>
      <c r="M37" s="7">
        <v>19000</v>
      </c>
      <c r="N37" s="6">
        <v>27505.8</v>
      </c>
      <c r="O37" s="7">
        <v>40</v>
      </c>
      <c r="P37" s="7">
        <v>45</v>
      </c>
      <c r="Q37" s="7">
        <v>36</v>
      </c>
      <c r="R37" s="8">
        <v>0.08500000000000001</v>
      </c>
      <c r="S37" s="8">
        <v>0.34</v>
      </c>
      <c r="T37" s="8">
        <v>0.012</v>
      </c>
      <c r="U37" s="8">
        <v>0.01</v>
      </c>
      <c r="V37" s="7">
        <v>90000</v>
      </c>
      <c r="W37" s="7">
        <v>0</v>
      </c>
      <c r="X37" s="7">
        <v>18000</v>
      </c>
      <c r="Y37" s="7">
        <v>0</v>
      </c>
    </row>
    <row r="38" spans="1:25">
      <c r="A38" s="5">
        <v>45658</v>
      </c>
      <c r="B38" t="s">
        <v>79</v>
      </c>
      <c r="C38" s="7">
        <v>549</v>
      </c>
      <c r="D38" s="7">
        <v>1908.633879781421</v>
      </c>
      <c r="E38" s="8">
        <v>0.651</v>
      </c>
      <c r="F38" s="8">
        <v>0.034</v>
      </c>
      <c r="G38" s="8">
        <v>0.021</v>
      </c>
      <c r="H38" s="6">
        <v>1047840</v>
      </c>
      <c r="I38" s="6">
        <v>682143.84</v>
      </c>
      <c r="J38" s="7">
        <v>102600</v>
      </c>
      <c r="K38" s="6">
        <v>35626.56</v>
      </c>
      <c r="L38" s="7">
        <v>33000</v>
      </c>
      <c r="M38" s="7">
        <v>19000</v>
      </c>
      <c r="N38" s="6">
        <v>22004.64</v>
      </c>
      <c r="O38" s="7">
        <v>40</v>
      </c>
      <c r="P38" s="7">
        <v>45</v>
      </c>
      <c r="Q38" s="7">
        <v>36</v>
      </c>
      <c r="R38" s="8">
        <v>0.08500000000000001</v>
      </c>
      <c r="S38" s="8">
        <v>0.34</v>
      </c>
      <c r="T38" s="8">
        <v>0.012</v>
      </c>
      <c r="U38" s="8">
        <v>0.01</v>
      </c>
      <c r="V38" s="7">
        <v>18000</v>
      </c>
      <c r="W38" s="7">
        <v>0</v>
      </c>
      <c r="X38" s="7">
        <v>18000</v>
      </c>
      <c r="Y38" s="7">
        <v>0</v>
      </c>
    </row>
    <row r="39" spans="1:25">
      <c r="A39" s="5">
        <v>45689</v>
      </c>
      <c r="B39" t="s">
        <v>79</v>
      </c>
      <c r="C39" s="7">
        <v>575</v>
      </c>
      <c r="D39" s="7">
        <v>1890.667826086956</v>
      </c>
      <c r="E39" s="8">
        <v>0.651</v>
      </c>
      <c r="F39" s="8">
        <v>0.034</v>
      </c>
      <c r="G39" s="8">
        <v>0.021</v>
      </c>
      <c r="H39" s="6">
        <v>1087134</v>
      </c>
      <c r="I39" s="6">
        <v>707724.23</v>
      </c>
      <c r="J39" s="7">
        <v>102600</v>
      </c>
      <c r="K39" s="6">
        <v>36962.56</v>
      </c>
      <c r="L39" s="7">
        <v>33000</v>
      </c>
      <c r="M39" s="7">
        <v>19000</v>
      </c>
      <c r="N39" s="6">
        <v>22829.81</v>
      </c>
      <c r="O39" s="7">
        <v>40</v>
      </c>
      <c r="P39" s="7">
        <v>45</v>
      </c>
      <c r="Q39" s="7">
        <v>36</v>
      </c>
      <c r="R39" s="8">
        <v>0.08500000000000001</v>
      </c>
      <c r="S39" s="8">
        <v>0.34</v>
      </c>
      <c r="T39" s="8">
        <v>0.012</v>
      </c>
      <c r="U39" s="8">
        <v>0.01</v>
      </c>
      <c r="V39" s="7">
        <v>18000</v>
      </c>
      <c r="W39" s="7">
        <v>0</v>
      </c>
      <c r="X39" s="7">
        <v>18000</v>
      </c>
      <c r="Y39" s="7">
        <v>0</v>
      </c>
    </row>
    <row r="40" spans="1:25">
      <c r="A40" s="5">
        <v>45717</v>
      </c>
      <c r="B40" t="s">
        <v>79</v>
      </c>
      <c r="C40" s="7">
        <v>673</v>
      </c>
      <c r="D40" s="7">
        <v>1926.748885586924</v>
      </c>
      <c r="E40" s="8">
        <v>0.651</v>
      </c>
      <c r="F40" s="8">
        <v>0.034</v>
      </c>
      <c r="G40" s="8">
        <v>0.021</v>
      </c>
      <c r="H40" s="6">
        <v>1296702</v>
      </c>
      <c r="I40" s="6">
        <v>844153</v>
      </c>
      <c r="J40" s="7">
        <v>102600</v>
      </c>
      <c r="K40" s="6">
        <v>44087.87</v>
      </c>
      <c r="L40" s="7">
        <v>33000</v>
      </c>
      <c r="M40" s="7">
        <v>19000</v>
      </c>
      <c r="N40" s="6">
        <v>27230.74</v>
      </c>
      <c r="O40" s="7">
        <v>40</v>
      </c>
      <c r="P40" s="7">
        <v>45</v>
      </c>
      <c r="Q40" s="7">
        <v>36</v>
      </c>
      <c r="R40" s="8">
        <v>0.08500000000000001</v>
      </c>
      <c r="S40" s="8">
        <v>0.34</v>
      </c>
      <c r="T40" s="8">
        <v>0.012</v>
      </c>
      <c r="U40" s="8">
        <v>0.01</v>
      </c>
      <c r="V40" s="7">
        <v>90000</v>
      </c>
      <c r="W40" s="7">
        <v>0</v>
      </c>
      <c r="X40" s="7">
        <v>18000</v>
      </c>
      <c r="Y40" s="7">
        <v>0</v>
      </c>
    </row>
    <row r="41" spans="1:25">
      <c r="A41" s="5">
        <v>45748</v>
      </c>
      <c r="B41" t="s">
        <v>79</v>
      </c>
      <c r="C41" s="7">
        <v>672</v>
      </c>
      <c r="D41" s="7">
        <v>1890.633928571429</v>
      </c>
      <c r="E41" s="8">
        <v>0.651</v>
      </c>
      <c r="F41" s="8">
        <v>0.034</v>
      </c>
      <c r="G41" s="8">
        <v>0.021</v>
      </c>
      <c r="H41" s="6">
        <v>1270506</v>
      </c>
      <c r="I41" s="6">
        <v>827099.41</v>
      </c>
      <c r="J41" s="7">
        <v>102600</v>
      </c>
      <c r="K41" s="6">
        <v>43197.2</v>
      </c>
      <c r="L41" s="7">
        <v>33000</v>
      </c>
      <c r="M41" s="7">
        <v>19000</v>
      </c>
      <c r="N41" s="6">
        <v>26680.63</v>
      </c>
      <c r="O41" s="7">
        <v>40</v>
      </c>
      <c r="P41" s="7">
        <v>45</v>
      </c>
      <c r="Q41" s="7">
        <v>36</v>
      </c>
      <c r="R41" s="8">
        <v>0.08500000000000001</v>
      </c>
      <c r="S41" s="8">
        <v>0.34</v>
      </c>
      <c r="T41" s="8">
        <v>0.012</v>
      </c>
      <c r="U41" s="8">
        <v>0.01</v>
      </c>
      <c r="V41" s="7">
        <v>18000</v>
      </c>
      <c r="W41" s="7">
        <v>350000</v>
      </c>
      <c r="X41" s="7">
        <v>18000</v>
      </c>
      <c r="Y41" s="7">
        <v>0</v>
      </c>
    </row>
    <row r="42" spans="1:25">
      <c r="A42" s="5">
        <v>45778</v>
      </c>
      <c r="B42" t="s">
        <v>79</v>
      </c>
      <c r="C42" s="7">
        <v>698</v>
      </c>
      <c r="D42" s="7">
        <v>1932.799426934097</v>
      </c>
      <c r="E42" s="8">
        <v>0.651</v>
      </c>
      <c r="F42" s="8">
        <v>0.034</v>
      </c>
      <c r="G42" s="8">
        <v>0.021</v>
      </c>
      <c r="H42" s="6">
        <v>1349094</v>
      </c>
      <c r="I42" s="6">
        <v>878260.1899999999</v>
      </c>
      <c r="J42" s="7">
        <v>102600</v>
      </c>
      <c r="K42" s="6">
        <v>45869.2</v>
      </c>
      <c r="L42" s="7">
        <v>33000</v>
      </c>
      <c r="M42" s="7">
        <v>19000</v>
      </c>
      <c r="N42" s="6">
        <v>28330.97</v>
      </c>
      <c r="O42" s="7">
        <v>40</v>
      </c>
      <c r="P42" s="7">
        <v>45</v>
      </c>
      <c r="Q42" s="7">
        <v>36</v>
      </c>
      <c r="R42" s="8">
        <v>0.08500000000000001</v>
      </c>
      <c r="S42" s="8">
        <v>0.34</v>
      </c>
      <c r="T42" s="8">
        <v>0.012</v>
      </c>
      <c r="U42" s="8">
        <v>0.01</v>
      </c>
      <c r="V42" s="7">
        <v>18000</v>
      </c>
      <c r="W42" s="7">
        <v>0</v>
      </c>
      <c r="X42" s="7">
        <v>18000</v>
      </c>
      <c r="Y42" s="7">
        <v>0</v>
      </c>
    </row>
    <row r="43" spans="1:25">
      <c r="A43" s="5">
        <v>45809</v>
      </c>
      <c r="B43" t="s">
        <v>79</v>
      </c>
      <c r="C43" s="7">
        <v>719</v>
      </c>
      <c r="D43" s="7">
        <v>1894.564673157163</v>
      </c>
      <c r="E43" s="8">
        <v>0.651</v>
      </c>
      <c r="F43" s="8">
        <v>0.034</v>
      </c>
      <c r="G43" s="8">
        <v>0.021</v>
      </c>
      <c r="H43" s="6">
        <v>1362192</v>
      </c>
      <c r="I43" s="6">
        <v>886786.99</v>
      </c>
      <c r="J43" s="7">
        <v>102600</v>
      </c>
      <c r="K43" s="6">
        <v>46314.53</v>
      </c>
      <c r="L43" s="7">
        <v>33000</v>
      </c>
      <c r="M43" s="7">
        <v>19000</v>
      </c>
      <c r="N43" s="6">
        <v>28606.03</v>
      </c>
      <c r="O43" s="7">
        <v>40</v>
      </c>
      <c r="P43" s="7">
        <v>45</v>
      </c>
      <c r="Q43" s="7">
        <v>36</v>
      </c>
      <c r="R43" s="8">
        <v>0.08500000000000001</v>
      </c>
      <c r="S43" s="8">
        <v>0.34</v>
      </c>
      <c r="T43" s="8">
        <v>0.012</v>
      </c>
      <c r="U43" s="8">
        <v>0.01</v>
      </c>
      <c r="V43" s="7">
        <v>90000</v>
      </c>
      <c r="W43" s="7">
        <v>0</v>
      </c>
      <c r="X43" s="7">
        <v>18000</v>
      </c>
      <c r="Y43" s="7">
        <v>0</v>
      </c>
    </row>
    <row r="44" spans="1:25">
      <c r="A44" s="5">
        <v>45839</v>
      </c>
      <c r="B44" t="s">
        <v>79</v>
      </c>
      <c r="C44" s="7">
        <v>636</v>
      </c>
      <c r="D44" s="7">
        <v>1935.867924528302</v>
      </c>
      <c r="E44" s="8">
        <v>0.651</v>
      </c>
      <c r="F44" s="8">
        <v>0.034</v>
      </c>
      <c r="G44" s="8">
        <v>0.021</v>
      </c>
      <c r="H44" s="6">
        <v>1231212</v>
      </c>
      <c r="I44" s="6">
        <v>801519.01</v>
      </c>
      <c r="J44" s="7">
        <v>102600</v>
      </c>
      <c r="K44" s="6">
        <v>41861.21</v>
      </c>
      <c r="L44" s="7">
        <v>33000</v>
      </c>
      <c r="M44" s="7">
        <v>19000</v>
      </c>
      <c r="N44" s="6">
        <v>25855.45</v>
      </c>
      <c r="O44" s="7">
        <v>40</v>
      </c>
      <c r="P44" s="7">
        <v>45</v>
      </c>
      <c r="Q44" s="7">
        <v>36</v>
      </c>
      <c r="R44" s="8">
        <v>0.08500000000000001</v>
      </c>
      <c r="S44" s="8">
        <v>0.34</v>
      </c>
      <c r="T44" s="8">
        <v>0.012</v>
      </c>
      <c r="U44" s="8">
        <v>0.01</v>
      </c>
      <c r="V44" s="7">
        <v>18000</v>
      </c>
      <c r="W44" s="7">
        <v>0</v>
      </c>
      <c r="X44" s="7">
        <v>18000</v>
      </c>
      <c r="Y44" s="7">
        <v>0</v>
      </c>
    </row>
    <row r="45" spans="1:25">
      <c r="A45" s="5">
        <v>45870</v>
      </c>
      <c r="B45" t="s">
        <v>79</v>
      </c>
      <c r="C45" s="7">
        <v>692</v>
      </c>
      <c r="D45" s="7">
        <v>1930.630057803468</v>
      </c>
      <c r="E45" s="8">
        <v>0.651</v>
      </c>
      <c r="F45" s="8">
        <v>0.034</v>
      </c>
      <c r="G45" s="8">
        <v>0.021</v>
      </c>
      <c r="H45" s="6">
        <v>1335996</v>
      </c>
      <c r="I45" s="6">
        <v>869733.4</v>
      </c>
      <c r="J45" s="7">
        <v>102600</v>
      </c>
      <c r="K45" s="6">
        <v>45423.86</v>
      </c>
      <c r="L45" s="7">
        <v>33000</v>
      </c>
      <c r="M45" s="7">
        <v>19000</v>
      </c>
      <c r="N45" s="6">
        <v>28055.92</v>
      </c>
      <c r="O45" s="7">
        <v>40</v>
      </c>
      <c r="P45" s="7">
        <v>45</v>
      </c>
      <c r="Q45" s="7">
        <v>36</v>
      </c>
      <c r="R45" s="8">
        <v>0.08500000000000001</v>
      </c>
      <c r="S45" s="8">
        <v>0.34</v>
      </c>
      <c r="T45" s="8">
        <v>0.012</v>
      </c>
      <c r="U45" s="8">
        <v>0.01</v>
      </c>
      <c r="V45" s="7">
        <v>18000</v>
      </c>
      <c r="W45" s="7">
        <v>0</v>
      </c>
      <c r="X45" s="7">
        <v>18000</v>
      </c>
      <c r="Y45" s="7">
        <v>0</v>
      </c>
    </row>
    <row r="46" spans="1:25">
      <c r="A46" s="5">
        <v>45901</v>
      </c>
      <c r="B46" t="s">
        <v>79</v>
      </c>
      <c r="C46" s="7">
        <v>719</v>
      </c>
      <c r="D46" s="7">
        <v>1930.998609179416</v>
      </c>
      <c r="E46" s="8">
        <v>0.651</v>
      </c>
      <c r="F46" s="8">
        <v>0.034</v>
      </c>
      <c r="G46" s="8">
        <v>0.021</v>
      </c>
      <c r="H46" s="6">
        <v>1388388</v>
      </c>
      <c r="I46" s="6">
        <v>903840.59</v>
      </c>
      <c r="J46" s="7">
        <v>102600</v>
      </c>
      <c r="K46" s="6">
        <v>47205.19</v>
      </c>
      <c r="L46" s="7">
        <v>33000</v>
      </c>
      <c r="M46" s="7">
        <v>19000</v>
      </c>
      <c r="N46" s="6">
        <v>29156.15</v>
      </c>
      <c r="O46" s="7">
        <v>40</v>
      </c>
      <c r="P46" s="7">
        <v>45</v>
      </c>
      <c r="Q46" s="7">
        <v>36</v>
      </c>
      <c r="R46" s="8">
        <v>0.08500000000000001</v>
      </c>
      <c r="S46" s="8">
        <v>0.34</v>
      </c>
      <c r="T46" s="8">
        <v>0.012</v>
      </c>
      <c r="U46" s="8">
        <v>0.01</v>
      </c>
      <c r="V46" s="7">
        <v>90000</v>
      </c>
      <c r="W46" s="7">
        <v>0</v>
      </c>
      <c r="X46" s="7">
        <v>18000</v>
      </c>
      <c r="Y46" s="7">
        <v>0</v>
      </c>
    </row>
    <row r="47" spans="1:25">
      <c r="A47" s="5">
        <v>45931</v>
      </c>
      <c r="B47" t="s">
        <v>79</v>
      </c>
      <c r="C47" s="7">
        <v>778</v>
      </c>
      <c r="D47" s="7">
        <v>1885.573264781491</v>
      </c>
      <c r="E47" s="8">
        <v>0.651</v>
      </c>
      <c r="F47" s="8">
        <v>0.034</v>
      </c>
      <c r="G47" s="8">
        <v>0.021</v>
      </c>
      <c r="H47" s="6">
        <v>1466976</v>
      </c>
      <c r="I47" s="6">
        <v>955001.38</v>
      </c>
      <c r="J47" s="7">
        <v>102600</v>
      </c>
      <c r="K47" s="6">
        <v>49877.18</v>
      </c>
      <c r="L47" s="7">
        <v>33000</v>
      </c>
      <c r="M47" s="7">
        <v>19000</v>
      </c>
      <c r="N47" s="6">
        <v>30806.5</v>
      </c>
      <c r="O47" s="7">
        <v>40</v>
      </c>
      <c r="P47" s="7">
        <v>45</v>
      </c>
      <c r="Q47" s="7">
        <v>36</v>
      </c>
      <c r="R47" s="8">
        <v>0.08500000000000001</v>
      </c>
      <c r="S47" s="8">
        <v>0.34</v>
      </c>
      <c r="T47" s="8">
        <v>0.012</v>
      </c>
      <c r="U47" s="8">
        <v>0.01</v>
      </c>
      <c r="V47" s="7">
        <v>18000</v>
      </c>
      <c r="W47" s="7">
        <v>0</v>
      </c>
      <c r="X47" s="7">
        <v>18000</v>
      </c>
      <c r="Y47" s="7">
        <v>0</v>
      </c>
    </row>
    <row r="48" spans="1:25">
      <c r="A48" s="5">
        <v>45962</v>
      </c>
      <c r="B48" t="s">
        <v>79</v>
      </c>
      <c r="C48" s="7">
        <v>880</v>
      </c>
      <c r="D48" s="7">
        <v>1920.047727272727</v>
      </c>
      <c r="E48" s="8">
        <v>0.651</v>
      </c>
      <c r="F48" s="8">
        <v>0.034</v>
      </c>
      <c r="G48" s="8">
        <v>0.021</v>
      </c>
      <c r="H48" s="6">
        <v>1689642</v>
      </c>
      <c r="I48" s="6">
        <v>1099956.94</v>
      </c>
      <c r="J48" s="7">
        <v>102600</v>
      </c>
      <c r="K48" s="6">
        <v>57447.83</v>
      </c>
      <c r="L48" s="7">
        <v>33000</v>
      </c>
      <c r="M48" s="7">
        <v>19000</v>
      </c>
      <c r="N48" s="6">
        <v>35482.48</v>
      </c>
      <c r="O48" s="7">
        <v>40</v>
      </c>
      <c r="P48" s="7">
        <v>45</v>
      </c>
      <c r="Q48" s="7">
        <v>36</v>
      </c>
      <c r="R48" s="8">
        <v>0.08500000000000001</v>
      </c>
      <c r="S48" s="8">
        <v>0.34</v>
      </c>
      <c r="T48" s="8">
        <v>0.012</v>
      </c>
      <c r="U48" s="8">
        <v>0.01</v>
      </c>
      <c r="V48" s="7">
        <v>18000</v>
      </c>
      <c r="W48" s="7">
        <v>0</v>
      </c>
      <c r="X48" s="7">
        <v>18000</v>
      </c>
      <c r="Y48" s="7">
        <v>0</v>
      </c>
    </row>
    <row r="49" spans="1:25">
      <c r="A49" s="5">
        <v>45992</v>
      </c>
      <c r="B49" t="s">
        <v>79</v>
      </c>
      <c r="C49" s="7">
        <v>809</v>
      </c>
      <c r="D49" s="7">
        <v>1910.462299134734</v>
      </c>
      <c r="E49" s="8">
        <v>0.651</v>
      </c>
      <c r="F49" s="8">
        <v>0.034</v>
      </c>
      <c r="G49" s="8">
        <v>0.021</v>
      </c>
      <c r="H49" s="6">
        <v>1545564</v>
      </c>
      <c r="I49" s="6">
        <v>1006162.16</v>
      </c>
      <c r="J49" s="7">
        <v>102600</v>
      </c>
      <c r="K49" s="6">
        <v>52549.18</v>
      </c>
      <c r="L49" s="7">
        <v>33000</v>
      </c>
      <c r="M49" s="7">
        <v>19000</v>
      </c>
      <c r="N49" s="6">
        <v>32456.84</v>
      </c>
      <c r="O49" s="7">
        <v>40</v>
      </c>
      <c r="P49" s="7">
        <v>45</v>
      </c>
      <c r="Q49" s="7">
        <v>36</v>
      </c>
      <c r="R49" s="8">
        <v>0.08500000000000001</v>
      </c>
      <c r="S49" s="8">
        <v>0.34</v>
      </c>
      <c r="T49" s="8">
        <v>0.012</v>
      </c>
      <c r="U49" s="8">
        <v>0.01</v>
      </c>
      <c r="V49" s="7">
        <v>90000</v>
      </c>
      <c r="W49" s="7">
        <v>0</v>
      </c>
      <c r="X49" s="7">
        <v>18000</v>
      </c>
      <c r="Y49" s="7">
        <v>0</v>
      </c>
    </row>
    <row r="50" spans="1:25">
      <c r="A50" s="5">
        <v>45658</v>
      </c>
      <c r="B50" t="s">
        <v>80</v>
      </c>
      <c r="C50" s="7">
        <v>590</v>
      </c>
      <c r="D50" s="7">
        <v>1951.002525423729</v>
      </c>
      <c r="E50" s="8">
        <v>0.683682910382736</v>
      </c>
      <c r="F50" s="8">
        <v>0.03599999683778394</v>
      </c>
      <c r="G50" s="8">
        <v>0.02199999758490092</v>
      </c>
      <c r="H50" s="6">
        <v>1151091.49</v>
      </c>
      <c r="I50" s="6">
        <v>786981.58</v>
      </c>
      <c r="J50" s="7">
        <v>105925</v>
      </c>
      <c r="K50" s="6">
        <v>41439.29</v>
      </c>
      <c r="L50" s="7">
        <v>33920</v>
      </c>
      <c r="M50" s="7">
        <v>20160</v>
      </c>
      <c r="N50" s="6">
        <v>25324.01</v>
      </c>
      <c r="O50" s="7">
        <v>47</v>
      </c>
      <c r="P50" s="7">
        <v>52</v>
      </c>
      <c r="Q50" s="7">
        <v>35</v>
      </c>
      <c r="R50" s="8">
        <v>0.08500000000000001</v>
      </c>
      <c r="S50" s="8">
        <v>0.34</v>
      </c>
      <c r="T50" s="8">
        <v>0.012</v>
      </c>
      <c r="U50" s="8">
        <v>0.01</v>
      </c>
      <c r="V50" s="7">
        <v>18000</v>
      </c>
      <c r="W50" s="7">
        <v>0</v>
      </c>
      <c r="X50" s="7">
        <v>18000</v>
      </c>
      <c r="Y50" s="7">
        <v>0</v>
      </c>
    </row>
    <row r="51" spans="1:25">
      <c r="A51" s="5">
        <v>45689</v>
      </c>
      <c r="B51" t="s">
        <v>80</v>
      </c>
      <c r="C51" s="7">
        <v>602</v>
      </c>
      <c r="D51" s="7">
        <v>1954.703920265781</v>
      </c>
      <c r="E51" s="8">
        <v>0.6847841516574686</v>
      </c>
      <c r="F51" s="8">
        <v>0.03599999714463387</v>
      </c>
      <c r="G51" s="8">
        <v>0.02200000108775852</v>
      </c>
      <c r="H51" s="6">
        <v>1176731.76</v>
      </c>
      <c r="I51" s="6">
        <v>805807.26</v>
      </c>
      <c r="J51" s="7">
        <v>105925</v>
      </c>
      <c r="K51" s="6">
        <v>42362.34</v>
      </c>
      <c r="L51" s="7">
        <v>33920</v>
      </c>
      <c r="M51" s="7">
        <v>20160</v>
      </c>
      <c r="N51" s="6">
        <v>25888.1</v>
      </c>
      <c r="O51" s="7">
        <v>47</v>
      </c>
      <c r="P51" s="7">
        <v>52</v>
      </c>
      <c r="Q51" s="7">
        <v>35</v>
      </c>
      <c r="R51" s="8">
        <v>0.08500000000000001</v>
      </c>
      <c r="S51" s="8">
        <v>0.34</v>
      </c>
      <c r="T51" s="8">
        <v>0.012</v>
      </c>
      <c r="U51" s="8">
        <v>0.01</v>
      </c>
      <c r="V51" s="7">
        <v>18000</v>
      </c>
      <c r="W51" s="7">
        <v>0</v>
      </c>
      <c r="X51" s="7">
        <v>18000</v>
      </c>
      <c r="Y51" s="7">
        <v>0</v>
      </c>
    </row>
    <row r="52" spans="1:25">
      <c r="A52" s="5">
        <v>45717</v>
      </c>
      <c r="B52" t="s">
        <v>80</v>
      </c>
      <c r="C52" s="7">
        <v>709</v>
      </c>
      <c r="D52" s="7">
        <v>1960.441579689704</v>
      </c>
      <c r="E52" s="8">
        <v>0.6851252273925678</v>
      </c>
      <c r="F52" s="8">
        <v>0.0359999993668851</v>
      </c>
      <c r="G52" s="8">
        <v>0.02200000161156519</v>
      </c>
      <c r="H52" s="6">
        <v>1389953.08</v>
      </c>
      <c r="I52" s="6">
        <v>952291.92</v>
      </c>
      <c r="J52" s="7">
        <v>105925</v>
      </c>
      <c r="K52" s="6">
        <v>50038.31</v>
      </c>
      <c r="L52" s="7">
        <v>33920</v>
      </c>
      <c r="M52" s="7">
        <v>20160</v>
      </c>
      <c r="N52" s="6">
        <v>30578.97</v>
      </c>
      <c r="O52" s="7">
        <v>47</v>
      </c>
      <c r="P52" s="7">
        <v>52</v>
      </c>
      <c r="Q52" s="7">
        <v>35</v>
      </c>
      <c r="R52" s="8">
        <v>0.08500000000000001</v>
      </c>
      <c r="S52" s="8">
        <v>0.34</v>
      </c>
      <c r="T52" s="8">
        <v>0.012</v>
      </c>
      <c r="U52" s="8">
        <v>0.01</v>
      </c>
      <c r="V52" s="7">
        <v>90000</v>
      </c>
      <c r="W52" s="7">
        <v>0</v>
      </c>
      <c r="X52" s="7">
        <v>18000</v>
      </c>
      <c r="Y52" s="7">
        <v>0</v>
      </c>
    </row>
    <row r="53" spans="1:25">
      <c r="A53" s="5">
        <v>45748</v>
      </c>
      <c r="B53" t="s">
        <v>80</v>
      </c>
      <c r="C53" s="7">
        <v>702</v>
      </c>
      <c r="D53" s="7">
        <v>1971.933361823362</v>
      </c>
      <c r="E53" s="8">
        <v>0.6863343119333867</v>
      </c>
      <c r="F53" s="8">
        <v>0.03600000005779105</v>
      </c>
      <c r="G53" s="8">
        <v>0.02200000083797033</v>
      </c>
      <c r="H53" s="6">
        <v>1384297.22</v>
      </c>
      <c r="I53" s="6">
        <v>950090.6800000001</v>
      </c>
      <c r="J53" s="7">
        <v>105925</v>
      </c>
      <c r="K53" s="6">
        <v>49834.7</v>
      </c>
      <c r="L53" s="7">
        <v>33920</v>
      </c>
      <c r="M53" s="7">
        <v>48160</v>
      </c>
      <c r="N53" s="6">
        <v>30454.54</v>
      </c>
      <c r="O53" s="7">
        <v>47</v>
      </c>
      <c r="P53" s="7">
        <v>52</v>
      </c>
      <c r="Q53" s="7">
        <v>35</v>
      </c>
      <c r="R53" s="8">
        <v>0.08500000000000001</v>
      </c>
      <c r="S53" s="8">
        <v>0.34</v>
      </c>
      <c r="T53" s="8">
        <v>0.012</v>
      </c>
      <c r="U53" s="8">
        <v>0.01</v>
      </c>
      <c r="V53" s="7">
        <v>18000</v>
      </c>
      <c r="W53" s="7">
        <v>350000</v>
      </c>
      <c r="X53" s="7">
        <v>18000</v>
      </c>
      <c r="Y53" s="7">
        <v>0</v>
      </c>
    </row>
    <row r="54" spans="1:25">
      <c r="A54" s="5">
        <v>45778</v>
      </c>
      <c r="B54" t="s">
        <v>80</v>
      </c>
      <c r="C54" s="7">
        <v>744</v>
      </c>
      <c r="D54" s="7">
        <v>1948.492647849462</v>
      </c>
      <c r="E54" s="8">
        <v>0.6841643712554673</v>
      </c>
      <c r="F54" s="8">
        <v>0.03600000201423967</v>
      </c>
      <c r="G54" s="8">
        <v>0.02200000161415096</v>
      </c>
      <c r="H54" s="6">
        <v>1449678.53</v>
      </c>
      <c r="I54" s="6">
        <v>991818.4</v>
      </c>
      <c r="J54" s="7">
        <v>105925</v>
      </c>
      <c r="K54" s="6">
        <v>52188.43</v>
      </c>
      <c r="L54" s="7">
        <v>33920</v>
      </c>
      <c r="M54" s="7">
        <v>48160</v>
      </c>
      <c r="N54" s="6">
        <v>31892.93</v>
      </c>
      <c r="O54" s="7">
        <v>47</v>
      </c>
      <c r="P54" s="7">
        <v>52</v>
      </c>
      <c r="Q54" s="7">
        <v>35</v>
      </c>
      <c r="R54" s="8">
        <v>0.08500000000000001</v>
      </c>
      <c r="S54" s="8">
        <v>0.34</v>
      </c>
      <c r="T54" s="8">
        <v>0.012</v>
      </c>
      <c r="U54" s="8">
        <v>0.01</v>
      </c>
      <c r="V54" s="7">
        <v>18000</v>
      </c>
      <c r="W54" s="7">
        <v>0</v>
      </c>
      <c r="X54" s="7">
        <v>18000</v>
      </c>
      <c r="Y54" s="7">
        <v>0</v>
      </c>
    </row>
    <row r="55" spans="1:25">
      <c r="A55" s="5">
        <v>45809</v>
      </c>
      <c r="B55" t="s">
        <v>80</v>
      </c>
      <c r="C55" s="7">
        <v>753</v>
      </c>
      <c r="D55" s="7">
        <v>1953.733027888446</v>
      </c>
      <c r="E55" s="8">
        <v>0.6846361210901346</v>
      </c>
      <c r="F55" s="8">
        <v>0.03599999665570247</v>
      </c>
      <c r="G55" s="8">
        <v>0.02199999908915474</v>
      </c>
      <c r="H55" s="6">
        <v>1471160.97</v>
      </c>
      <c r="I55" s="6">
        <v>1007209.94</v>
      </c>
      <c r="J55" s="7">
        <v>105925</v>
      </c>
      <c r="K55" s="6">
        <v>52961.79</v>
      </c>
      <c r="L55" s="7">
        <v>33920</v>
      </c>
      <c r="M55" s="7">
        <v>20160</v>
      </c>
      <c r="N55" s="6">
        <v>32365.54</v>
      </c>
      <c r="O55" s="7">
        <v>47</v>
      </c>
      <c r="P55" s="7">
        <v>52</v>
      </c>
      <c r="Q55" s="7">
        <v>35</v>
      </c>
      <c r="R55" s="8">
        <v>0.08500000000000001</v>
      </c>
      <c r="S55" s="8">
        <v>0.34</v>
      </c>
      <c r="T55" s="8">
        <v>0.012</v>
      </c>
      <c r="U55" s="8">
        <v>0.01</v>
      </c>
      <c r="V55" s="7">
        <v>90000</v>
      </c>
      <c r="W55" s="7">
        <v>0</v>
      </c>
      <c r="X55" s="7">
        <v>18000</v>
      </c>
      <c r="Y55" s="7">
        <v>0</v>
      </c>
    </row>
    <row r="56" spans="1:25">
      <c r="A56" s="5">
        <v>45839</v>
      </c>
      <c r="B56" t="s">
        <v>80</v>
      </c>
      <c r="C56" s="7">
        <v>636</v>
      </c>
      <c r="D56" s="7">
        <v>1804.622641509434</v>
      </c>
      <c r="E56" s="8">
        <v>0.672</v>
      </c>
      <c r="F56" s="8">
        <v>0.036</v>
      </c>
      <c r="G56" s="8">
        <v>0.023</v>
      </c>
      <c r="H56" s="6">
        <v>1147740</v>
      </c>
      <c r="I56" s="6">
        <v>771281.28</v>
      </c>
      <c r="J56" s="7">
        <v>112000</v>
      </c>
      <c r="K56" s="6">
        <v>41318.64</v>
      </c>
      <c r="L56" s="7">
        <v>33920</v>
      </c>
      <c r="M56" s="7">
        <v>20160</v>
      </c>
      <c r="N56" s="6">
        <v>26398.02</v>
      </c>
      <c r="O56" s="7">
        <v>50</v>
      </c>
      <c r="P56" s="7">
        <v>55</v>
      </c>
      <c r="Q56" s="7">
        <v>35</v>
      </c>
      <c r="R56" s="8">
        <v>0.08500000000000001</v>
      </c>
      <c r="S56" s="8">
        <v>0.34</v>
      </c>
      <c r="T56" s="8">
        <v>0.012</v>
      </c>
      <c r="U56" s="8">
        <v>0.01</v>
      </c>
      <c r="V56" s="7">
        <v>18000</v>
      </c>
      <c r="W56" s="7">
        <v>0</v>
      </c>
      <c r="X56" s="7">
        <v>18000</v>
      </c>
      <c r="Y56" s="7">
        <v>0</v>
      </c>
    </row>
    <row r="57" spans="1:25">
      <c r="A57" s="5">
        <v>45870</v>
      </c>
      <c r="B57" t="s">
        <v>80</v>
      </c>
      <c r="C57" s="7">
        <v>692</v>
      </c>
      <c r="D57" s="7">
        <v>1799.739884393064</v>
      </c>
      <c r="E57" s="8">
        <v>0.672</v>
      </c>
      <c r="F57" s="8">
        <v>0.036</v>
      </c>
      <c r="G57" s="8">
        <v>0.023</v>
      </c>
      <c r="H57" s="6">
        <v>1245420</v>
      </c>
      <c r="I57" s="6">
        <v>836922.24</v>
      </c>
      <c r="J57" s="7">
        <v>112000</v>
      </c>
      <c r="K57" s="6">
        <v>44835.12</v>
      </c>
      <c r="L57" s="7">
        <v>33920</v>
      </c>
      <c r="M57" s="7">
        <v>20160</v>
      </c>
      <c r="N57" s="6">
        <v>28644.66</v>
      </c>
      <c r="O57" s="7">
        <v>50</v>
      </c>
      <c r="P57" s="7">
        <v>55</v>
      </c>
      <c r="Q57" s="7">
        <v>35</v>
      </c>
      <c r="R57" s="8">
        <v>0.08500000000000001</v>
      </c>
      <c r="S57" s="8">
        <v>0.34</v>
      </c>
      <c r="T57" s="8">
        <v>0.012</v>
      </c>
      <c r="U57" s="8">
        <v>0.01</v>
      </c>
      <c r="V57" s="7">
        <v>18000</v>
      </c>
      <c r="W57" s="7">
        <v>0</v>
      </c>
      <c r="X57" s="7">
        <v>18000</v>
      </c>
      <c r="Y57" s="7">
        <v>0</v>
      </c>
    </row>
    <row r="58" spans="1:25">
      <c r="A58" s="5">
        <v>45901</v>
      </c>
      <c r="B58" t="s">
        <v>80</v>
      </c>
      <c r="C58" s="7">
        <v>719</v>
      </c>
      <c r="D58" s="7">
        <v>1800.083449235049</v>
      </c>
      <c r="E58" s="8">
        <v>0.672</v>
      </c>
      <c r="F58" s="8">
        <v>0.036</v>
      </c>
      <c r="G58" s="8">
        <v>0.023</v>
      </c>
      <c r="H58" s="6">
        <v>1294260</v>
      </c>
      <c r="I58" s="6">
        <v>869742.72</v>
      </c>
      <c r="J58" s="7">
        <v>112000</v>
      </c>
      <c r="K58" s="6">
        <v>46593.36</v>
      </c>
      <c r="L58" s="7">
        <v>33920</v>
      </c>
      <c r="M58" s="7">
        <v>20160</v>
      </c>
      <c r="N58" s="6">
        <v>29767.98</v>
      </c>
      <c r="O58" s="7">
        <v>50</v>
      </c>
      <c r="P58" s="7">
        <v>55</v>
      </c>
      <c r="Q58" s="7">
        <v>35</v>
      </c>
      <c r="R58" s="8">
        <v>0.08500000000000001</v>
      </c>
      <c r="S58" s="8">
        <v>0.34</v>
      </c>
      <c r="T58" s="8">
        <v>0.012</v>
      </c>
      <c r="U58" s="8">
        <v>0.01</v>
      </c>
      <c r="V58" s="7">
        <v>90000</v>
      </c>
      <c r="W58" s="7">
        <v>0</v>
      </c>
      <c r="X58" s="7">
        <v>18000</v>
      </c>
      <c r="Y58" s="7">
        <v>0</v>
      </c>
    </row>
    <row r="59" spans="1:25">
      <c r="A59" s="5">
        <v>45931</v>
      </c>
      <c r="B59" t="s">
        <v>80</v>
      </c>
      <c r="C59" s="7">
        <v>778</v>
      </c>
      <c r="D59" s="7">
        <v>1757.737789203085</v>
      </c>
      <c r="E59" s="8">
        <v>0.672</v>
      </c>
      <c r="F59" s="8">
        <v>0.036</v>
      </c>
      <c r="G59" s="8">
        <v>0.023</v>
      </c>
      <c r="H59" s="6">
        <v>1367520</v>
      </c>
      <c r="I59" s="6">
        <v>918973.4399999999</v>
      </c>
      <c r="J59" s="7">
        <v>112000</v>
      </c>
      <c r="K59" s="6">
        <v>49230.72</v>
      </c>
      <c r="L59" s="7">
        <v>33920</v>
      </c>
      <c r="M59" s="7">
        <v>20160</v>
      </c>
      <c r="N59" s="6">
        <v>31452.96</v>
      </c>
      <c r="O59" s="7">
        <v>50</v>
      </c>
      <c r="P59" s="7">
        <v>55</v>
      </c>
      <c r="Q59" s="7">
        <v>35</v>
      </c>
      <c r="R59" s="8">
        <v>0.08500000000000001</v>
      </c>
      <c r="S59" s="8">
        <v>0.34</v>
      </c>
      <c r="T59" s="8">
        <v>0.012</v>
      </c>
      <c r="U59" s="8">
        <v>0.01</v>
      </c>
      <c r="V59" s="7">
        <v>18000</v>
      </c>
      <c r="W59" s="7">
        <v>0</v>
      </c>
      <c r="X59" s="7">
        <v>18000</v>
      </c>
      <c r="Y59" s="7">
        <v>0</v>
      </c>
    </row>
    <row r="60" spans="1:25">
      <c r="A60" s="5">
        <v>45962</v>
      </c>
      <c r="B60" t="s">
        <v>80</v>
      </c>
      <c r="C60" s="7">
        <v>880</v>
      </c>
      <c r="D60" s="7">
        <v>1789.875</v>
      </c>
      <c r="E60" s="8">
        <v>0.672</v>
      </c>
      <c r="F60" s="8">
        <v>0.036</v>
      </c>
      <c r="G60" s="8">
        <v>0.023</v>
      </c>
      <c r="H60" s="6">
        <v>1575090</v>
      </c>
      <c r="I60" s="6">
        <v>1058460.48</v>
      </c>
      <c r="J60" s="7">
        <v>112000</v>
      </c>
      <c r="K60" s="6">
        <v>56703.24</v>
      </c>
      <c r="L60" s="7">
        <v>33920</v>
      </c>
      <c r="M60" s="7">
        <v>20160</v>
      </c>
      <c r="N60" s="6">
        <v>36227.07</v>
      </c>
      <c r="O60" s="7">
        <v>50</v>
      </c>
      <c r="P60" s="7">
        <v>55</v>
      </c>
      <c r="Q60" s="7">
        <v>35</v>
      </c>
      <c r="R60" s="8">
        <v>0.08500000000000001</v>
      </c>
      <c r="S60" s="8">
        <v>0.34</v>
      </c>
      <c r="T60" s="8">
        <v>0.012</v>
      </c>
      <c r="U60" s="8">
        <v>0.01</v>
      </c>
      <c r="V60" s="7">
        <v>18000</v>
      </c>
      <c r="W60" s="7">
        <v>0</v>
      </c>
      <c r="X60" s="7">
        <v>18000</v>
      </c>
      <c r="Y60" s="7">
        <v>0</v>
      </c>
    </row>
    <row r="61" spans="1:25">
      <c r="A61" s="5">
        <v>45992</v>
      </c>
      <c r="B61" t="s">
        <v>80</v>
      </c>
      <c r="C61" s="7">
        <v>809</v>
      </c>
      <c r="D61" s="7">
        <v>1780.939431396786</v>
      </c>
      <c r="E61" s="8">
        <v>0.672</v>
      </c>
      <c r="F61" s="8">
        <v>0.036</v>
      </c>
      <c r="G61" s="8">
        <v>0.023</v>
      </c>
      <c r="H61" s="6">
        <v>1440780</v>
      </c>
      <c r="I61" s="6">
        <v>968204.16</v>
      </c>
      <c r="J61" s="7">
        <v>112000</v>
      </c>
      <c r="K61" s="6">
        <v>51868.08</v>
      </c>
      <c r="L61" s="7">
        <v>33920</v>
      </c>
      <c r="M61" s="7">
        <v>20160</v>
      </c>
      <c r="N61" s="6">
        <v>33137.94</v>
      </c>
      <c r="O61" s="7">
        <v>50</v>
      </c>
      <c r="P61" s="7">
        <v>55</v>
      </c>
      <c r="Q61" s="7">
        <v>35</v>
      </c>
      <c r="R61" s="8">
        <v>0.08500000000000001</v>
      </c>
      <c r="S61" s="8">
        <v>0.34</v>
      </c>
      <c r="T61" s="8">
        <v>0.012</v>
      </c>
      <c r="U61" s="8">
        <v>0.01</v>
      </c>
      <c r="V61" s="7">
        <v>90000</v>
      </c>
      <c r="W61" s="7">
        <v>0</v>
      </c>
      <c r="X61" s="7">
        <v>18000</v>
      </c>
      <c r="Y61" s="7">
        <v>0</v>
      </c>
    </row>
    <row r="62" spans="1:25">
      <c r="A62" s="5">
        <v>46023</v>
      </c>
      <c r="B62" t="s">
        <v>81</v>
      </c>
      <c r="C62" s="7">
        <v>609</v>
      </c>
      <c r="D62" s="7">
        <v>2116.949866666667</v>
      </c>
      <c r="E62" s="8">
        <v>0.66</v>
      </c>
      <c r="F62" s="8">
        <v>0.035</v>
      </c>
      <c r="G62" s="8">
        <v>0.023</v>
      </c>
      <c r="H62" s="6">
        <v>1289222.47</v>
      </c>
      <c r="I62" s="6">
        <v>850886.83</v>
      </c>
      <c r="J62" s="7">
        <v>125000</v>
      </c>
      <c r="K62" s="6">
        <v>45122.79</v>
      </c>
      <c r="L62" s="7">
        <v>37000</v>
      </c>
      <c r="M62" s="7">
        <v>24000</v>
      </c>
      <c r="N62" s="6">
        <v>29652.12</v>
      </c>
      <c r="O62" s="7">
        <v>45</v>
      </c>
      <c r="P62" s="7">
        <v>48</v>
      </c>
      <c r="Q62" s="7">
        <v>36</v>
      </c>
      <c r="R62" s="8">
        <v>0.08500000000000001</v>
      </c>
      <c r="S62" s="8">
        <v>0.34</v>
      </c>
      <c r="T62" s="8">
        <v>0.012</v>
      </c>
      <c r="U62" s="8">
        <v>0.01</v>
      </c>
      <c r="V62" s="7">
        <v>22000</v>
      </c>
      <c r="W62" s="7">
        <v>0</v>
      </c>
      <c r="X62" s="7">
        <v>18000</v>
      </c>
      <c r="Y62" s="7">
        <v>0</v>
      </c>
    </row>
    <row r="63" spans="1:25">
      <c r="A63" s="5">
        <v>46054</v>
      </c>
      <c r="B63" t="s">
        <v>81</v>
      </c>
      <c r="C63" s="7">
        <v>638</v>
      </c>
      <c r="D63" s="7">
        <v>2065.736005015674</v>
      </c>
      <c r="E63" s="8">
        <v>0.66</v>
      </c>
      <c r="F63" s="8">
        <v>0.035</v>
      </c>
      <c r="G63" s="8">
        <v>0.023</v>
      </c>
      <c r="H63" s="6">
        <v>1317939.57</v>
      </c>
      <c r="I63" s="6">
        <v>869840.12</v>
      </c>
      <c r="J63" s="7">
        <v>125000</v>
      </c>
      <c r="K63" s="6">
        <v>46127.88</v>
      </c>
      <c r="L63" s="7">
        <v>37000</v>
      </c>
      <c r="M63" s="7">
        <v>24000</v>
      </c>
      <c r="N63" s="6">
        <v>30312.61</v>
      </c>
      <c r="O63" s="7">
        <v>45</v>
      </c>
      <c r="P63" s="7">
        <v>48</v>
      </c>
      <c r="Q63" s="7">
        <v>36</v>
      </c>
      <c r="R63" s="8">
        <v>0.08500000000000001</v>
      </c>
      <c r="S63" s="8">
        <v>0.34</v>
      </c>
      <c r="T63" s="8">
        <v>0.012</v>
      </c>
      <c r="U63" s="8">
        <v>0.01</v>
      </c>
      <c r="V63" s="7">
        <v>22000</v>
      </c>
      <c r="W63" s="7">
        <v>0</v>
      </c>
      <c r="X63" s="7">
        <v>18000</v>
      </c>
      <c r="Y63" s="7">
        <v>0</v>
      </c>
    </row>
    <row r="64" spans="1:25">
      <c r="A64" s="5">
        <v>46082</v>
      </c>
      <c r="B64" t="s">
        <v>81</v>
      </c>
      <c r="C64" s="7">
        <v>747</v>
      </c>
      <c r="D64" s="7">
        <v>2083.999263186078</v>
      </c>
      <c r="E64" s="8">
        <v>0.66</v>
      </c>
      <c r="F64" s="8">
        <v>0.035</v>
      </c>
      <c r="G64" s="8">
        <v>0.023</v>
      </c>
      <c r="H64" s="6">
        <v>1556747.45</v>
      </c>
      <c r="I64" s="6">
        <v>1027453.32</v>
      </c>
      <c r="J64" s="7">
        <v>125000</v>
      </c>
      <c r="K64" s="6">
        <v>54486.16</v>
      </c>
      <c r="L64" s="7">
        <v>37000</v>
      </c>
      <c r="M64" s="7">
        <v>24000</v>
      </c>
      <c r="N64" s="6">
        <v>35805.19</v>
      </c>
      <c r="O64" s="7">
        <v>45</v>
      </c>
      <c r="P64" s="7">
        <v>48</v>
      </c>
      <c r="Q64" s="7">
        <v>36</v>
      </c>
      <c r="R64" s="8">
        <v>0.08500000000000001</v>
      </c>
      <c r="S64" s="8">
        <v>0.34</v>
      </c>
      <c r="T64" s="8">
        <v>0.012</v>
      </c>
      <c r="U64" s="8">
        <v>0.01</v>
      </c>
      <c r="V64" s="7">
        <v>120000</v>
      </c>
      <c r="W64" s="7">
        <v>0</v>
      </c>
      <c r="X64" s="7">
        <v>18000</v>
      </c>
      <c r="Y64" s="7">
        <v>0</v>
      </c>
    </row>
    <row r="65" spans="1:25">
      <c r="A65" s="5">
        <v>46113</v>
      </c>
      <c r="B65" t="s">
        <v>81</v>
      </c>
      <c r="C65" s="7">
        <v>745</v>
      </c>
      <c r="D65" s="7">
        <v>2081.091122684564</v>
      </c>
      <c r="E65" s="8">
        <v>0.66</v>
      </c>
      <c r="F65" s="8">
        <v>0.035</v>
      </c>
      <c r="G65" s="8">
        <v>0.023</v>
      </c>
      <c r="H65" s="6">
        <v>1550412.89</v>
      </c>
      <c r="I65" s="6">
        <v>1023272.51</v>
      </c>
      <c r="J65" s="7">
        <v>125000</v>
      </c>
      <c r="K65" s="6">
        <v>54264.45</v>
      </c>
      <c r="L65" s="7">
        <v>37000</v>
      </c>
      <c r="M65" s="7">
        <v>24000</v>
      </c>
      <c r="N65" s="6">
        <v>35659.5</v>
      </c>
      <c r="O65" s="7">
        <v>45</v>
      </c>
      <c r="P65" s="7">
        <v>48</v>
      </c>
      <c r="Q65" s="7">
        <v>36</v>
      </c>
      <c r="R65" s="8">
        <v>0.08500000000000001</v>
      </c>
      <c r="S65" s="8">
        <v>0.34</v>
      </c>
      <c r="T65" s="8">
        <v>0.012</v>
      </c>
      <c r="U65" s="8">
        <v>0.01</v>
      </c>
      <c r="V65" s="7">
        <v>22000</v>
      </c>
      <c r="W65" s="7">
        <v>0</v>
      </c>
      <c r="X65" s="7">
        <v>18000</v>
      </c>
      <c r="Y65" s="7">
        <v>0</v>
      </c>
    </row>
    <row r="66" spans="1:25">
      <c r="A66" s="5">
        <v>46143</v>
      </c>
      <c r="B66" t="s">
        <v>81</v>
      </c>
      <c r="C66" s="7">
        <v>775</v>
      </c>
      <c r="D66" s="7">
        <v>2095.019294967742</v>
      </c>
      <c r="E66" s="8">
        <v>0.6599999999999999</v>
      </c>
      <c r="F66" s="8">
        <v>0.035</v>
      </c>
      <c r="G66" s="8">
        <v>0.023</v>
      </c>
      <c r="H66" s="6">
        <v>1623639.95</v>
      </c>
      <c r="I66" s="6">
        <v>1071602.37</v>
      </c>
      <c r="J66" s="7">
        <v>125000</v>
      </c>
      <c r="K66" s="6">
        <v>56827.4</v>
      </c>
      <c r="L66" s="7">
        <v>37000</v>
      </c>
      <c r="M66" s="7">
        <v>24000</v>
      </c>
      <c r="N66" s="6">
        <v>37343.72</v>
      </c>
      <c r="O66" s="7">
        <v>45</v>
      </c>
      <c r="P66" s="7">
        <v>48</v>
      </c>
      <c r="Q66" s="7">
        <v>36</v>
      </c>
      <c r="R66" s="8">
        <v>0.08500000000000001</v>
      </c>
      <c r="S66" s="8">
        <v>0.34</v>
      </c>
      <c r="T66" s="8">
        <v>0.012</v>
      </c>
      <c r="U66" s="8">
        <v>0.01</v>
      </c>
      <c r="V66" s="7">
        <v>22000</v>
      </c>
      <c r="W66" s="7">
        <v>0</v>
      </c>
      <c r="X66" s="7">
        <v>18000</v>
      </c>
      <c r="Y66" s="7">
        <v>0</v>
      </c>
    </row>
    <row r="67" spans="1:25">
      <c r="A67" s="5">
        <v>46174</v>
      </c>
      <c r="B67" t="s">
        <v>81</v>
      </c>
      <c r="C67" s="7">
        <v>798</v>
      </c>
      <c r="D67" s="7">
        <v>2064.787326315789</v>
      </c>
      <c r="E67" s="8">
        <v>0.66</v>
      </c>
      <c r="F67" s="8">
        <v>0.035</v>
      </c>
      <c r="G67" s="8">
        <v>0.023</v>
      </c>
      <c r="H67" s="6">
        <v>1647700.29</v>
      </c>
      <c r="I67" s="6">
        <v>1087482.19</v>
      </c>
      <c r="J67" s="7">
        <v>125000</v>
      </c>
      <c r="K67" s="6">
        <v>57669.51</v>
      </c>
      <c r="L67" s="7">
        <v>37000</v>
      </c>
      <c r="M67" s="7">
        <v>24000</v>
      </c>
      <c r="N67" s="6">
        <v>37897.11</v>
      </c>
      <c r="O67" s="7">
        <v>45</v>
      </c>
      <c r="P67" s="7">
        <v>48</v>
      </c>
      <c r="Q67" s="7">
        <v>36</v>
      </c>
      <c r="R67" s="8">
        <v>0.08500000000000001</v>
      </c>
      <c r="S67" s="8">
        <v>0.34</v>
      </c>
      <c r="T67" s="8">
        <v>0.012</v>
      </c>
      <c r="U67" s="8">
        <v>0.01</v>
      </c>
      <c r="V67" s="7">
        <v>120000</v>
      </c>
      <c r="W67" s="7">
        <v>0</v>
      </c>
      <c r="X67" s="7">
        <v>18000</v>
      </c>
      <c r="Y67" s="7">
        <v>0</v>
      </c>
    </row>
    <row r="68" spans="1:25">
      <c r="A68" s="5">
        <v>46204</v>
      </c>
      <c r="B68" t="s">
        <v>81</v>
      </c>
      <c r="C68" s="7">
        <v>705</v>
      </c>
      <c r="D68" s="7">
        <v>1917.99996822695</v>
      </c>
      <c r="E68" s="8">
        <v>0.66</v>
      </c>
      <c r="F68" s="8">
        <v>0.035</v>
      </c>
      <c r="G68" s="8">
        <v>0.023</v>
      </c>
      <c r="H68" s="6">
        <v>1352189.98</v>
      </c>
      <c r="I68" s="6">
        <v>892445.39</v>
      </c>
      <c r="J68" s="7">
        <v>125000</v>
      </c>
      <c r="K68" s="6">
        <v>47326.65</v>
      </c>
      <c r="L68" s="7">
        <v>37000</v>
      </c>
      <c r="M68" s="7">
        <v>24000</v>
      </c>
      <c r="N68" s="6">
        <v>31100.37</v>
      </c>
      <c r="O68" s="7">
        <v>45</v>
      </c>
      <c r="P68" s="7">
        <v>48</v>
      </c>
      <c r="Q68" s="7">
        <v>36</v>
      </c>
      <c r="R68" s="8">
        <v>0.08500000000000001</v>
      </c>
      <c r="S68" s="8">
        <v>0.34</v>
      </c>
      <c r="T68" s="8">
        <v>0.012</v>
      </c>
      <c r="U68" s="8">
        <v>0.01</v>
      </c>
      <c r="V68" s="7">
        <v>22000</v>
      </c>
      <c r="W68" s="7">
        <v>0</v>
      </c>
      <c r="X68" s="7">
        <v>18000</v>
      </c>
      <c r="Y68" s="7">
        <v>0</v>
      </c>
    </row>
    <row r="69" spans="1:25">
      <c r="A69" s="5">
        <v>46235</v>
      </c>
      <c r="B69" t="s">
        <v>81</v>
      </c>
      <c r="C69" s="7">
        <v>767</v>
      </c>
      <c r="D69" s="7">
        <v>1896.326233116037</v>
      </c>
      <c r="E69" s="8">
        <v>0.66</v>
      </c>
      <c r="F69" s="8">
        <v>0.035</v>
      </c>
      <c r="G69" s="8">
        <v>0.023</v>
      </c>
      <c r="H69" s="6">
        <v>1454482.22</v>
      </c>
      <c r="I69" s="6">
        <v>959958.27</v>
      </c>
      <c r="J69" s="7">
        <v>125000</v>
      </c>
      <c r="K69" s="6">
        <v>50906.88</v>
      </c>
      <c r="L69" s="7">
        <v>37000</v>
      </c>
      <c r="M69" s="7">
        <v>24000</v>
      </c>
      <c r="N69" s="6">
        <v>33453.09</v>
      </c>
      <c r="O69" s="7">
        <v>45</v>
      </c>
      <c r="P69" s="7">
        <v>48</v>
      </c>
      <c r="Q69" s="7">
        <v>36</v>
      </c>
      <c r="R69" s="8">
        <v>0.08500000000000001</v>
      </c>
      <c r="S69" s="8">
        <v>0.34</v>
      </c>
      <c r="T69" s="8">
        <v>0.012</v>
      </c>
      <c r="U69" s="8">
        <v>0.01</v>
      </c>
      <c r="V69" s="7">
        <v>22000</v>
      </c>
      <c r="W69" s="7">
        <v>0</v>
      </c>
      <c r="X69" s="7">
        <v>18000</v>
      </c>
      <c r="Y69" s="7">
        <v>0</v>
      </c>
    </row>
    <row r="70" spans="1:25">
      <c r="A70" s="5">
        <v>46266</v>
      </c>
      <c r="B70" t="s">
        <v>81</v>
      </c>
      <c r="C70" s="7">
        <v>798</v>
      </c>
      <c r="D70" s="7">
        <v>1944.296631578948</v>
      </c>
      <c r="E70" s="8">
        <v>0.66</v>
      </c>
      <c r="F70" s="8">
        <v>0.035</v>
      </c>
      <c r="G70" s="8">
        <v>0.023</v>
      </c>
      <c r="H70" s="6">
        <v>1551548.71</v>
      </c>
      <c r="I70" s="6">
        <v>1024022.15</v>
      </c>
      <c r="J70" s="7">
        <v>125000</v>
      </c>
      <c r="K70" s="6">
        <v>54304.2</v>
      </c>
      <c r="L70" s="7">
        <v>37000</v>
      </c>
      <c r="M70" s="7">
        <v>24000</v>
      </c>
      <c r="N70" s="6">
        <v>35685.62</v>
      </c>
      <c r="O70" s="7">
        <v>45</v>
      </c>
      <c r="P70" s="7">
        <v>48</v>
      </c>
      <c r="Q70" s="7">
        <v>36</v>
      </c>
      <c r="R70" s="8">
        <v>0.08500000000000001</v>
      </c>
      <c r="S70" s="8">
        <v>0.34</v>
      </c>
      <c r="T70" s="8">
        <v>0.012</v>
      </c>
      <c r="U70" s="8">
        <v>0.01</v>
      </c>
      <c r="V70" s="7">
        <v>120000</v>
      </c>
      <c r="W70" s="7">
        <v>0</v>
      </c>
      <c r="X70" s="7">
        <v>18000</v>
      </c>
      <c r="Y70" s="7">
        <v>0</v>
      </c>
    </row>
    <row r="71" spans="1:25">
      <c r="A71" s="5">
        <v>46296</v>
      </c>
      <c r="B71" t="s">
        <v>81</v>
      </c>
      <c r="C71" s="7">
        <v>863</v>
      </c>
      <c r="D71" s="7">
        <v>2019.359857242179</v>
      </c>
      <c r="E71" s="8">
        <v>0.6599999999999999</v>
      </c>
      <c r="F71" s="8">
        <v>0.035</v>
      </c>
      <c r="G71" s="8">
        <v>0.023</v>
      </c>
      <c r="H71" s="6">
        <v>1742707.56</v>
      </c>
      <c r="I71" s="6">
        <v>1150186.99</v>
      </c>
      <c r="J71" s="7">
        <v>125000</v>
      </c>
      <c r="K71" s="6">
        <v>60994.76</v>
      </c>
      <c r="L71" s="7">
        <v>37000</v>
      </c>
      <c r="M71" s="7">
        <v>24000</v>
      </c>
      <c r="N71" s="6">
        <v>40082.27</v>
      </c>
      <c r="O71" s="7">
        <v>45</v>
      </c>
      <c r="P71" s="7">
        <v>48</v>
      </c>
      <c r="Q71" s="7">
        <v>36</v>
      </c>
      <c r="R71" s="8">
        <v>0.08500000000000001</v>
      </c>
      <c r="S71" s="8">
        <v>0.34</v>
      </c>
      <c r="T71" s="8">
        <v>0.012</v>
      </c>
      <c r="U71" s="8">
        <v>0.01</v>
      </c>
      <c r="V71" s="7">
        <v>22000</v>
      </c>
      <c r="W71" s="7">
        <v>0</v>
      </c>
      <c r="X71" s="7">
        <v>18000</v>
      </c>
      <c r="Y71" s="7">
        <v>0</v>
      </c>
    </row>
    <row r="72" spans="1:25">
      <c r="A72" s="5">
        <v>46327</v>
      </c>
      <c r="B72" t="s">
        <v>81</v>
      </c>
      <c r="C72" s="7">
        <v>976</v>
      </c>
      <c r="D72" s="7">
        <v>2093.590662295082</v>
      </c>
      <c r="E72" s="8">
        <v>0.6599999999999999</v>
      </c>
      <c r="F72" s="8">
        <v>0.035</v>
      </c>
      <c r="G72" s="8">
        <v>0.023</v>
      </c>
      <c r="H72" s="6">
        <v>2043344.49</v>
      </c>
      <c r="I72" s="6">
        <v>1348607.36</v>
      </c>
      <c r="J72" s="7">
        <v>125000</v>
      </c>
      <c r="K72" s="6">
        <v>71517.06</v>
      </c>
      <c r="L72" s="7">
        <v>37000</v>
      </c>
      <c r="M72" s="7">
        <v>24000</v>
      </c>
      <c r="N72" s="6">
        <v>46996.92</v>
      </c>
      <c r="O72" s="7">
        <v>45</v>
      </c>
      <c r="P72" s="7">
        <v>48</v>
      </c>
      <c r="Q72" s="7">
        <v>36</v>
      </c>
      <c r="R72" s="8">
        <v>0.08500000000000001</v>
      </c>
      <c r="S72" s="8">
        <v>0.34</v>
      </c>
      <c r="T72" s="8">
        <v>0.012</v>
      </c>
      <c r="U72" s="8">
        <v>0.01</v>
      </c>
      <c r="V72" s="7">
        <v>22000</v>
      </c>
      <c r="W72" s="7">
        <v>0</v>
      </c>
      <c r="X72" s="7">
        <v>18000</v>
      </c>
      <c r="Y72" s="7">
        <v>0</v>
      </c>
    </row>
    <row r="73" spans="1:25">
      <c r="A73" s="5">
        <v>46357</v>
      </c>
      <c r="B73" t="s">
        <v>81</v>
      </c>
      <c r="C73" s="7">
        <v>897</v>
      </c>
      <c r="D73" s="7">
        <v>2116.542886956522</v>
      </c>
      <c r="E73" s="8">
        <v>0.66</v>
      </c>
      <c r="F73" s="8">
        <v>0.035</v>
      </c>
      <c r="G73" s="8">
        <v>0.023</v>
      </c>
      <c r="H73" s="6">
        <v>1898538.97</v>
      </c>
      <c r="I73" s="6">
        <v>1253035.72</v>
      </c>
      <c r="J73" s="7">
        <v>125000</v>
      </c>
      <c r="K73" s="6">
        <v>66448.86</v>
      </c>
      <c r="L73" s="7">
        <v>37000</v>
      </c>
      <c r="M73" s="7">
        <v>24000</v>
      </c>
      <c r="N73" s="6">
        <v>43666.4</v>
      </c>
      <c r="O73" s="7">
        <v>45</v>
      </c>
      <c r="P73" s="7">
        <v>48</v>
      </c>
      <c r="Q73" s="7">
        <v>36</v>
      </c>
      <c r="R73" s="8">
        <v>0.08500000000000001</v>
      </c>
      <c r="S73" s="8">
        <v>0.34</v>
      </c>
      <c r="T73" s="8">
        <v>0.012</v>
      </c>
      <c r="U73" s="8">
        <v>0.01</v>
      </c>
      <c r="V73" s="7">
        <v>120000</v>
      </c>
      <c r="W73" s="7">
        <v>0</v>
      </c>
      <c r="X73" s="7">
        <v>18000</v>
      </c>
      <c r="Y73" s="7">
        <v>0</v>
      </c>
    </row>
    <row r="74" spans="1:25">
      <c r="A74" s="5">
        <v>46023</v>
      </c>
      <c r="B74" t="s">
        <v>82</v>
      </c>
      <c r="C74" s="7">
        <v>609</v>
      </c>
      <c r="D74" s="7">
        <v>2305.963247619047</v>
      </c>
      <c r="E74" s="8">
        <v>0.644</v>
      </c>
      <c r="F74" s="8">
        <v>0.035</v>
      </c>
      <c r="G74" s="8">
        <v>0.023</v>
      </c>
      <c r="H74" s="6">
        <v>1404331.62</v>
      </c>
      <c r="I74" s="6">
        <v>904389.5600000001</v>
      </c>
      <c r="J74" s="7">
        <v>125000</v>
      </c>
      <c r="K74" s="6">
        <v>49151.61</v>
      </c>
      <c r="L74" s="7">
        <v>37000</v>
      </c>
      <c r="M74" s="7">
        <v>24000</v>
      </c>
      <c r="N74" s="6">
        <v>32299.63</v>
      </c>
      <c r="O74" s="7">
        <v>38</v>
      </c>
      <c r="P74" s="7">
        <v>42</v>
      </c>
      <c r="Q74" s="7">
        <v>38</v>
      </c>
      <c r="R74" s="8">
        <v>0.08500000000000001</v>
      </c>
      <c r="S74" s="8">
        <v>0.34</v>
      </c>
      <c r="T74" s="8">
        <v>0.012</v>
      </c>
      <c r="U74" s="8">
        <v>0.01</v>
      </c>
      <c r="V74" s="7">
        <v>22000</v>
      </c>
      <c r="W74" s="7">
        <v>0</v>
      </c>
      <c r="X74" s="7">
        <v>18000</v>
      </c>
      <c r="Y74" s="7">
        <v>0</v>
      </c>
    </row>
    <row r="75" spans="1:25">
      <c r="A75" s="5">
        <v>46054</v>
      </c>
      <c r="B75" t="s">
        <v>82</v>
      </c>
      <c r="C75" s="7">
        <v>638</v>
      </c>
      <c r="D75" s="7">
        <v>2250.176719749216</v>
      </c>
      <c r="E75" s="8">
        <v>0.644</v>
      </c>
      <c r="F75" s="8">
        <v>0.035</v>
      </c>
      <c r="G75" s="8">
        <v>0.023</v>
      </c>
      <c r="H75" s="6">
        <v>1435612.75</v>
      </c>
      <c r="I75" s="6">
        <v>924534.61</v>
      </c>
      <c r="J75" s="7">
        <v>125000</v>
      </c>
      <c r="K75" s="6">
        <v>50246.45</v>
      </c>
      <c r="L75" s="7">
        <v>37000</v>
      </c>
      <c r="M75" s="7">
        <v>24000</v>
      </c>
      <c r="N75" s="6">
        <v>33019.09</v>
      </c>
      <c r="O75" s="7">
        <v>38</v>
      </c>
      <c r="P75" s="7">
        <v>42</v>
      </c>
      <c r="Q75" s="7">
        <v>38</v>
      </c>
      <c r="R75" s="8">
        <v>0.08500000000000001</v>
      </c>
      <c r="S75" s="8">
        <v>0.34</v>
      </c>
      <c r="T75" s="8">
        <v>0.012</v>
      </c>
      <c r="U75" s="8">
        <v>0.01</v>
      </c>
      <c r="V75" s="7">
        <v>22000</v>
      </c>
      <c r="W75" s="7">
        <v>0</v>
      </c>
      <c r="X75" s="7">
        <v>18000</v>
      </c>
      <c r="Y75" s="7">
        <v>0</v>
      </c>
    </row>
    <row r="76" spans="1:25">
      <c r="A76" s="5">
        <v>46082</v>
      </c>
      <c r="B76" t="s">
        <v>82</v>
      </c>
      <c r="C76" s="7">
        <v>747</v>
      </c>
      <c r="D76" s="7">
        <v>2270.070625970549</v>
      </c>
      <c r="E76" s="8">
        <v>0.644</v>
      </c>
      <c r="F76" s="8">
        <v>0.035</v>
      </c>
      <c r="G76" s="8">
        <v>0.023</v>
      </c>
      <c r="H76" s="6">
        <v>1695742.76</v>
      </c>
      <c r="I76" s="6">
        <v>1092058.34</v>
      </c>
      <c r="J76" s="7">
        <v>125000</v>
      </c>
      <c r="K76" s="6">
        <v>59351</v>
      </c>
      <c r="L76" s="7">
        <v>37000</v>
      </c>
      <c r="M76" s="7">
        <v>24000</v>
      </c>
      <c r="N76" s="6">
        <v>39002.08</v>
      </c>
      <c r="O76" s="7">
        <v>38</v>
      </c>
      <c r="P76" s="7">
        <v>42</v>
      </c>
      <c r="Q76" s="7">
        <v>38</v>
      </c>
      <c r="R76" s="8">
        <v>0.08500000000000001</v>
      </c>
      <c r="S76" s="8">
        <v>0.34</v>
      </c>
      <c r="T76" s="8">
        <v>0.012</v>
      </c>
      <c r="U76" s="8">
        <v>0.01</v>
      </c>
      <c r="V76" s="7">
        <v>120000</v>
      </c>
      <c r="W76" s="7">
        <v>0</v>
      </c>
      <c r="X76" s="7">
        <v>18000</v>
      </c>
      <c r="Y76" s="7">
        <v>0</v>
      </c>
    </row>
    <row r="77" spans="1:25">
      <c r="A77" s="5">
        <v>46113</v>
      </c>
      <c r="B77" t="s">
        <v>82</v>
      </c>
      <c r="C77" s="7">
        <v>745</v>
      </c>
      <c r="D77" s="7">
        <v>2266.902830067114</v>
      </c>
      <c r="E77" s="8">
        <v>0.644</v>
      </c>
      <c r="F77" s="8">
        <v>0.035</v>
      </c>
      <c r="G77" s="8">
        <v>0.023</v>
      </c>
      <c r="H77" s="6">
        <v>1688842.61</v>
      </c>
      <c r="I77" s="6">
        <v>1087614.64</v>
      </c>
      <c r="J77" s="7">
        <v>125000</v>
      </c>
      <c r="K77" s="6">
        <v>59109.49</v>
      </c>
      <c r="L77" s="7">
        <v>37000</v>
      </c>
      <c r="M77" s="7">
        <v>24000</v>
      </c>
      <c r="N77" s="6">
        <v>38843.38</v>
      </c>
      <c r="O77" s="7">
        <v>38</v>
      </c>
      <c r="P77" s="7">
        <v>42</v>
      </c>
      <c r="Q77" s="7">
        <v>38</v>
      </c>
      <c r="R77" s="8">
        <v>0.08500000000000001</v>
      </c>
      <c r="S77" s="8">
        <v>0.34</v>
      </c>
      <c r="T77" s="8">
        <v>0.012</v>
      </c>
      <c r="U77" s="8">
        <v>0.01</v>
      </c>
      <c r="V77" s="7">
        <v>22000</v>
      </c>
      <c r="W77" s="7">
        <v>0</v>
      </c>
      <c r="X77" s="7">
        <v>18000</v>
      </c>
      <c r="Y77" s="7">
        <v>0</v>
      </c>
    </row>
    <row r="78" spans="1:25">
      <c r="A78" s="5">
        <v>46143</v>
      </c>
      <c r="B78" t="s">
        <v>82</v>
      </c>
      <c r="C78" s="7">
        <v>775</v>
      </c>
      <c r="D78" s="7">
        <v>2282.074589161291</v>
      </c>
      <c r="E78" s="8">
        <v>0.644</v>
      </c>
      <c r="F78" s="8">
        <v>0.035</v>
      </c>
      <c r="G78" s="8">
        <v>0.023</v>
      </c>
      <c r="H78" s="6">
        <v>1768607.81</v>
      </c>
      <c r="I78" s="6">
        <v>1138983.43</v>
      </c>
      <c r="J78" s="7">
        <v>125000</v>
      </c>
      <c r="K78" s="6">
        <v>61901.27</v>
      </c>
      <c r="L78" s="7">
        <v>37000</v>
      </c>
      <c r="M78" s="7">
        <v>24000</v>
      </c>
      <c r="N78" s="6">
        <v>40677.98</v>
      </c>
      <c r="O78" s="7">
        <v>38</v>
      </c>
      <c r="P78" s="7">
        <v>42</v>
      </c>
      <c r="Q78" s="7">
        <v>38</v>
      </c>
      <c r="R78" s="8">
        <v>0.08500000000000001</v>
      </c>
      <c r="S78" s="8">
        <v>0.34</v>
      </c>
      <c r="T78" s="8">
        <v>0.012</v>
      </c>
      <c r="U78" s="8">
        <v>0.01</v>
      </c>
      <c r="V78" s="7">
        <v>22000</v>
      </c>
      <c r="W78" s="7">
        <v>0</v>
      </c>
      <c r="X78" s="7">
        <v>18000</v>
      </c>
      <c r="Y78" s="7">
        <v>0</v>
      </c>
    </row>
    <row r="79" spans="1:25">
      <c r="A79" s="5">
        <v>46174</v>
      </c>
      <c r="B79" t="s">
        <v>82</v>
      </c>
      <c r="C79" s="7">
        <v>798</v>
      </c>
      <c r="D79" s="7">
        <v>2249.143337593985</v>
      </c>
      <c r="E79" s="8">
        <v>0.644</v>
      </c>
      <c r="F79" s="8">
        <v>0.035</v>
      </c>
      <c r="G79" s="8">
        <v>0.023</v>
      </c>
      <c r="H79" s="6">
        <v>1794816.38</v>
      </c>
      <c r="I79" s="6">
        <v>1155861.75</v>
      </c>
      <c r="J79" s="7">
        <v>125000</v>
      </c>
      <c r="K79" s="6">
        <v>62818.57</v>
      </c>
      <c r="L79" s="7">
        <v>37000</v>
      </c>
      <c r="M79" s="7">
        <v>24000</v>
      </c>
      <c r="N79" s="6">
        <v>41280.78</v>
      </c>
      <c r="O79" s="7">
        <v>38</v>
      </c>
      <c r="P79" s="7">
        <v>42</v>
      </c>
      <c r="Q79" s="7">
        <v>38</v>
      </c>
      <c r="R79" s="8">
        <v>0.08500000000000001</v>
      </c>
      <c r="S79" s="8">
        <v>0.34</v>
      </c>
      <c r="T79" s="8">
        <v>0.012</v>
      </c>
      <c r="U79" s="8">
        <v>0.01</v>
      </c>
      <c r="V79" s="7">
        <v>120000</v>
      </c>
      <c r="W79" s="7">
        <v>0</v>
      </c>
      <c r="X79" s="7">
        <v>18000</v>
      </c>
      <c r="Y79" s="7">
        <v>0</v>
      </c>
    </row>
    <row r="80" spans="1:25">
      <c r="A80" s="5">
        <v>46204</v>
      </c>
      <c r="B80" t="s">
        <v>82</v>
      </c>
      <c r="C80" s="7">
        <v>705</v>
      </c>
      <c r="D80" s="7">
        <v>2089.249965390071</v>
      </c>
      <c r="E80" s="8">
        <v>0.644</v>
      </c>
      <c r="F80" s="8">
        <v>0.035</v>
      </c>
      <c r="G80" s="8">
        <v>0.023</v>
      </c>
      <c r="H80" s="6">
        <v>1472921.23</v>
      </c>
      <c r="I80" s="6">
        <v>948561.27</v>
      </c>
      <c r="J80" s="7">
        <v>125000</v>
      </c>
      <c r="K80" s="6">
        <v>51552.24</v>
      </c>
      <c r="L80" s="7">
        <v>37000</v>
      </c>
      <c r="M80" s="7">
        <v>24000</v>
      </c>
      <c r="N80" s="6">
        <v>33877.19</v>
      </c>
      <c r="O80" s="7">
        <v>38</v>
      </c>
      <c r="P80" s="7">
        <v>42</v>
      </c>
      <c r="Q80" s="7">
        <v>38</v>
      </c>
      <c r="R80" s="8">
        <v>0.08500000000000001</v>
      </c>
      <c r="S80" s="8">
        <v>0.34</v>
      </c>
      <c r="T80" s="8">
        <v>0.012</v>
      </c>
      <c r="U80" s="8">
        <v>0.01</v>
      </c>
      <c r="V80" s="7">
        <v>22000</v>
      </c>
      <c r="W80" s="7">
        <v>0</v>
      </c>
      <c r="X80" s="7">
        <v>18000</v>
      </c>
      <c r="Y80" s="7">
        <v>0</v>
      </c>
    </row>
    <row r="81" spans="1:25">
      <c r="A81" s="5">
        <v>46235</v>
      </c>
      <c r="B81" t="s">
        <v>82</v>
      </c>
      <c r="C81" s="7">
        <v>767</v>
      </c>
      <c r="D81" s="7">
        <v>2065.64107535854</v>
      </c>
      <c r="E81" s="8">
        <v>0.644</v>
      </c>
      <c r="F81" s="8">
        <v>0.035</v>
      </c>
      <c r="G81" s="8">
        <v>0.023</v>
      </c>
      <c r="H81" s="6">
        <v>1584346.7</v>
      </c>
      <c r="I81" s="6">
        <v>1020319.28</v>
      </c>
      <c r="J81" s="7">
        <v>125000</v>
      </c>
      <c r="K81" s="6">
        <v>55452.13</v>
      </c>
      <c r="L81" s="7">
        <v>37000</v>
      </c>
      <c r="M81" s="7">
        <v>24000</v>
      </c>
      <c r="N81" s="6">
        <v>36439.97</v>
      </c>
      <c r="O81" s="7">
        <v>38</v>
      </c>
      <c r="P81" s="7">
        <v>42</v>
      </c>
      <c r="Q81" s="7">
        <v>38</v>
      </c>
      <c r="R81" s="8">
        <v>0.08500000000000001</v>
      </c>
      <c r="S81" s="8">
        <v>0.34</v>
      </c>
      <c r="T81" s="8">
        <v>0.012</v>
      </c>
      <c r="U81" s="8">
        <v>0.01</v>
      </c>
      <c r="V81" s="7">
        <v>22000</v>
      </c>
      <c r="W81" s="7">
        <v>0</v>
      </c>
      <c r="X81" s="7">
        <v>18000</v>
      </c>
      <c r="Y81" s="7">
        <v>0</v>
      </c>
    </row>
    <row r="82" spans="1:25">
      <c r="A82" s="5">
        <v>46266</v>
      </c>
      <c r="B82" t="s">
        <v>82</v>
      </c>
      <c r="C82" s="7">
        <v>798</v>
      </c>
      <c r="D82" s="7">
        <v>2117.894545112782</v>
      </c>
      <c r="E82" s="8">
        <v>0.644</v>
      </c>
      <c r="F82" s="8">
        <v>0.035</v>
      </c>
      <c r="G82" s="8">
        <v>0.023</v>
      </c>
      <c r="H82" s="6">
        <v>1690079.85</v>
      </c>
      <c r="I82" s="6">
        <v>1088411.42</v>
      </c>
      <c r="J82" s="7">
        <v>125000</v>
      </c>
      <c r="K82" s="6">
        <v>59152.79</v>
      </c>
      <c r="L82" s="7">
        <v>37000</v>
      </c>
      <c r="M82" s="7">
        <v>24000</v>
      </c>
      <c r="N82" s="6">
        <v>38871.84</v>
      </c>
      <c r="O82" s="7">
        <v>38</v>
      </c>
      <c r="P82" s="7">
        <v>42</v>
      </c>
      <c r="Q82" s="7">
        <v>38</v>
      </c>
      <c r="R82" s="8">
        <v>0.08500000000000001</v>
      </c>
      <c r="S82" s="8">
        <v>0.34</v>
      </c>
      <c r="T82" s="8">
        <v>0.012</v>
      </c>
      <c r="U82" s="8">
        <v>0.01</v>
      </c>
      <c r="V82" s="7">
        <v>120000</v>
      </c>
      <c r="W82" s="7">
        <v>0</v>
      </c>
      <c r="X82" s="7">
        <v>18000</v>
      </c>
      <c r="Y82" s="7">
        <v>0</v>
      </c>
    </row>
    <row r="83" spans="1:25">
      <c r="A83" s="5">
        <v>46296</v>
      </c>
      <c r="B83" t="s">
        <v>82</v>
      </c>
      <c r="C83" s="7">
        <v>863</v>
      </c>
      <c r="D83" s="7">
        <v>2199.659844495945</v>
      </c>
      <c r="E83" s="8">
        <v>0.644</v>
      </c>
      <c r="F83" s="8">
        <v>0.035</v>
      </c>
      <c r="G83" s="8">
        <v>0.023</v>
      </c>
      <c r="H83" s="6">
        <v>1898306.45</v>
      </c>
      <c r="I83" s="6">
        <v>1222509.35</v>
      </c>
      <c r="J83" s="7">
        <v>125000</v>
      </c>
      <c r="K83" s="6">
        <v>66440.73</v>
      </c>
      <c r="L83" s="7">
        <v>37000</v>
      </c>
      <c r="M83" s="7">
        <v>24000</v>
      </c>
      <c r="N83" s="6">
        <v>43661.05</v>
      </c>
      <c r="O83" s="7">
        <v>38</v>
      </c>
      <c r="P83" s="7">
        <v>42</v>
      </c>
      <c r="Q83" s="7">
        <v>38</v>
      </c>
      <c r="R83" s="8">
        <v>0.08500000000000001</v>
      </c>
      <c r="S83" s="8">
        <v>0.34</v>
      </c>
      <c r="T83" s="8">
        <v>0.012</v>
      </c>
      <c r="U83" s="8">
        <v>0.01</v>
      </c>
      <c r="V83" s="7">
        <v>22000</v>
      </c>
      <c r="W83" s="7">
        <v>0</v>
      </c>
      <c r="X83" s="7">
        <v>18000</v>
      </c>
      <c r="Y83" s="7">
        <v>0</v>
      </c>
    </row>
    <row r="84" spans="1:25">
      <c r="A84" s="5">
        <v>46327</v>
      </c>
      <c r="B84" t="s">
        <v>82</v>
      </c>
      <c r="C84" s="7">
        <v>976</v>
      </c>
      <c r="D84" s="7">
        <v>2280.5184</v>
      </c>
      <c r="E84" s="8">
        <v>0.644</v>
      </c>
      <c r="F84" s="8">
        <v>0.035</v>
      </c>
      <c r="G84" s="8">
        <v>0.023</v>
      </c>
      <c r="H84" s="6">
        <v>2225785.96</v>
      </c>
      <c r="I84" s="6">
        <v>1433406.16</v>
      </c>
      <c r="J84" s="7">
        <v>125000</v>
      </c>
      <c r="K84" s="6">
        <v>77902.50999999999</v>
      </c>
      <c r="L84" s="7">
        <v>37000</v>
      </c>
      <c r="M84" s="7">
        <v>24000</v>
      </c>
      <c r="N84" s="6">
        <v>51193.08</v>
      </c>
      <c r="O84" s="7">
        <v>38</v>
      </c>
      <c r="P84" s="7">
        <v>42</v>
      </c>
      <c r="Q84" s="7">
        <v>38</v>
      </c>
      <c r="R84" s="8">
        <v>0.08500000000000001</v>
      </c>
      <c r="S84" s="8">
        <v>0.34</v>
      </c>
      <c r="T84" s="8">
        <v>0.012</v>
      </c>
      <c r="U84" s="8">
        <v>0.01</v>
      </c>
      <c r="V84" s="7">
        <v>22000</v>
      </c>
      <c r="W84" s="7">
        <v>0</v>
      </c>
      <c r="X84" s="7">
        <v>18000</v>
      </c>
      <c r="Y84" s="7">
        <v>0</v>
      </c>
    </row>
    <row r="85" spans="1:25">
      <c r="A85" s="5">
        <v>46357</v>
      </c>
      <c r="B85" t="s">
        <v>82</v>
      </c>
      <c r="C85" s="7">
        <v>897</v>
      </c>
      <c r="D85" s="7">
        <v>2305.519930434783</v>
      </c>
      <c r="E85" s="8">
        <v>0.644</v>
      </c>
      <c r="F85" s="8">
        <v>0.035</v>
      </c>
      <c r="G85" s="8">
        <v>0.023</v>
      </c>
      <c r="H85" s="6">
        <v>2068051.38</v>
      </c>
      <c r="I85" s="6">
        <v>1331825.09</v>
      </c>
      <c r="J85" s="7">
        <v>125000</v>
      </c>
      <c r="K85" s="6">
        <v>72381.8</v>
      </c>
      <c r="L85" s="7">
        <v>37000</v>
      </c>
      <c r="M85" s="7">
        <v>24000</v>
      </c>
      <c r="N85" s="6">
        <v>47565.18</v>
      </c>
      <c r="O85" s="7">
        <v>38</v>
      </c>
      <c r="P85" s="7">
        <v>42</v>
      </c>
      <c r="Q85" s="7">
        <v>38</v>
      </c>
      <c r="R85" s="8">
        <v>0.08500000000000001</v>
      </c>
      <c r="S85" s="8">
        <v>0.34</v>
      </c>
      <c r="T85" s="8">
        <v>0.012</v>
      </c>
      <c r="U85" s="8">
        <v>0.01</v>
      </c>
      <c r="V85" s="7">
        <v>120000</v>
      </c>
      <c r="W85" s="7">
        <v>0</v>
      </c>
      <c r="X85" s="7">
        <v>18000</v>
      </c>
      <c r="Y85" s="7">
        <v>0</v>
      </c>
    </row>
    <row r="86" spans="1:25">
      <c r="A86" s="5">
        <v>46023</v>
      </c>
      <c r="B86" t="s">
        <v>83</v>
      </c>
      <c r="C86" s="7">
        <v>609</v>
      </c>
      <c r="D86" s="7">
        <v>1776.725780952381</v>
      </c>
      <c r="E86" s="8">
        <v>0.701</v>
      </c>
      <c r="F86" s="8">
        <v>0.035</v>
      </c>
      <c r="G86" s="8">
        <v>0.023</v>
      </c>
      <c r="H86" s="6">
        <v>1082026</v>
      </c>
      <c r="I86" s="6">
        <v>758500.23</v>
      </c>
      <c r="J86" s="7">
        <v>125000</v>
      </c>
      <c r="K86" s="6">
        <v>37870.91</v>
      </c>
      <c r="L86" s="7">
        <v>37000</v>
      </c>
      <c r="M86" s="7">
        <v>24000</v>
      </c>
      <c r="N86" s="6">
        <v>24886.6</v>
      </c>
      <c r="O86" s="7">
        <v>65</v>
      </c>
      <c r="P86" s="7">
        <v>68</v>
      </c>
      <c r="Q86" s="7">
        <v>30</v>
      </c>
      <c r="R86" s="8">
        <v>0.08500000000000001</v>
      </c>
      <c r="S86" s="8">
        <v>0.34</v>
      </c>
      <c r="T86" s="8">
        <v>0.012</v>
      </c>
      <c r="U86" s="8">
        <v>0.01</v>
      </c>
      <c r="V86" s="7">
        <v>22000</v>
      </c>
      <c r="W86" s="7">
        <v>0</v>
      </c>
      <c r="X86" s="7">
        <v>18000</v>
      </c>
      <c r="Y86" s="7">
        <v>0</v>
      </c>
    </row>
    <row r="87" spans="1:25">
      <c r="A87" s="5">
        <v>46054</v>
      </c>
      <c r="B87" t="s">
        <v>83</v>
      </c>
      <c r="C87" s="7">
        <v>638</v>
      </c>
      <c r="D87" s="7">
        <v>1733.742718495298</v>
      </c>
      <c r="E87" s="8">
        <v>0.701</v>
      </c>
      <c r="F87" s="8">
        <v>0.035</v>
      </c>
      <c r="G87" s="8">
        <v>0.023</v>
      </c>
      <c r="H87" s="6">
        <v>1106127.85</v>
      </c>
      <c r="I87" s="6">
        <v>775395.63</v>
      </c>
      <c r="J87" s="7">
        <v>125000</v>
      </c>
      <c r="K87" s="6">
        <v>38714.47</v>
      </c>
      <c r="L87" s="7">
        <v>37000</v>
      </c>
      <c r="M87" s="7">
        <v>24000</v>
      </c>
      <c r="N87" s="6">
        <v>25440.94</v>
      </c>
      <c r="O87" s="7">
        <v>65</v>
      </c>
      <c r="P87" s="7">
        <v>68</v>
      </c>
      <c r="Q87" s="7">
        <v>30</v>
      </c>
      <c r="R87" s="8">
        <v>0.08500000000000001</v>
      </c>
      <c r="S87" s="8">
        <v>0.34</v>
      </c>
      <c r="T87" s="8">
        <v>0.012</v>
      </c>
      <c r="U87" s="8">
        <v>0.01</v>
      </c>
      <c r="V87" s="7">
        <v>22000</v>
      </c>
      <c r="W87" s="7">
        <v>0</v>
      </c>
      <c r="X87" s="7">
        <v>18000</v>
      </c>
      <c r="Y87" s="7">
        <v>0</v>
      </c>
    </row>
    <row r="88" spans="1:25">
      <c r="A88" s="5">
        <v>46082</v>
      </c>
      <c r="B88" t="s">
        <v>83</v>
      </c>
      <c r="C88" s="7">
        <v>747</v>
      </c>
      <c r="D88" s="7">
        <v>1749.070810174029</v>
      </c>
      <c r="E88" s="8">
        <v>0.701</v>
      </c>
      <c r="F88" s="8">
        <v>0.035</v>
      </c>
      <c r="G88" s="8">
        <v>0.023</v>
      </c>
      <c r="H88" s="6">
        <v>1306555.9</v>
      </c>
      <c r="I88" s="6">
        <v>915895.6800000001</v>
      </c>
      <c r="J88" s="7">
        <v>125000</v>
      </c>
      <c r="K88" s="6">
        <v>45729.46</v>
      </c>
      <c r="L88" s="7">
        <v>37000</v>
      </c>
      <c r="M88" s="7">
        <v>24000</v>
      </c>
      <c r="N88" s="6">
        <v>30050.79</v>
      </c>
      <c r="O88" s="7">
        <v>65</v>
      </c>
      <c r="P88" s="7">
        <v>68</v>
      </c>
      <c r="Q88" s="7">
        <v>30</v>
      </c>
      <c r="R88" s="8">
        <v>0.08500000000000001</v>
      </c>
      <c r="S88" s="8">
        <v>0.34</v>
      </c>
      <c r="T88" s="8">
        <v>0.012</v>
      </c>
      <c r="U88" s="8">
        <v>0.01</v>
      </c>
      <c r="V88" s="7">
        <v>120000</v>
      </c>
      <c r="W88" s="7">
        <v>1800000</v>
      </c>
      <c r="X88" s="7">
        <v>18000</v>
      </c>
      <c r="Y88" s="7">
        <v>0</v>
      </c>
    </row>
    <row r="89" spans="1:25">
      <c r="A89" s="5">
        <v>46113</v>
      </c>
      <c r="B89" t="s">
        <v>83</v>
      </c>
      <c r="C89" s="7">
        <v>745</v>
      </c>
      <c r="D89" s="7">
        <v>1746.630049395973</v>
      </c>
      <c r="E89" s="8">
        <v>0.701</v>
      </c>
      <c r="F89" s="8">
        <v>0.035</v>
      </c>
      <c r="G89" s="8">
        <v>0.023</v>
      </c>
      <c r="H89" s="6">
        <v>1301239.39</v>
      </c>
      <c r="I89" s="6">
        <v>912168.8100000001</v>
      </c>
      <c r="J89" s="7">
        <v>125000</v>
      </c>
      <c r="K89" s="6">
        <v>45543.38</v>
      </c>
      <c r="L89" s="7">
        <v>37000</v>
      </c>
      <c r="M89" s="7">
        <v>24000</v>
      </c>
      <c r="N89" s="6">
        <v>29928.51</v>
      </c>
      <c r="O89" s="7">
        <v>65</v>
      </c>
      <c r="P89" s="7">
        <v>68</v>
      </c>
      <c r="Q89" s="7">
        <v>30</v>
      </c>
      <c r="R89" s="8">
        <v>0.08500000000000001</v>
      </c>
      <c r="S89" s="8">
        <v>0.34</v>
      </c>
      <c r="T89" s="8">
        <v>0.012</v>
      </c>
      <c r="U89" s="8">
        <v>0.01</v>
      </c>
      <c r="V89" s="7">
        <v>22000</v>
      </c>
      <c r="W89" s="7">
        <v>0</v>
      </c>
      <c r="X89" s="7">
        <v>18000</v>
      </c>
      <c r="Y89" s="7">
        <v>0</v>
      </c>
    </row>
    <row r="90" spans="1:25">
      <c r="A90" s="5">
        <v>46143</v>
      </c>
      <c r="B90" t="s">
        <v>83</v>
      </c>
      <c r="C90" s="7">
        <v>775</v>
      </c>
      <c r="D90" s="7">
        <v>1758.319765419355</v>
      </c>
      <c r="E90" s="8">
        <v>0.701</v>
      </c>
      <c r="F90" s="8">
        <v>0.035</v>
      </c>
      <c r="G90" s="8">
        <v>0.023</v>
      </c>
      <c r="H90" s="6">
        <v>1362697.82</v>
      </c>
      <c r="I90" s="6">
        <v>955251.17</v>
      </c>
      <c r="J90" s="7">
        <v>125000</v>
      </c>
      <c r="K90" s="6">
        <v>47694.42</v>
      </c>
      <c r="L90" s="7">
        <v>37000</v>
      </c>
      <c r="M90" s="7">
        <v>24000</v>
      </c>
      <c r="N90" s="6">
        <v>31342.05</v>
      </c>
      <c r="O90" s="7">
        <v>65</v>
      </c>
      <c r="P90" s="7">
        <v>68</v>
      </c>
      <c r="Q90" s="7">
        <v>30</v>
      </c>
      <c r="R90" s="8">
        <v>0.08500000000000001</v>
      </c>
      <c r="S90" s="8">
        <v>0.34</v>
      </c>
      <c r="T90" s="8">
        <v>0.012</v>
      </c>
      <c r="U90" s="8">
        <v>0.01</v>
      </c>
      <c r="V90" s="7">
        <v>22000</v>
      </c>
      <c r="W90" s="7">
        <v>0</v>
      </c>
      <c r="X90" s="7">
        <v>18000</v>
      </c>
      <c r="Y90" s="7">
        <v>0</v>
      </c>
    </row>
    <row r="91" spans="1:25">
      <c r="A91" s="5">
        <v>46174</v>
      </c>
      <c r="B91" t="s">
        <v>83</v>
      </c>
      <c r="C91" s="7">
        <v>798</v>
      </c>
      <c r="D91" s="7">
        <v>1732.946506015037</v>
      </c>
      <c r="E91" s="8">
        <v>0.701</v>
      </c>
      <c r="F91" s="8">
        <v>0.035</v>
      </c>
      <c r="G91" s="8">
        <v>0.023</v>
      </c>
      <c r="H91" s="6">
        <v>1382891.31</v>
      </c>
      <c r="I91" s="6">
        <v>969406.8100000001</v>
      </c>
      <c r="J91" s="7">
        <v>125000</v>
      </c>
      <c r="K91" s="6">
        <v>48401.2</v>
      </c>
      <c r="L91" s="7">
        <v>37000</v>
      </c>
      <c r="M91" s="7">
        <v>24000</v>
      </c>
      <c r="N91" s="6">
        <v>31806.5</v>
      </c>
      <c r="O91" s="7">
        <v>65</v>
      </c>
      <c r="P91" s="7">
        <v>68</v>
      </c>
      <c r="Q91" s="7">
        <v>30</v>
      </c>
      <c r="R91" s="8">
        <v>0.08500000000000001</v>
      </c>
      <c r="S91" s="8">
        <v>0.34</v>
      </c>
      <c r="T91" s="8">
        <v>0.012</v>
      </c>
      <c r="U91" s="8">
        <v>0.01</v>
      </c>
      <c r="V91" s="7">
        <v>120000</v>
      </c>
      <c r="W91" s="7">
        <v>0</v>
      </c>
      <c r="X91" s="7">
        <v>18000</v>
      </c>
      <c r="Y91" s="7">
        <v>0</v>
      </c>
    </row>
    <row r="92" spans="1:25">
      <c r="A92" s="5">
        <v>46204</v>
      </c>
      <c r="B92" t="s">
        <v>83</v>
      </c>
      <c r="C92" s="7">
        <v>705</v>
      </c>
      <c r="D92" s="7">
        <v>1609.749973333333</v>
      </c>
      <c r="E92" s="8">
        <v>0.701</v>
      </c>
      <c r="F92" s="8">
        <v>0.035</v>
      </c>
      <c r="G92" s="8">
        <v>0.023</v>
      </c>
      <c r="H92" s="6">
        <v>1134873.73</v>
      </c>
      <c r="I92" s="6">
        <v>795546.49</v>
      </c>
      <c r="J92" s="7">
        <v>125000</v>
      </c>
      <c r="K92" s="6">
        <v>39720.58</v>
      </c>
      <c r="L92" s="7">
        <v>37000</v>
      </c>
      <c r="M92" s="7">
        <v>24000</v>
      </c>
      <c r="N92" s="6">
        <v>26102.1</v>
      </c>
      <c r="O92" s="7">
        <v>65</v>
      </c>
      <c r="P92" s="7">
        <v>68</v>
      </c>
      <c r="Q92" s="7">
        <v>30</v>
      </c>
      <c r="R92" s="8">
        <v>0.08500000000000001</v>
      </c>
      <c r="S92" s="8">
        <v>0.34</v>
      </c>
      <c r="T92" s="8">
        <v>0.012</v>
      </c>
      <c r="U92" s="8">
        <v>0.01</v>
      </c>
      <c r="V92" s="7">
        <v>22000</v>
      </c>
      <c r="W92" s="7">
        <v>0</v>
      </c>
      <c r="X92" s="7">
        <v>18000</v>
      </c>
      <c r="Y92" s="7">
        <v>0</v>
      </c>
    </row>
    <row r="93" spans="1:25">
      <c r="A93" s="5">
        <v>46235</v>
      </c>
      <c r="B93" t="s">
        <v>83</v>
      </c>
      <c r="C93" s="7">
        <v>767</v>
      </c>
      <c r="D93" s="7">
        <v>1591.559517079531</v>
      </c>
      <c r="E93" s="8">
        <v>0.701</v>
      </c>
      <c r="F93" s="8">
        <v>0.035</v>
      </c>
      <c r="G93" s="8">
        <v>0.023</v>
      </c>
      <c r="H93" s="6">
        <v>1220726.15</v>
      </c>
      <c r="I93" s="6">
        <v>855729.03</v>
      </c>
      <c r="J93" s="7">
        <v>125000</v>
      </c>
      <c r="K93" s="6">
        <v>42725.42</v>
      </c>
      <c r="L93" s="7">
        <v>37000</v>
      </c>
      <c r="M93" s="7">
        <v>24000</v>
      </c>
      <c r="N93" s="6">
        <v>28076.7</v>
      </c>
      <c r="O93" s="7">
        <v>65</v>
      </c>
      <c r="P93" s="7">
        <v>68</v>
      </c>
      <c r="Q93" s="7">
        <v>30</v>
      </c>
      <c r="R93" s="8">
        <v>0.08500000000000001</v>
      </c>
      <c r="S93" s="8">
        <v>0.34</v>
      </c>
      <c r="T93" s="8">
        <v>0.012</v>
      </c>
      <c r="U93" s="8">
        <v>0.01</v>
      </c>
      <c r="V93" s="7">
        <v>22000</v>
      </c>
      <c r="W93" s="7">
        <v>0</v>
      </c>
      <c r="X93" s="7">
        <v>18000</v>
      </c>
      <c r="Y93" s="7">
        <v>0</v>
      </c>
    </row>
    <row r="94" spans="1:25">
      <c r="A94" s="5">
        <v>46266</v>
      </c>
      <c r="B94" t="s">
        <v>83</v>
      </c>
      <c r="C94" s="7">
        <v>798</v>
      </c>
      <c r="D94" s="7">
        <v>1631.820387218045</v>
      </c>
      <c r="E94" s="8">
        <v>0.701</v>
      </c>
      <c r="F94" s="8">
        <v>0.035</v>
      </c>
      <c r="G94" s="8">
        <v>0.023</v>
      </c>
      <c r="H94" s="6">
        <v>1302192.67</v>
      </c>
      <c r="I94" s="6">
        <v>912837.0600000001</v>
      </c>
      <c r="J94" s="7">
        <v>125000</v>
      </c>
      <c r="K94" s="6">
        <v>45576.74</v>
      </c>
      <c r="L94" s="7">
        <v>37000</v>
      </c>
      <c r="M94" s="7">
        <v>24000</v>
      </c>
      <c r="N94" s="6">
        <v>29950.43</v>
      </c>
      <c r="O94" s="7">
        <v>65</v>
      </c>
      <c r="P94" s="7">
        <v>68</v>
      </c>
      <c r="Q94" s="7">
        <v>30</v>
      </c>
      <c r="R94" s="8">
        <v>0.08500000000000001</v>
      </c>
      <c r="S94" s="8">
        <v>0.34</v>
      </c>
      <c r="T94" s="8">
        <v>0.012</v>
      </c>
      <c r="U94" s="8">
        <v>0.01</v>
      </c>
      <c r="V94" s="7">
        <v>120000</v>
      </c>
      <c r="W94" s="7">
        <v>0</v>
      </c>
      <c r="X94" s="7">
        <v>18000</v>
      </c>
      <c r="Y94" s="7">
        <v>0</v>
      </c>
    </row>
    <row r="95" spans="1:25">
      <c r="A95" s="5">
        <v>46296</v>
      </c>
      <c r="B95" t="s">
        <v>83</v>
      </c>
      <c r="C95" s="7">
        <v>863</v>
      </c>
      <c r="D95" s="7">
        <v>1694.8198801854</v>
      </c>
      <c r="E95" s="8">
        <v>0.701</v>
      </c>
      <c r="F95" s="8">
        <v>0.035</v>
      </c>
      <c r="G95" s="8">
        <v>0.023</v>
      </c>
      <c r="H95" s="6">
        <v>1462629.56</v>
      </c>
      <c r="I95" s="6">
        <v>1025303.32</v>
      </c>
      <c r="J95" s="7">
        <v>125000</v>
      </c>
      <c r="K95" s="6">
        <v>51192.03</v>
      </c>
      <c r="L95" s="7">
        <v>37000</v>
      </c>
      <c r="M95" s="7">
        <v>24000</v>
      </c>
      <c r="N95" s="6">
        <v>33640.48</v>
      </c>
      <c r="O95" s="7">
        <v>65</v>
      </c>
      <c r="P95" s="7">
        <v>68</v>
      </c>
      <c r="Q95" s="7">
        <v>30</v>
      </c>
      <c r="R95" s="8">
        <v>0.08500000000000001</v>
      </c>
      <c r="S95" s="8">
        <v>0.34</v>
      </c>
      <c r="T95" s="8">
        <v>0.012</v>
      </c>
      <c r="U95" s="8">
        <v>0.01</v>
      </c>
      <c r="V95" s="7">
        <v>22000</v>
      </c>
      <c r="W95" s="7">
        <v>0</v>
      </c>
      <c r="X95" s="7">
        <v>18000</v>
      </c>
      <c r="Y95" s="7">
        <v>0</v>
      </c>
    </row>
    <row r="96" spans="1:25">
      <c r="A96" s="5">
        <v>46327</v>
      </c>
      <c r="B96" t="s">
        <v>83</v>
      </c>
      <c r="C96" s="7">
        <v>976</v>
      </c>
      <c r="D96" s="7">
        <v>1757.12073442623</v>
      </c>
      <c r="E96" s="8">
        <v>0.701</v>
      </c>
      <c r="F96" s="8">
        <v>0.035</v>
      </c>
      <c r="G96" s="8">
        <v>0.023</v>
      </c>
      <c r="H96" s="6">
        <v>1714949.84</v>
      </c>
      <c r="I96" s="6">
        <v>1202179.84</v>
      </c>
      <c r="J96" s="7">
        <v>125000</v>
      </c>
      <c r="K96" s="6">
        <v>60023.24</v>
      </c>
      <c r="L96" s="7">
        <v>37000</v>
      </c>
      <c r="M96" s="7">
        <v>24000</v>
      </c>
      <c r="N96" s="6">
        <v>39443.85</v>
      </c>
      <c r="O96" s="7">
        <v>65</v>
      </c>
      <c r="P96" s="7">
        <v>68</v>
      </c>
      <c r="Q96" s="7">
        <v>30</v>
      </c>
      <c r="R96" s="8">
        <v>0.08500000000000001</v>
      </c>
      <c r="S96" s="8">
        <v>0.34</v>
      </c>
      <c r="T96" s="8">
        <v>0.012</v>
      </c>
      <c r="U96" s="8">
        <v>0.01</v>
      </c>
      <c r="V96" s="7">
        <v>22000</v>
      </c>
      <c r="W96" s="7">
        <v>0</v>
      </c>
      <c r="X96" s="7">
        <v>18000</v>
      </c>
      <c r="Y96" s="7">
        <v>0</v>
      </c>
    </row>
    <row r="97" spans="1:25">
      <c r="A97" s="5">
        <v>46357</v>
      </c>
      <c r="B97" t="s">
        <v>83</v>
      </c>
      <c r="C97" s="7">
        <v>897</v>
      </c>
      <c r="D97" s="7">
        <v>1776.384208695652</v>
      </c>
      <c r="E97" s="8">
        <v>0.7009999999999998</v>
      </c>
      <c r="F97" s="8">
        <v>0.035</v>
      </c>
      <c r="G97" s="8">
        <v>0.023</v>
      </c>
      <c r="H97" s="6">
        <v>1593416.64</v>
      </c>
      <c r="I97" s="6">
        <v>1116985.06</v>
      </c>
      <c r="J97" s="7">
        <v>125000</v>
      </c>
      <c r="K97" s="6">
        <v>55769.58</v>
      </c>
      <c r="L97" s="7">
        <v>37000</v>
      </c>
      <c r="M97" s="7">
        <v>24000</v>
      </c>
      <c r="N97" s="6">
        <v>36648.58</v>
      </c>
      <c r="O97" s="7">
        <v>65</v>
      </c>
      <c r="P97" s="7">
        <v>68</v>
      </c>
      <c r="Q97" s="7">
        <v>30</v>
      </c>
      <c r="R97" s="8">
        <v>0.08500000000000001</v>
      </c>
      <c r="S97" s="8">
        <v>0.34</v>
      </c>
      <c r="T97" s="8">
        <v>0.012</v>
      </c>
      <c r="U97" s="8">
        <v>0.01</v>
      </c>
      <c r="V97" s="7">
        <v>120000</v>
      </c>
      <c r="W97" s="7">
        <v>0</v>
      </c>
      <c r="X97" s="7">
        <v>18000</v>
      </c>
      <c r="Y97" s="7">
        <v>0</v>
      </c>
    </row>
  </sheetData>
  <autoFilter ref="A1:Y97"/>
  <dataValidations count="1536">
    <dataValidation type="decimal" operator="greaterThanOrEqual" allowBlank="1" showInputMessage="1" showErrorMessage="1" promptTitle="Premissa do cenário" prompt="Número não negativo. O modelo recalcula." sqref="C2">
      <formula1>0</formula1>
    </dataValidation>
    <dataValidation type="decimal" operator="greaterThanOrEqual" allowBlank="1" showInputMessage="1" showErrorMessage="1" promptTitle="Premissa do cenário" prompt="Número não negativo. O modelo recalcula." sqref="D2">
      <formula1>0</formula1>
    </dataValidation>
    <dataValidation type="decimal" operator="greaterThanOrEqual" allowBlank="1" showInputMessage="1" showErrorMessage="1" promptTitle="Premissa do cenário" prompt="Número não negativo. O modelo recalcula." sqref="E2">
      <formula1>0</formula1>
    </dataValidation>
    <dataValidation type="decimal" operator="greaterThanOrEqual" allowBlank="1" showInputMessage="1" showErrorMessage="1" promptTitle="Premissa do cenário" prompt="Número não negativo. O modelo recalcula." sqref="F2">
      <formula1>0</formula1>
    </dataValidation>
    <dataValidation type="decimal" operator="greaterThanOrEqual" allowBlank="1" showInputMessage="1" showErrorMessage="1" promptTitle="Premissa do cenário" prompt="Número não negativo. O modelo recalcula." sqref="G2">
      <formula1>0</formula1>
    </dataValidation>
    <dataValidation type="decimal" operator="greaterThanOrEqual" allowBlank="1" showInputMessage="1" showErrorMessage="1" promptTitle="Premissa do cenário" prompt="Número não negativo. O modelo recalcula." sqref="O2">
      <formula1>0</formula1>
    </dataValidation>
    <dataValidation type="decimal" operator="greaterThanOrEqual" allowBlank="1" showInputMessage="1" showErrorMessage="1" promptTitle="Premissa do cenário" prompt="Número não negativo. O modelo recalcula." sqref="P2">
      <formula1>0</formula1>
    </dataValidation>
    <dataValidation type="decimal" operator="greaterThanOrEqual" allowBlank="1" showInputMessage="1" showErrorMessage="1" promptTitle="Premissa do cenário" prompt="Número não negativo. O modelo recalcula." sqref="Q2">
      <formula1>0</formula1>
    </dataValidation>
    <dataValidation type="decimal" operator="greaterThanOrEqual" allowBlank="1" showInputMessage="1" showErrorMessage="1" promptTitle="Premissa do cenário" prompt="Número não negativo. O modelo recalcula." sqref="R2">
      <formula1>0</formula1>
    </dataValidation>
    <dataValidation type="decimal" operator="greaterThanOrEqual" allowBlank="1" showInputMessage="1" showErrorMessage="1" promptTitle="Premissa do cenário" prompt="Número não negativo. O modelo recalcula." sqref="S2">
      <formula1>0</formula1>
    </dataValidation>
    <dataValidation type="decimal" operator="greaterThanOrEqual" allowBlank="1" showInputMessage="1" showErrorMessage="1" promptTitle="Premissa do cenário" prompt="Número não negativo. O modelo recalcula." sqref="T2">
      <formula1>0</formula1>
    </dataValidation>
    <dataValidation type="decimal" operator="greaterThanOrEqual" allowBlank="1" showInputMessage="1" showErrorMessage="1" promptTitle="Premissa do cenário" prompt="Número não negativo. O modelo recalcula." sqref="U2">
      <formula1>0</formula1>
    </dataValidation>
    <dataValidation type="decimal" operator="greaterThanOrEqual" allowBlank="1" showInputMessage="1" showErrorMessage="1" promptTitle="Premissa do cenário" prompt="Número não negativo. O modelo recalcula." sqref="V2">
      <formula1>0</formula1>
    </dataValidation>
    <dataValidation type="decimal" operator="greaterThanOrEqual" allowBlank="1" showInputMessage="1" showErrorMessage="1" promptTitle="Premissa do cenário" prompt="Número não negativo. O modelo recalcula." sqref="W2">
      <formula1>0</formula1>
    </dataValidation>
    <dataValidation type="decimal" operator="greaterThanOrEqual" allowBlank="1" showInputMessage="1" showErrorMessage="1" promptTitle="Premissa do cenário" prompt="Número não negativo. O modelo recalcula." sqref="X2">
      <formula1>0</formula1>
    </dataValidation>
    <dataValidation type="decimal" operator="greaterThanOrEqual" allowBlank="1" showInputMessage="1" showErrorMessage="1" promptTitle="Premissa do cenário" prompt="Número não negativo. O modelo recalcula." sqref="Y2">
      <formula1>0</formula1>
    </dataValidation>
    <dataValidation type="decimal" operator="greaterThanOrEqual" allowBlank="1" showInputMessage="1" showErrorMessage="1" promptTitle="Premissa do cenário" prompt="Número não negativo. O modelo recalcula." sqref="C3">
      <formula1>0</formula1>
    </dataValidation>
    <dataValidation type="decimal" operator="greaterThanOrEqual" allowBlank="1" showInputMessage="1" showErrorMessage="1" promptTitle="Premissa do cenário" prompt="Número não negativo. O modelo recalcula." sqref="D3">
      <formula1>0</formula1>
    </dataValidation>
    <dataValidation type="decimal" operator="greaterThanOrEqual" allowBlank="1" showInputMessage="1" showErrorMessage="1" promptTitle="Premissa do cenário" prompt="Número não negativo. O modelo recalcula." sqref="E3">
      <formula1>0</formula1>
    </dataValidation>
    <dataValidation type="decimal" operator="greaterThanOrEqual" allowBlank="1" showInputMessage="1" showErrorMessage="1" promptTitle="Premissa do cenário" prompt="Número não negativo. O modelo recalcula." sqref="F3">
      <formula1>0</formula1>
    </dataValidation>
    <dataValidation type="decimal" operator="greaterThanOrEqual" allowBlank="1" showInputMessage="1" showErrorMessage="1" promptTitle="Premissa do cenário" prompt="Número não negativo. O modelo recalcula." sqref="G3">
      <formula1>0</formula1>
    </dataValidation>
    <dataValidation type="decimal" operator="greaterThanOrEqual" allowBlank="1" showInputMessage="1" showErrorMessage="1" promptTitle="Premissa do cenário" prompt="Número não negativo. O modelo recalcula." sqref="O3">
      <formula1>0</formula1>
    </dataValidation>
    <dataValidation type="decimal" operator="greaterThanOrEqual" allowBlank="1" showInputMessage="1" showErrorMessage="1" promptTitle="Premissa do cenário" prompt="Número não negativo. O modelo recalcula." sqref="P3">
      <formula1>0</formula1>
    </dataValidation>
    <dataValidation type="decimal" operator="greaterThanOrEqual" allowBlank="1" showInputMessage="1" showErrorMessage="1" promptTitle="Premissa do cenário" prompt="Número não negativo. O modelo recalcula." sqref="Q3">
      <formula1>0</formula1>
    </dataValidation>
    <dataValidation type="decimal" operator="greaterThanOrEqual" allowBlank="1" showInputMessage="1" showErrorMessage="1" promptTitle="Premissa do cenário" prompt="Número não negativo. O modelo recalcula." sqref="R3">
      <formula1>0</formula1>
    </dataValidation>
    <dataValidation type="decimal" operator="greaterThanOrEqual" allowBlank="1" showInputMessage="1" showErrorMessage="1" promptTitle="Premissa do cenário" prompt="Número não negativo. O modelo recalcula." sqref="S3">
      <formula1>0</formula1>
    </dataValidation>
    <dataValidation type="decimal" operator="greaterThanOrEqual" allowBlank="1" showInputMessage="1" showErrorMessage="1" promptTitle="Premissa do cenário" prompt="Número não negativo. O modelo recalcula." sqref="T3">
      <formula1>0</formula1>
    </dataValidation>
    <dataValidation type="decimal" operator="greaterThanOrEqual" allowBlank="1" showInputMessage="1" showErrorMessage="1" promptTitle="Premissa do cenário" prompt="Número não negativo. O modelo recalcula." sqref="U3">
      <formula1>0</formula1>
    </dataValidation>
    <dataValidation type="decimal" operator="greaterThanOrEqual" allowBlank="1" showInputMessage="1" showErrorMessage="1" promptTitle="Premissa do cenário" prompt="Número não negativo. O modelo recalcula." sqref="V3">
      <formula1>0</formula1>
    </dataValidation>
    <dataValidation type="decimal" operator="greaterThanOrEqual" allowBlank="1" showInputMessage="1" showErrorMessage="1" promptTitle="Premissa do cenário" prompt="Número não negativo. O modelo recalcula." sqref="W3">
      <formula1>0</formula1>
    </dataValidation>
    <dataValidation type="decimal" operator="greaterThanOrEqual" allowBlank="1" showInputMessage="1" showErrorMessage="1" promptTitle="Premissa do cenário" prompt="Número não negativo. O modelo recalcula." sqref="X3">
      <formula1>0</formula1>
    </dataValidation>
    <dataValidation type="decimal" operator="greaterThanOrEqual" allowBlank="1" showInputMessage="1" showErrorMessage="1" promptTitle="Premissa do cenário" prompt="Número não negativo. O modelo recalcula." sqref="Y3">
      <formula1>0</formula1>
    </dataValidation>
    <dataValidation type="decimal" operator="greaterThanOrEqual" allowBlank="1" showInputMessage="1" showErrorMessage="1" promptTitle="Premissa do cenário" prompt="Número não negativo. O modelo recalcula." sqref="C4">
      <formula1>0</formula1>
    </dataValidation>
    <dataValidation type="decimal" operator="greaterThanOrEqual" allowBlank="1" showInputMessage="1" showErrorMessage="1" promptTitle="Premissa do cenário" prompt="Número não negativo. O modelo recalcula." sqref="D4">
      <formula1>0</formula1>
    </dataValidation>
    <dataValidation type="decimal" operator="greaterThanOrEqual" allowBlank="1" showInputMessage="1" showErrorMessage="1" promptTitle="Premissa do cenário" prompt="Número não negativo. O modelo recalcula." sqref="E4">
      <formula1>0</formula1>
    </dataValidation>
    <dataValidation type="decimal" operator="greaterThanOrEqual" allowBlank="1" showInputMessage="1" showErrorMessage="1" promptTitle="Premissa do cenário" prompt="Número não negativo. O modelo recalcula." sqref="F4">
      <formula1>0</formula1>
    </dataValidation>
    <dataValidation type="decimal" operator="greaterThanOrEqual" allowBlank="1" showInputMessage="1" showErrorMessage="1" promptTitle="Premissa do cenário" prompt="Número não negativo. O modelo recalcula." sqref="G4">
      <formula1>0</formula1>
    </dataValidation>
    <dataValidation type="decimal" operator="greaterThanOrEqual" allowBlank="1" showInputMessage="1" showErrorMessage="1" promptTitle="Premissa do cenário" prompt="Número não negativo. O modelo recalcula." sqref="O4">
      <formula1>0</formula1>
    </dataValidation>
    <dataValidation type="decimal" operator="greaterThanOrEqual" allowBlank="1" showInputMessage="1" showErrorMessage="1" promptTitle="Premissa do cenário" prompt="Número não negativo. O modelo recalcula." sqref="P4">
      <formula1>0</formula1>
    </dataValidation>
    <dataValidation type="decimal" operator="greaterThanOrEqual" allowBlank="1" showInputMessage="1" showErrorMessage="1" promptTitle="Premissa do cenário" prompt="Número não negativo. O modelo recalcula." sqref="Q4">
      <formula1>0</formula1>
    </dataValidation>
    <dataValidation type="decimal" operator="greaterThanOrEqual" allowBlank="1" showInputMessage="1" showErrorMessage="1" promptTitle="Premissa do cenário" prompt="Número não negativo. O modelo recalcula." sqref="R4">
      <formula1>0</formula1>
    </dataValidation>
    <dataValidation type="decimal" operator="greaterThanOrEqual" allowBlank="1" showInputMessage="1" showErrorMessage="1" promptTitle="Premissa do cenário" prompt="Número não negativo. O modelo recalcula." sqref="S4">
      <formula1>0</formula1>
    </dataValidation>
    <dataValidation type="decimal" operator="greaterThanOrEqual" allowBlank="1" showInputMessage="1" showErrorMessage="1" promptTitle="Premissa do cenário" prompt="Número não negativo. O modelo recalcula." sqref="T4">
      <formula1>0</formula1>
    </dataValidation>
    <dataValidation type="decimal" operator="greaterThanOrEqual" allowBlank="1" showInputMessage="1" showErrorMessage="1" promptTitle="Premissa do cenário" prompt="Número não negativo. O modelo recalcula." sqref="U4">
      <formula1>0</formula1>
    </dataValidation>
    <dataValidation type="decimal" operator="greaterThanOrEqual" allowBlank="1" showInputMessage="1" showErrorMessage="1" promptTitle="Premissa do cenário" prompt="Número não negativo. O modelo recalcula." sqref="V4">
      <formula1>0</formula1>
    </dataValidation>
    <dataValidation type="decimal" operator="greaterThanOrEqual" allowBlank="1" showInputMessage="1" showErrorMessage="1" promptTitle="Premissa do cenário" prompt="Número não negativo. O modelo recalcula." sqref="W4">
      <formula1>0</formula1>
    </dataValidation>
    <dataValidation type="decimal" operator="greaterThanOrEqual" allowBlank="1" showInputMessage="1" showErrorMessage="1" promptTitle="Premissa do cenário" prompt="Número não negativo. O modelo recalcula." sqref="X4">
      <formula1>0</formula1>
    </dataValidation>
    <dataValidation type="decimal" operator="greaterThanOrEqual" allowBlank="1" showInputMessage="1" showErrorMessage="1" promptTitle="Premissa do cenário" prompt="Número não negativo. O modelo recalcula." sqref="Y4">
      <formula1>0</formula1>
    </dataValidation>
    <dataValidation type="decimal" operator="greaterThanOrEqual" allowBlank="1" showInputMessage="1" showErrorMessage="1" promptTitle="Premissa do cenário" prompt="Número não negativo. O modelo recalcula." sqref="C5">
      <formula1>0</formula1>
    </dataValidation>
    <dataValidation type="decimal" operator="greaterThanOrEqual" allowBlank="1" showInputMessage="1" showErrorMessage="1" promptTitle="Premissa do cenário" prompt="Número não negativo. O modelo recalcula." sqref="D5">
      <formula1>0</formula1>
    </dataValidation>
    <dataValidation type="decimal" operator="greaterThanOrEqual" allowBlank="1" showInputMessage="1" showErrorMessage="1" promptTitle="Premissa do cenário" prompt="Número não negativo. O modelo recalcula." sqref="E5">
      <formula1>0</formula1>
    </dataValidation>
    <dataValidation type="decimal" operator="greaterThanOrEqual" allowBlank="1" showInputMessage="1" showErrorMessage="1" promptTitle="Premissa do cenário" prompt="Número não negativo. O modelo recalcula." sqref="F5">
      <formula1>0</formula1>
    </dataValidation>
    <dataValidation type="decimal" operator="greaterThanOrEqual" allowBlank="1" showInputMessage="1" showErrorMessage="1" promptTitle="Premissa do cenário" prompt="Número não negativo. O modelo recalcula." sqref="G5">
      <formula1>0</formula1>
    </dataValidation>
    <dataValidation type="decimal" operator="greaterThanOrEqual" allowBlank="1" showInputMessage="1" showErrorMessage="1" promptTitle="Premissa do cenário" prompt="Número não negativo. O modelo recalcula." sqref="O5">
      <formula1>0</formula1>
    </dataValidation>
    <dataValidation type="decimal" operator="greaterThanOrEqual" allowBlank="1" showInputMessage="1" showErrorMessage="1" promptTitle="Premissa do cenário" prompt="Número não negativo. O modelo recalcula." sqref="P5">
      <formula1>0</formula1>
    </dataValidation>
    <dataValidation type="decimal" operator="greaterThanOrEqual" allowBlank="1" showInputMessage="1" showErrorMessage="1" promptTitle="Premissa do cenário" prompt="Número não negativo. O modelo recalcula." sqref="Q5">
      <formula1>0</formula1>
    </dataValidation>
    <dataValidation type="decimal" operator="greaterThanOrEqual" allowBlank="1" showInputMessage="1" showErrorMessage="1" promptTitle="Premissa do cenário" prompt="Número não negativo. O modelo recalcula." sqref="R5">
      <formula1>0</formula1>
    </dataValidation>
    <dataValidation type="decimal" operator="greaterThanOrEqual" allowBlank="1" showInputMessage="1" showErrorMessage="1" promptTitle="Premissa do cenário" prompt="Número não negativo. O modelo recalcula." sqref="S5">
      <formula1>0</formula1>
    </dataValidation>
    <dataValidation type="decimal" operator="greaterThanOrEqual" allowBlank="1" showInputMessage="1" showErrorMessage="1" promptTitle="Premissa do cenário" prompt="Número não negativo. O modelo recalcula." sqref="T5">
      <formula1>0</formula1>
    </dataValidation>
    <dataValidation type="decimal" operator="greaterThanOrEqual" allowBlank="1" showInputMessage="1" showErrorMessage="1" promptTitle="Premissa do cenário" prompt="Número não negativo. O modelo recalcula." sqref="U5">
      <formula1>0</formula1>
    </dataValidation>
    <dataValidation type="decimal" operator="greaterThanOrEqual" allowBlank="1" showInputMessage="1" showErrorMessage="1" promptTitle="Premissa do cenário" prompt="Número não negativo. O modelo recalcula." sqref="V5">
      <formula1>0</formula1>
    </dataValidation>
    <dataValidation type="decimal" operator="greaterThanOrEqual" allowBlank="1" showInputMessage="1" showErrorMessage="1" promptTitle="Premissa do cenário" prompt="Número não negativo. O modelo recalcula." sqref="W5">
      <formula1>0</formula1>
    </dataValidation>
    <dataValidation type="decimal" operator="greaterThanOrEqual" allowBlank="1" showInputMessage="1" showErrorMessage="1" promptTitle="Premissa do cenário" prompt="Número não negativo. O modelo recalcula." sqref="X5">
      <formula1>0</formula1>
    </dataValidation>
    <dataValidation type="decimal" operator="greaterThanOrEqual" allowBlank="1" showInputMessage="1" showErrorMessage="1" promptTitle="Premissa do cenário" prompt="Número não negativo. O modelo recalcula." sqref="Y5">
      <formula1>0</formula1>
    </dataValidation>
    <dataValidation type="decimal" operator="greaterThanOrEqual" allowBlank="1" showInputMessage="1" showErrorMessage="1" promptTitle="Premissa do cenário" prompt="Número não negativo. O modelo recalcula." sqref="C6">
      <formula1>0</formula1>
    </dataValidation>
    <dataValidation type="decimal" operator="greaterThanOrEqual" allowBlank="1" showInputMessage="1" showErrorMessage="1" promptTitle="Premissa do cenário" prompt="Número não negativo. O modelo recalcula." sqref="D6">
      <formula1>0</formula1>
    </dataValidation>
    <dataValidation type="decimal" operator="greaterThanOrEqual" allowBlank="1" showInputMessage="1" showErrorMessage="1" promptTitle="Premissa do cenário" prompt="Número não negativo. O modelo recalcula." sqref="E6">
      <formula1>0</formula1>
    </dataValidation>
    <dataValidation type="decimal" operator="greaterThanOrEqual" allowBlank="1" showInputMessage="1" showErrorMessage="1" promptTitle="Premissa do cenário" prompt="Número não negativo. O modelo recalcula." sqref="F6">
      <formula1>0</formula1>
    </dataValidation>
    <dataValidation type="decimal" operator="greaterThanOrEqual" allowBlank="1" showInputMessage="1" showErrorMessage="1" promptTitle="Premissa do cenário" prompt="Número não negativo. O modelo recalcula." sqref="G6">
      <formula1>0</formula1>
    </dataValidation>
    <dataValidation type="decimal" operator="greaterThanOrEqual" allowBlank="1" showInputMessage="1" showErrorMessage="1" promptTitle="Premissa do cenário" prompt="Número não negativo. O modelo recalcula." sqref="O6">
      <formula1>0</formula1>
    </dataValidation>
    <dataValidation type="decimal" operator="greaterThanOrEqual" allowBlank="1" showInputMessage="1" showErrorMessage="1" promptTitle="Premissa do cenário" prompt="Número não negativo. O modelo recalcula." sqref="P6">
      <formula1>0</formula1>
    </dataValidation>
    <dataValidation type="decimal" operator="greaterThanOrEqual" allowBlank="1" showInputMessage="1" showErrorMessage="1" promptTitle="Premissa do cenário" prompt="Número não negativo. O modelo recalcula." sqref="Q6">
      <formula1>0</formula1>
    </dataValidation>
    <dataValidation type="decimal" operator="greaterThanOrEqual" allowBlank="1" showInputMessage="1" showErrorMessage="1" promptTitle="Premissa do cenário" prompt="Número não negativo. O modelo recalcula." sqref="R6">
      <formula1>0</formula1>
    </dataValidation>
    <dataValidation type="decimal" operator="greaterThanOrEqual" allowBlank="1" showInputMessage="1" showErrorMessage="1" promptTitle="Premissa do cenário" prompt="Número não negativo. O modelo recalcula." sqref="S6">
      <formula1>0</formula1>
    </dataValidation>
    <dataValidation type="decimal" operator="greaterThanOrEqual" allowBlank="1" showInputMessage="1" showErrorMessage="1" promptTitle="Premissa do cenário" prompt="Número não negativo. O modelo recalcula." sqref="T6">
      <formula1>0</formula1>
    </dataValidation>
    <dataValidation type="decimal" operator="greaterThanOrEqual" allowBlank="1" showInputMessage="1" showErrorMessage="1" promptTitle="Premissa do cenário" prompt="Número não negativo. O modelo recalcula." sqref="U6">
      <formula1>0</formula1>
    </dataValidation>
    <dataValidation type="decimal" operator="greaterThanOrEqual" allowBlank="1" showInputMessage="1" showErrorMessage="1" promptTitle="Premissa do cenário" prompt="Número não negativo. O modelo recalcula." sqref="V6">
      <formula1>0</formula1>
    </dataValidation>
    <dataValidation type="decimal" operator="greaterThanOrEqual" allowBlank="1" showInputMessage="1" showErrorMessage="1" promptTitle="Premissa do cenário" prompt="Número não negativo. O modelo recalcula." sqref="W6">
      <formula1>0</formula1>
    </dataValidation>
    <dataValidation type="decimal" operator="greaterThanOrEqual" allowBlank="1" showInputMessage="1" showErrorMessage="1" promptTitle="Premissa do cenário" prompt="Número não negativo. O modelo recalcula." sqref="X6">
      <formula1>0</formula1>
    </dataValidation>
    <dataValidation type="decimal" operator="greaterThanOrEqual" allowBlank="1" showInputMessage="1" showErrorMessage="1" promptTitle="Premissa do cenário" prompt="Número não negativo. O modelo recalcula." sqref="Y6">
      <formula1>0</formula1>
    </dataValidation>
    <dataValidation type="decimal" operator="greaterThanOrEqual" allowBlank="1" showInputMessage="1" showErrorMessage="1" promptTitle="Premissa do cenário" prompt="Número não negativo. O modelo recalcula." sqref="C7">
      <formula1>0</formula1>
    </dataValidation>
    <dataValidation type="decimal" operator="greaterThanOrEqual" allowBlank="1" showInputMessage="1" showErrorMessage="1" promptTitle="Premissa do cenário" prompt="Número não negativo. O modelo recalcula." sqref="D7">
      <formula1>0</formula1>
    </dataValidation>
    <dataValidation type="decimal" operator="greaterThanOrEqual" allowBlank="1" showInputMessage="1" showErrorMessage="1" promptTitle="Premissa do cenário" prompt="Número não negativo. O modelo recalcula." sqref="E7">
      <formula1>0</formula1>
    </dataValidation>
    <dataValidation type="decimal" operator="greaterThanOrEqual" allowBlank="1" showInputMessage="1" showErrorMessage="1" promptTitle="Premissa do cenário" prompt="Número não negativo. O modelo recalcula." sqref="F7">
      <formula1>0</formula1>
    </dataValidation>
    <dataValidation type="decimal" operator="greaterThanOrEqual" allowBlank="1" showInputMessage="1" showErrorMessage="1" promptTitle="Premissa do cenário" prompt="Número não negativo. O modelo recalcula." sqref="G7">
      <formula1>0</formula1>
    </dataValidation>
    <dataValidation type="decimal" operator="greaterThanOrEqual" allowBlank="1" showInputMessage="1" showErrorMessage="1" promptTitle="Premissa do cenário" prompt="Número não negativo. O modelo recalcula." sqref="O7">
      <formula1>0</formula1>
    </dataValidation>
    <dataValidation type="decimal" operator="greaterThanOrEqual" allowBlank="1" showInputMessage="1" showErrorMessage="1" promptTitle="Premissa do cenário" prompt="Número não negativo. O modelo recalcula." sqref="P7">
      <formula1>0</formula1>
    </dataValidation>
    <dataValidation type="decimal" operator="greaterThanOrEqual" allowBlank="1" showInputMessage="1" showErrorMessage="1" promptTitle="Premissa do cenário" prompt="Número não negativo. O modelo recalcula." sqref="Q7">
      <formula1>0</formula1>
    </dataValidation>
    <dataValidation type="decimal" operator="greaterThanOrEqual" allowBlank="1" showInputMessage="1" showErrorMessage="1" promptTitle="Premissa do cenário" prompt="Número não negativo. O modelo recalcula." sqref="R7">
      <formula1>0</formula1>
    </dataValidation>
    <dataValidation type="decimal" operator="greaterThanOrEqual" allowBlank="1" showInputMessage="1" showErrorMessage="1" promptTitle="Premissa do cenário" prompt="Número não negativo. O modelo recalcula." sqref="S7">
      <formula1>0</formula1>
    </dataValidation>
    <dataValidation type="decimal" operator="greaterThanOrEqual" allowBlank="1" showInputMessage="1" showErrorMessage="1" promptTitle="Premissa do cenário" prompt="Número não negativo. O modelo recalcula." sqref="T7">
      <formula1>0</formula1>
    </dataValidation>
    <dataValidation type="decimal" operator="greaterThanOrEqual" allowBlank="1" showInputMessage="1" showErrorMessage="1" promptTitle="Premissa do cenário" prompt="Número não negativo. O modelo recalcula." sqref="U7">
      <formula1>0</formula1>
    </dataValidation>
    <dataValidation type="decimal" operator="greaterThanOrEqual" allowBlank="1" showInputMessage="1" showErrorMessage="1" promptTitle="Premissa do cenário" prompt="Número não negativo. O modelo recalcula." sqref="V7">
      <formula1>0</formula1>
    </dataValidation>
    <dataValidation type="decimal" operator="greaterThanOrEqual" allowBlank="1" showInputMessage="1" showErrorMessage="1" promptTitle="Premissa do cenário" prompt="Número não negativo. O modelo recalcula." sqref="W7">
      <formula1>0</formula1>
    </dataValidation>
    <dataValidation type="decimal" operator="greaterThanOrEqual" allowBlank="1" showInputMessage="1" showErrorMessage="1" promptTitle="Premissa do cenário" prompt="Número não negativo. O modelo recalcula." sqref="X7">
      <formula1>0</formula1>
    </dataValidation>
    <dataValidation type="decimal" operator="greaterThanOrEqual" allowBlank="1" showInputMessage="1" showErrorMessage="1" promptTitle="Premissa do cenário" prompt="Número não negativo. O modelo recalcula." sqref="Y7">
      <formula1>0</formula1>
    </dataValidation>
    <dataValidation type="decimal" operator="greaterThanOrEqual" allowBlank="1" showInputMessage="1" showErrorMessage="1" promptTitle="Premissa do cenário" prompt="Número não negativo. O modelo recalcula." sqref="C8">
      <formula1>0</formula1>
    </dataValidation>
    <dataValidation type="decimal" operator="greaterThanOrEqual" allowBlank="1" showInputMessage="1" showErrorMessage="1" promptTitle="Premissa do cenário" prompt="Número não negativo. O modelo recalcula." sqref="D8">
      <formula1>0</formula1>
    </dataValidation>
    <dataValidation type="decimal" operator="greaterThanOrEqual" allowBlank="1" showInputMessage="1" showErrorMessage="1" promptTitle="Premissa do cenário" prompt="Número não negativo. O modelo recalcula." sqref="E8">
      <formula1>0</formula1>
    </dataValidation>
    <dataValidation type="decimal" operator="greaterThanOrEqual" allowBlank="1" showInputMessage="1" showErrorMessage="1" promptTitle="Premissa do cenário" prompt="Número não negativo. O modelo recalcula." sqref="F8">
      <formula1>0</formula1>
    </dataValidation>
    <dataValidation type="decimal" operator="greaterThanOrEqual" allowBlank="1" showInputMessage="1" showErrorMessage="1" promptTitle="Premissa do cenário" prompt="Número não negativo. O modelo recalcula." sqref="G8">
      <formula1>0</formula1>
    </dataValidation>
    <dataValidation type="decimal" operator="greaterThanOrEqual" allowBlank="1" showInputMessage="1" showErrorMessage="1" promptTitle="Premissa do cenário" prompt="Número não negativo. O modelo recalcula." sqref="O8">
      <formula1>0</formula1>
    </dataValidation>
    <dataValidation type="decimal" operator="greaterThanOrEqual" allowBlank="1" showInputMessage="1" showErrorMessage="1" promptTitle="Premissa do cenário" prompt="Número não negativo. O modelo recalcula." sqref="P8">
      <formula1>0</formula1>
    </dataValidation>
    <dataValidation type="decimal" operator="greaterThanOrEqual" allowBlank="1" showInputMessage="1" showErrorMessage="1" promptTitle="Premissa do cenário" prompt="Número não negativo. O modelo recalcula." sqref="Q8">
      <formula1>0</formula1>
    </dataValidation>
    <dataValidation type="decimal" operator="greaterThanOrEqual" allowBlank="1" showInputMessage="1" showErrorMessage="1" promptTitle="Premissa do cenário" prompt="Número não negativo. O modelo recalcula." sqref="R8">
      <formula1>0</formula1>
    </dataValidation>
    <dataValidation type="decimal" operator="greaterThanOrEqual" allowBlank="1" showInputMessage="1" showErrorMessage="1" promptTitle="Premissa do cenário" prompt="Número não negativo. O modelo recalcula." sqref="S8">
      <formula1>0</formula1>
    </dataValidation>
    <dataValidation type="decimal" operator="greaterThanOrEqual" allowBlank="1" showInputMessage="1" showErrorMessage="1" promptTitle="Premissa do cenário" prompt="Número não negativo. O modelo recalcula." sqref="T8">
      <formula1>0</formula1>
    </dataValidation>
    <dataValidation type="decimal" operator="greaterThanOrEqual" allowBlank="1" showInputMessage="1" showErrorMessage="1" promptTitle="Premissa do cenário" prompt="Número não negativo. O modelo recalcula." sqref="U8">
      <formula1>0</formula1>
    </dataValidation>
    <dataValidation type="decimal" operator="greaterThanOrEqual" allowBlank="1" showInputMessage="1" showErrorMessage="1" promptTitle="Premissa do cenário" prompt="Número não negativo. O modelo recalcula." sqref="V8">
      <formula1>0</formula1>
    </dataValidation>
    <dataValidation type="decimal" operator="greaterThanOrEqual" allowBlank="1" showInputMessage="1" showErrorMessage="1" promptTitle="Premissa do cenário" prompt="Número não negativo. O modelo recalcula." sqref="W8">
      <formula1>0</formula1>
    </dataValidation>
    <dataValidation type="decimal" operator="greaterThanOrEqual" allowBlank="1" showInputMessage="1" showErrorMessage="1" promptTitle="Premissa do cenário" prompt="Número não negativo. O modelo recalcula." sqref="X8">
      <formula1>0</formula1>
    </dataValidation>
    <dataValidation type="decimal" operator="greaterThanOrEqual" allowBlank="1" showInputMessage="1" showErrorMessage="1" promptTitle="Premissa do cenário" prompt="Número não negativo. O modelo recalcula." sqref="Y8">
      <formula1>0</formula1>
    </dataValidation>
    <dataValidation type="decimal" operator="greaterThanOrEqual" allowBlank="1" showInputMessage="1" showErrorMessage="1" promptTitle="Premissa do cenário" prompt="Número não negativo. O modelo recalcula." sqref="C9">
      <formula1>0</formula1>
    </dataValidation>
    <dataValidation type="decimal" operator="greaterThanOrEqual" allowBlank="1" showInputMessage="1" showErrorMessage="1" promptTitle="Premissa do cenário" prompt="Número não negativo. O modelo recalcula." sqref="D9">
      <formula1>0</formula1>
    </dataValidation>
    <dataValidation type="decimal" operator="greaterThanOrEqual" allowBlank="1" showInputMessage="1" showErrorMessage="1" promptTitle="Premissa do cenário" prompt="Número não negativo. O modelo recalcula." sqref="E9">
      <formula1>0</formula1>
    </dataValidation>
    <dataValidation type="decimal" operator="greaterThanOrEqual" allowBlank="1" showInputMessage="1" showErrorMessage="1" promptTitle="Premissa do cenário" prompt="Número não negativo. O modelo recalcula." sqref="F9">
      <formula1>0</formula1>
    </dataValidation>
    <dataValidation type="decimal" operator="greaterThanOrEqual" allowBlank="1" showInputMessage="1" showErrorMessage="1" promptTitle="Premissa do cenário" prompt="Número não negativo. O modelo recalcula." sqref="G9">
      <formula1>0</formula1>
    </dataValidation>
    <dataValidation type="decimal" operator="greaterThanOrEqual" allowBlank="1" showInputMessage="1" showErrorMessage="1" promptTitle="Premissa do cenário" prompt="Número não negativo. O modelo recalcula." sqref="O9">
      <formula1>0</formula1>
    </dataValidation>
    <dataValidation type="decimal" operator="greaterThanOrEqual" allowBlank="1" showInputMessage="1" showErrorMessage="1" promptTitle="Premissa do cenário" prompt="Número não negativo. O modelo recalcula." sqref="P9">
      <formula1>0</formula1>
    </dataValidation>
    <dataValidation type="decimal" operator="greaterThanOrEqual" allowBlank="1" showInputMessage="1" showErrorMessage="1" promptTitle="Premissa do cenário" prompt="Número não negativo. O modelo recalcula." sqref="Q9">
      <formula1>0</formula1>
    </dataValidation>
    <dataValidation type="decimal" operator="greaterThanOrEqual" allowBlank="1" showInputMessage="1" showErrorMessage="1" promptTitle="Premissa do cenário" prompt="Número não negativo. O modelo recalcula." sqref="R9">
      <formula1>0</formula1>
    </dataValidation>
    <dataValidation type="decimal" operator="greaterThanOrEqual" allowBlank="1" showInputMessage="1" showErrorMessage="1" promptTitle="Premissa do cenário" prompt="Número não negativo. O modelo recalcula." sqref="S9">
      <formula1>0</formula1>
    </dataValidation>
    <dataValidation type="decimal" operator="greaterThanOrEqual" allowBlank="1" showInputMessage="1" showErrorMessage="1" promptTitle="Premissa do cenário" prompt="Número não negativo. O modelo recalcula." sqref="T9">
      <formula1>0</formula1>
    </dataValidation>
    <dataValidation type="decimal" operator="greaterThanOrEqual" allowBlank="1" showInputMessage="1" showErrorMessage="1" promptTitle="Premissa do cenário" prompt="Número não negativo. O modelo recalcula." sqref="U9">
      <formula1>0</formula1>
    </dataValidation>
    <dataValidation type="decimal" operator="greaterThanOrEqual" allowBlank="1" showInputMessage="1" showErrorMessage="1" promptTitle="Premissa do cenário" prompt="Número não negativo. O modelo recalcula." sqref="V9">
      <formula1>0</formula1>
    </dataValidation>
    <dataValidation type="decimal" operator="greaterThanOrEqual" allowBlank="1" showInputMessage="1" showErrorMessage="1" promptTitle="Premissa do cenário" prompt="Número não negativo. O modelo recalcula." sqref="W9">
      <formula1>0</formula1>
    </dataValidation>
    <dataValidation type="decimal" operator="greaterThanOrEqual" allowBlank="1" showInputMessage="1" showErrorMessage="1" promptTitle="Premissa do cenário" prompt="Número não negativo. O modelo recalcula." sqref="X9">
      <formula1>0</formula1>
    </dataValidation>
    <dataValidation type="decimal" operator="greaterThanOrEqual" allowBlank="1" showInputMessage="1" showErrorMessage="1" promptTitle="Premissa do cenário" prompt="Número não negativo. O modelo recalcula." sqref="Y9">
      <formula1>0</formula1>
    </dataValidation>
    <dataValidation type="decimal" operator="greaterThanOrEqual" allowBlank="1" showInputMessage="1" showErrorMessage="1" promptTitle="Premissa do cenário" prompt="Número não negativo. O modelo recalcula." sqref="C10">
      <formula1>0</formula1>
    </dataValidation>
    <dataValidation type="decimal" operator="greaterThanOrEqual" allowBlank="1" showInputMessage="1" showErrorMessage="1" promptTitle="Premissa do cenário" prompt="Número não negativo. O modelo recalcula." sqref="D10">
      <formula1>0</formula1>
    </dataValidation>
    <dataValidation type="decimal" operator="greaterThanOrEqual" allowBlank="1" showInputMessage="1" showErrorMessage="1" promptTitle="Premissa do cenário" prompt="Número não negativo. O modelo recalcula." sqref="E10">
      <formula1>0</formula1>
    </dataValidation>
    <dataValidation type="decimal" operator="greaterThanOrEqual" allowBlank="1" showInputMessage="1" showErrorMessage="1" promptTitle="Premissa do cenário" prompt="Número não negativo. O modelo recalcula." sqref="F10">
      <formula1>0</formula1>
    </dataValidation>
    <dataValidation type="decimal" operator="greaterThanOrEqual" allowBlank="1" showInputMessage="1" showErrorMessage="1" promptTitle="Premissa do cenário" prompt="Número não negativo. O modelo recalcula." sqref="G10">
      <formula1>0</formula1>
    </dataValidation>
    <dataValidation type="decimal" operator="greaterThanOrEqual" allowBlank="1" showInputMessage="1" showErrorMessage="1" promptTitle="Premissa do cenário" prompt="Número não negativo. O modelo recalcula." sqref="O10">
      <formula1>0</formula1>
    </dataValidation>
    <dataValidation type="decimal" operator="greaterThanOrEqual" allowBlank="1" showInputMessage="1" showErrorMessage="1" promptTitle="Premissa do cenário" prompt="Número não negativo. O modelo recalcula." sqref="P10">
      <formula1>0</formula1>
    </dataValidation>
    <dataValidation type="decimal" operator="greaterThanOrEqual" allowBlank="1" showInputMessage="1" showErrorMessage="1" promptTitle="Premissa do cenário" prompt="Número não negativo. O modelo recalcula." sqref="Q10">
      <formula1>0</formula1>
    </dataValidation>
    <dataValidation type="decimal" operator="greaterThanOrEqual" allowBlank="1" showInputMessage="1" showErrorMessage="1" promptTitle="Premissa do cenário" prompt="Número não negativo. O modelo recalcula." sqref="R10">
      <formula1>0</formula1>
    </dataValidation>
    <dataValidation type="decimal" operator="greaterThanOrEqual" allowBlank="1" showInputMessage="1" showErrorMessage="1" promptTitle="Premissa do cenário" prompt="Número não negativo. O modelo recalcula." sqref="S10">
      <formula1>0</formula1>
    </dataValidation>
    <dataValidation type="decimal" operator="greaterThanOrEqual" allowBlank="1" showInputMessage="1" showErrorMessage="1" promptTitle="Premissa do cenário" prompt="Número não negativo. O modelo recalcula." sqref="T10">
      <formula1>0</formula1>
    </dataValidation>
    <dataValidation type="decimal" operator="greaterThanOrEqual" allowBlank="1" showInputMessage="1" showErrorMessage="1" promptTitle="Premissa do cenário" prompt="Número não negativo. O modelo recalcula." sqref="U10">
      <formula1>0</formula1>
    </dataValidation>
    <dataValidation type="decimal" operator="greaterThanOrEqual" allowBlank="1" showInputMessage="1" showErrorMessage="1" promptTitle="Premissa do cenário" prompt="Número não negativo. O modelo recalcula." sqref="V10">
      <formula1>0</formula1>
    </dataValidation>
    <dataValidation type="decimal" operator="greaterThanOrEqual" allowBlank="1" showInputMessage="1" showErrorMessage="1" promptTitle="Premissa do cenário" prompt="Número não negativo. O modelo recalcula." sqref="W10">
      <formula1>0</formula1>
    </dataValidation>
    <dataValidation type="decimal" operator="greaterThanOrEqual" allowBlank="1" showInputMessage="1" showErrorMessage="1" promptTitle="Premissa do cenário" prompt="Número não negativo. O modelo recalcula." sqref="X10">
      <formula1>0</formula1>
    </dataValidation>
    <dataValidation type="decimal" operator="greaterThanOrEqual" allowBlank="1" showInputMessage="1" showErrorMessage="1" promptTitle="Premissa do cenário" prompt="Número não negativo. O modelo recalcula." sqref="Y10">
      <formula1>0</formula1>
    </dataValidation>
    <dataValidation type="decimal" operator="greaterThanOrEqual" allowBlank="1" showInputMessage="1" showErrorMessage="1" promptTitle="Premissa do cenário" prompt="Número não negativo. O modelo recalcula." sqref="C11">
      <formula1>0</formula1>
    </dataValidation>
    <dataValidation type="decimal" operator="greaterThanOrEqual" allowBlank="1" showInputMessage="1" showErrorMessage="1" promptTitle="Premissa do cenário" prompt="Número não negativo. O modelo recalcula." sqref="D11">
      <formula1>0</formula1>
    </dataValidation>
    <dataValidation type="decimal" operator="greaterThanOrEqual" allowBlank="1" showInputMessage="1" showErrorMessage="1" promptTitle="Premissa do cenário" prompt="Número não negativo. O modelo recalcula." sqref="E11">
      <formula1>0</formula1>
    </dataValidation>
    <dataValidation type="decimal" operator="greaterThanOrEqual" allowBlank="1" showInputMessage="1" showErrorMessage="1" promptTitle="Premissa do cenário" prompt="Número não negativo. O modelo recalcula." sqref="F11">
      <formula1>0</formula1>
    </dataValidation>
    <dataValidation type="decimal" operator="greaterThanOrEqual" allowBlank="1" showInputMessage="1" showErrorMessage="1" promptTitle="Premissa do cenário" prompt="Número não negativo. O modelo recalcula." sqref="G11">
      <formula1>0</formula1>
    </dataValidation>
    <dataValidation type="decimal" operator="greaterThanOrEqual" allowBlank="1" showInputMessage="1" showErrorMessage="1" promptTitle="Premissa do cenário" prompt="Número não negativo. O modelo recalcula." sqref="O11">
      <formula1>0</formula1>
    </dataValidation>
    <dataValidation type="decimal" operator="greaterThanOrEqual" allowBlank="1" showInputMessage="1" showErrorMessage="1" promptTitle="Premissa do cenário" prompt="Número não negativo. O modelo recalcula." sqref="P11">
      <formula1>0</formula1>
    </dataValidation>
    <dataValidation type="decimal" operator="greaterThanOrEqual" allowBlank="1" showInputMessage="1" showErrorMessage="1" promptTitle="Premissa do cenário" prompt="Número não negativo. O modelo recalcula." sqref="Q11">
      <formula1>0</formula1>
    </dataValidation>
    <dataValidation type="decimal" operator="greaterThanOrEqual" allowBlank="1" showInputMessage="1" showErrorMessage="1" promptTitle="Premissa do cenário" prompt="Número não negativo. O modelo recalcula." sqref="R11">
      <formula1>0</formula1>
    </dataValidation>
    <dataValidation type="decimal" operator="greaterThanOrEqual" allowBlank="1" showInputMessage="1" showErrorMessage="1" promptTitle="Premissa do cenário" prompt="Número não negativo. O modelo recalcula." sqref="S11">
      <formula1>0</formula1>
    </dataValidation>
    <dataValidation type="decimal" operator="greaterThanOrEqual" allowBlank="1" showInputMessage="1" showErrorMessage="1" promptTitle="Premissa do cenário" prompt="Número não negativo. O modelo recalcula." sqref="T11">
      <formula1>0</formula1>
    </dataValidation>
    <dataValidation type="decimal" operator="greaterThanOrEqual" allowBlank="1" showInputMessage="1" showErrorMessage="1" promptTitle="Premissa do cenário" prompt="Número não negativo. O modelo recalcula." sqref="U11">
      <formula1>0</formula1>
    </dataValidation>
    <dataValidation type="decimal" operator="greaterThanOrEqual" allowBlank="1" showInputMessage="1" showErrorMessage="1" promptTitle="Premissa do cenário" prompt="Número não negativo. O modelo recalcula." sqref="V11">
      <formula1>0</formula1>
    </dataValidation>
    <dataValidation type="decimal" operator="greaterThanOrEqual" allowBlank="1" showInputMessage="1" showErrorMessage="1" promptTitle="Premissa do cenário" prompt="Número não negativo. O modelo recalcula." sqref="W11">
      <formula1>0</formula1>
    </dataValidation>
    <dataValidation type="decimal" operator="greaterThanOrEqual" allowBlank="1" showInputMessage="1" showErrorMessage="1" promptTitle="Premissa do cenário" prompt="Número não negativo. O modelo recalcula." sqref="X11">
      <formula1>0</formula1>
    </dataValidation>
    <dataValidation type="decimal" operator="greaterThanOrEqual" allowBlank="1" showInputMessage="1" showErrorMessage="1" promptTitle="Premissa do cenário" prompt="Número não negativo. O modelo recalcula." sqref="Y11">
      <formula1>0</formula1>
    </dataValidation>
    <dataValidation type="decimal" operator="greaterThanOrEqual" allowBlank="1" showInputMessage="1" showErrorMessage="1" promptTitle="Premissa do cenário" prompt="Número não negativo. O modelo recalcula." sqref="C12">
      <formula1>0</formula1>
    </dataValidation>
    <dataValidation type="decimal" operator="greaterThanOrEqual" allowBlank="1" showInputMessage="1" showErrorMessage="1" promptTitle="Premissa do cenário" prompt="Número não negativo. O modelo recalcula." sqref="D12">
      <formula1>0</formula1>
    </dataValidation>
    <dataValidation type="decimal" operator="greaterThanOrEqual" allowBlank="1" showInputMessage="1" showErrorMessage="1" promptTitle="Premissa do cenário" prompt="Número não negativo. O modelo recalcula." sqref="E12">
      <formula1>0</formula1>
    </dataValidation>
    <dataValidation type="decimal" operator="greaterThanOrEqual" allowBlank="1" showInputMessage="1" showErrorMessage="1" promptTitle="Premissa do cenário" prompt="Número não negativo. O modelo recalcula." sqref="F12">
      <formula1>0</formula1>
    </dataValidation>
    <dataValidation type="decimal" operator="greaterThanOrEqual" allowBlank="1" showInputMessage="1" showErrorMessage="1" promptTitle="Premissa do cenário" prompt="Número não negativo. O modelo recalcula." sqref="G12">
      <formula1>0</formula1>
    </dataValidation>
    <dataValidation type="decimal" operator="greaterThanOrEqual" allowBlank="1" showInputMessage="1" showErrorMessage="1" promptTitle="Premissa do cenário" prompt="Número não negativo. O modelo recalcula." sqref="O12">
      <formula1>0</formula1>
    </dataValidation>
    <dataValidation type="decimal" operator="greaterThanOrEqual" allowBlank="1" showInputMessage="1" showErrorMessage="1" promptTitle="Premissa do cenário" prompt="Número não negativo. O modelo recalcula." sqref="P12">
      <formula1>0</formula1>
    </dataValidation>
    <dataValidation type="decimal" operator="greaterThanOrEqual" allowBlank="1" showInputMessage="1" showErrorMessage="1" promptTitle="Premissa do cenário" prompt="Número não negativo. O modelo recalcula." sqref="Q12">
      <formula1>0</formula1>
    </dataValidation>
    <dataValidation type="decimal" operator="greaterThanOrEqual" allowBlank="1" showInputMessage="1" showErrorMessage="1" promptTitle="Premissa do cenário" prompt="Número não negativo. O modelo recalcula." sqref="R12">
      <formula1>0</formula1>
    </dataValidation>
    <dataValidation type="decimal" operator="greaterThanOrEqual" allowBlank="1" showInputMessage="1" showErrorMessage="1" promptTitle="Premissa do cenário" prompt="Número não negativo. O modelo recalcula." sqref="S12">
      <formula1>0</formula1>
    </dataValidation>
    <dataValidation type="decimal" operator="greaterThanOrEqual" allowBlank="1" showInputMessage="1" showErrorMessage="1" promptTitle="Premissa do cenário" prompt="Número não negativo. O modelo recalcula." sqref="T12">
      <formula1>0</formula1>
    </dataValidation>
    <dataValidation type="decimal" operator="greaterThanOrEqual" allowBlank="1" showInputMessage="1" showErrorMessage="1" promptTitle="Premissa do cenário" prompt="Número não negativo. O modelo recalcula." sqref="U12">
      <formula1>0</formula1>
    </dataValidation>
    <dataValidation type="decimal" operator="greaterThanOrEqual" allowBlank="1" showInputMessage="1" showErrorMessage="1" promptTitle="Premissa do cenário" prompt="Número não negativo. O modelo recalcula." sqref="V12">
      <formula1>0</formula1>
    </dataValidation>
    <dataValidation type="decimal" operator="greaterThanOrEqual" allowBlank="1" showInputMessage="1" showErrorMessage="1" promptTitle="Premissa do cenário" prompt="Número não negativo. O modelo recalcula." sqref="W12">
      <formula1>0</formula1>
    </dataValidation>
    <dataValidation type="decimal" operator="greaterThanOrEqual" allowBlank="1" showInputMessage="1" showErrorMessage="1" promptTitle="Premissa do cenário" prompt="Número não negativo. O modelo recalcula." sqref="X12">
      <formula1>0</formula1>
    </dataValidation>
    <dataValidation type="decimal" operator="greaterThanOrEqual" allowBlank="1" showInputMessage="1" showErrorMessage="1" promptTitle="Premissa do cenário" prompt="Número não negativo. O modelo recalcula." sqref="Y12">
      <formula1>0</formula1>
    </dataValidation>
    <dataValidation type="decimal" operator="greaterThanOrEqual" allowBlank="1" showInputMessage="1" showErrorMessage="1" promptTitle="Premissa do cenário" prompt="Número não negativo. O modelo recalcula." sqref="C13">
      <formula1>0</formula1>
    </dataValidation>
    <dataValidation type="decimal" operator="greaterThanOrEqual" allowBlank="1" showInputMessage="1" showErrorMessage="1" promptTitle="Premissa do cenário" prompt="Número não negativo. O modelo recalcula." sqref="D13">
      <formula1>0</formula1>
    </dataValidation>
    <dataValidation type="decimal" operator="greaterThanOrEqual" allowBlank="1" showInputMessage="1" showErrorMessage="1" promptTitle="Premissa do cenário" prompt="Número não negativo. O modelo recalcula." sqref="E13">
      <formula1>0</formula1>
    </dataValidation>
    <dataValidation type="decimal" operator="greaterThanOrEqual" allowBlank="1" showInputMessage="1" showErrorMessage="1" promptTitle="Premissa do cenário" prompt="Número não negativo. O modelo recalcula." sqref="F13">
      <formula1>0</formula1>
    </dataValidation>
    <dataValidation type="decimal" operator="greaterThanOrEqual" allowBlank="1" showInputMessage="1" showErrorMessage="1" promptTitle="Premissa do cenário" prompt="Número não negativo. O modelo recalcula." sqref="G13">
      <formula1>0</formula1>
    </dataValidation>
    <dataValidation type="decimal" operator="greaterThanOrEqual" allowBlank="1" showInputMessage="1" showErrorMessage="1" promptTitle="Premissa do cenário" prompt="Número não negativo. O modelo recalcula." sqref="O13">
      <formula1>0</formula1>
    </dataValidation>
    <dataValidation type="decimal" operator="greaterThanOrEqual" allowBlank="1" showInputMessage="1" showErrorMessage="1" promptTitle="Premissa do cenário" prompt="Número não negativo. O modelo recalcula." sqref="P13">
      <formula1>0</formula1>
    </dataValidation>
    <dataValidation type="decimal" operator="greaterThanOrEqual" allowBlank="1" showInputMessage="1" showErrorMessage="1" promptTitle="Premissa do cenário" prompt="Número não negativo. O modelo recalcula." sqref="Q13">
      <formula1>0</formula1>
    </dataValidation>
    <dataValidation type="decimal" operator="greaterThanOrEqual" allowBlank="1" showInputMessage="1" showErrorMessage="1" promptTitle="Premissa do cenário" prompt="Número não negativo. O modelo recalcula." sqref="R13">
      <formula1>0</formula1>
    </dataValidation>
    <dataValidation type="decimal" operator="greaterThanOrEqual" allowBlank="1" showInputMessage="1" showErrorMessage="1" promptTitle="Premissa do cenário" prompt="Número não negativo. O modelo recalcula." sqref="S13">
      <formula1>0</formula1>
    </dataValidation>
    <dataValidation type="decimal" operator="greaterThanOrEqual" allowBlank="1" showInputMessage="1" showErrorMessage="1" promptTitle="Premissa do cenário" prompt="Número não negativo. O modelo recalcula." sqref="T13">
      <formula1>0</formula1>
    </dataValidation>
    <dataValidation type="decimal" operator="greaterThanOrEqual" allowBlank="1" showInputMessage="1" showErrorMessage="1" promptTitle="Premissa do cenário" prompt="Número não negativo. O modelo recalcula." sqref="U13">
      <formula1>0</formula1>
    </dataValidation>
    <dataValidation type="decimal" operator="greaterThanOrEqual" allowBlank="1" showInputMessage="1" showErrorMessage="1" promptTitle="Premissa do cenário" prompt="Número não negativo. O modelo recalcula." sqref="V13">
      <formula1>0</formula1>
    </dataValidation>
    <dataValidation type="decimal" operator="greaterThanOrEqual" allowBlank="1" showInputMessage="1" showErrorMessage="1" promptTitle="Premissa do cenário" prompt="Número não negativo. O modelo recalcula." sqref="W13">
      <formula1>0</formula1>
    </dataValidation>
    <dataValidation type="decimal" operator="greaterThanOrEqual" allowBlank="1" showInputMessage="1" showErrorMessage="1" promptTitle="Premissa do cenário" prompt="Número não negativo. O modelo recalcula." sqref="X13">
      <formula1>0</formula1>
    </dataValidation>
    <dataValidation type="decimal" operator="greaterThanOrEqual" allowBlank="1" showInputMessage="1" showErrorMessage="1" promptTitle="Premissa do cenário" prompt="Número não negativo. O modelo recalcula." sqref="Y13">
      <formula1>0</formula1>
    </dataValidation>
    <dataValidation type="decimal" operator="greaterThanOrEqual" allowBlank="1" showInputMessage="1" showErrorMessage="1" promptTitle="Premissa do cenário" prompt="Número não negativo. O modelo recalcula." sqref="C14">
      <formula1>0</formula1>
    </dataValidation>
    <dataValidation type="decimal" operator="greaterThanOrEqual" allowBlank="1" showInputMessage="1" showErrorMessage="1" promptTitle="Premissa do cenário" prompt="Número não negativo. O modelo recalcula." sqref="D14">
      <formula1>0</formula1>
    </dataValidation>
    <dataValidation type="decimal" operator="greaterThanOrEqual" allowBlank="1" showInputMessage="1" showErrorMessage="1" promptTitle="Premissa do cenário" prompt="Número não negativo. O modelo recalcula." sqref="E14">
      <formula1>0</formula1>
    </dataValidation>
    <dataValidation type="decimal" operator="greaterThanOrEqual" allowBlank="1" showInputMessage="1" showErrorMessage="1" promptTitle="Premissa do cenário" prompt="Número não negativo. O modelo recalcula." sqref="F14">
      <formula1>0</formula1>
    </dataValidation>
    <dataValidation type="decimal" operator="greaterThanOrEqual" allowBlank="1" showInputMessage="1" showErrorMessage="1" promptTitle="Premissa do cenário" prompt="Número não negativo. O modelo recalcula." sqref="G14">
      <formula1>0</formula1>
    </dataValidation>
    <dataValidation type="decimal" operator="greaterThanOrEqual" allowBlank="1" showInputMessage="1" showErrorMessage="1" promptTitle="Premissa do cenário" prompt="Número não negativo. O modelo recalcula." sqref="O14">
      <formula1>0</formula1>
    </dataValidation>
    <dataValidation type="decimal" operator="greaterThanOrEqual" allowBlank="1" showInputMessage="1" showErrorMessage="1" promptTitle="Premissa do cenário" prompt="Número não negativo. O modelo recalcula." sqref="P14">
      <formula1>0</formula1>
    </dataValidation>
    <dataValidation type="decimal" operator="greaterThanOrEqual" allowBlank="1" showInputMessage="1" showErrorMessage="1" promptTitle="Premissa do cenário" prompt="Número não negativo. O modelo recalcula." sqref="Q14">
      <formula1>0</formula1>
    </dataValidation>
    <dataValidation type="decimal" operator="greaterThanOrEqual" allowBlank="1" showInputMessage="1" showErrorMessage="1" promptTitle="Premissa do cenário" prompt="Número não negativo. O modelo recalcula." sqref="R14">
      <formula1>0</formula1>
    </dataValidation>
    <dataValidation type="decimal" operator="greaterThanOrEqual" allowBlank="1" showInputMessage="1" showErrorMessage="1" promptTitle="Premissa do cenário" prompt="Número não negativo. O modelo recalcula." sqref="S14">
      <formula1>0</formula1>
    </dataValidation>
    <dataValidation type="decimal" operator="greaterThanOrEqual" allowBlank="1" showInputMessage="1" showErrorMessage="1" promptTitle="Premissa do cenário" prompt="Número não negativo. O modelo recalcula." sqref="T14">
      <formula1>0</formula1>
    </dataValidation>
    <dataValidation type="decimal" operator="greaterThanOrEqual" allowBlank="1" showInputMessage="1" showErrorMessage="1" promptTitle="Premissa do cenário" prompt="Número não negativo. O modelo recalcula." sqref="U14">
      <formula1>0</formula1>
    </dataValidation>
    <dataValidation type="decimal" operator="greaterThanOrEqual" allowBlank="1" showInputMessage="1" showErrorMessage="1" promptTitle="Premissa do cenário" prompt="Número não negativo. O modelo recalcula." sqref="V14">
      <formula1>0</formula1>
    </dataValidation>
    <dataValidation type="decimal" operator="greaterThanOrEqual" allowBlank="1" showInputMessage="1" showErrorMessage="1" promptTitle="Premissa do cenário" prompt="Número não negativo. O modelo recalcula." sqref="W14">
      <formula1>0</formula1>
    </dataValidation>
    <dataValidation type="decimal" operator="greaterThanOrEqual" allowBlank="1" showInputMessage="1" showErrorMessage="1" promptTitle="Premissa do cenário" prompt="Número não negativo. O modelo recalcula." sqref="X14">
      <formula1>0</formula1>
    </dataValidation>
    <dataValidation type="decimal" operator="greaterThanOrEqual" allowBlank="1" showInputMessage="1" showErrorMessage="1" promptTitle="Premissa do cenário" prompt="Número não negativo. O modelo recalcula." sqref="Y14">
      <formula1>0</formula1>
    </dataValidation>
    <dataValidation type="decimal" operator="greaterThanOrEqual" allowBlank="1" showInputMessage="1" showErrorMessage="1" promptTitle="Premissa do cenário" prompt="Número não negativo. O modelo recalcula." sqref="C15">
      <formula1>0</formula1>
    </dataValidation>
    <dataValidation type="decimal" operator="greaterThanOrEqual" allowBlank="1" showInputMessage="1" showErrorMessage="1" promptTitle="Premissa do cenário" prompt="Número não negativo. O modelo recalcula." sqref="D15">
      <formula1>0</formula1>
    </dataValidation>
    <dataValidation type="decimal" operator="greaterThanOrEqual" allowBlank="1" showInputMessage="1" showErrorMessage="1" promptTitle="Premissa do cenário" prompt="Número não negativo. O modelo recalcula." sqref="E15">
      <formula1>0</formula1>
    </dataValidation>
    <dataValidation type="decimal" operator="greaterThanOrEqual" allowBlank="1" showInputMessage="1" showErrorMessage="1" promptTitle="Premissa do cenário" prompt="Número não negativo. O modelo recalcula." sqref="F15">
      <formula1>0</formula1>
    </dataValidation>
    <dataValidation type="decimal" operator="greaterThanOrEqual" allowBlank="1" showInputMessage="1" showErrorMessage="1" promptTitle="Premissa do cenário" prompt="Número não negativo. O modelo recalcula." sqref="G15">
      <formula1>0</formula1>
    </dataValidation>
    <dataValidation type="decimal" operator="greaterThanOrEqual" allowBlank="1" showInputMessage="1" showErrorMessage="1" promptTitle="Premissa do cenário" prompt="Número não negativo. O modelo recalcula." sqref="O15">
      <formula1>0</formula1>
    </dataValidation>
    <dataValidation type="decimal" operator="greaterThanOrEqual" allowBlank="1" showInputMessage="1" showErrorMessage="1" promptTitle="Premissa do cenário" prompt="Número não negativo. O modelo recalcula." sqref="P15">
      <formula1>0</formula1>
    </dataValidation>
    <dataValidation type="decimal" operator="greaterThanOrEqual" allowBlank="1" showInputMessage="1" showErrorMessage="1" promptTitle="Premissa do cenário" prompt="Número não negativo. O modelo recalcula." sqref="Q15">
      <formula1>0</formula1>
    </dataValidation>
    <dataValidation type="decimal" operator="greaterThanOrEqual" allowBlank="1" showInputMessage="1" showErrorMessage="1" promptTitle="Premissa do cenário" prompt="Número não negativo. O modelo recalcula." sqref="R15">
      <formula1>0</formula1>
    </dataValidation>
    <dataValidation type="decimal" operator="greaterThanOrEqual" allowBlank="1" showInputMessage="1" showErrorMessage="1" promptTitle="Premissa do cenário" prompt="Número não negativo. O modelo recalcula." sqref="S15">
      <formula1>0</formula1>
    </dataValidation>
    <dataValidation type="decimal" operator="greaterThanOrEqual" allowBlank="1" showInputMessage="1" showErrorMessage="1" promptTitle="Premissa do cenário" prompt="Número não negativo. O modelo recalcula." sqref="T15">
      <formula1>0</formula1>
    </dataValidation>
    <dataValidation type="decimal" operator="greaterThanOrEqual" allowBlank="1" showInputMessage="1" showErrorMessage="1" promptTitle="Premissa do cenário" prompt="Número não negativo. O modelo recalcula." sqref="U15">
      <formula1>0</formula1>
    </dataValidation>
    <dataValidation type="decimal" operator="greaterThanOrEqual" allowBlank="1" showInputMessage="1" showErrorMessage="1" promptTitle="Premissa do cenário" prompt="Número não negativo. O modelo recalcula." sqref="V15">
      <formula1>0</formula1>
    </dataValidation>
    <dataValidation type="decimal" operator="greaterThanOrEqual" allowBlank="1" showInputMessage="1" showErrorMessage="1" promptTitle="Premissa do cenário" prompt="Número não negativo. O modelo recalcula." sqref="W15">
      <formula1>0</formula1>
    </dataValidation>
    <dataValidation type="decimal" operator="greaterThanOrEqual" allowBlank="1" showInputMessage="1" showErrorMessage="1" promptTitle="Premissa do cenário" prompt="Número não negativo. O modelo recalcula." sqref="X15">
      <formula1>0</formula1>
    </dataValidation>
    <dataValidation type="decimal" operator="greaterThanOrEqual" allowBlank="1" showInputMessage="1" showErrorMessage="1" promptTitle="Premissa do cenário" prompt="Número não negativo. O modelo recalcula." sqref="Y15">
      <formula1>0</formula1>
    </dataValidation>
    <dataValidation type="decimal" operator="greaterThanOrEqual" allowBlank="1" showInputMessage="1" showErrorMessage="1" promptTitle="Premissa do cenário" prompt="Número não negativo. O modelo recalcula." sqref="C16">
      <formula1>0</formula1>
    </dataValidation>
    <dataValidation type="decimal" operator="greaterThanOrEqual" allowBlank="1" showInputMessage="1" showErrorMessage="1" promptTitle="Premissa do cenário" prompt="Número não negativo. O modelo recalcula." sqref="D16">
      <formula1>0</formula1>
    </dataValidation>
    <dataValidation type="decimal" operator="greaterThanOrEqual" allowBlank="1" showInputMessage="1" showErrorMessage="1" promptTitle="Premissa do cenário" prompt="Número não negativo. O modelo recalcula." sqref="E16">
      <formula1>0</formula1>
    </dataValidation>
    <dataValidation type="decimal" operator="greaterThanOrEqual" allowBlank="1" showInputMessage="1" showErrorMessage="1" promptTitle="Premissa do cenário" prompt="Número não negativo. O modelo recalcula." sqref="F16">
      <formula1>0</formula1>
    </dataValidation>
    <dataValidation type="decimal" operator="greaterThanOrEqual" allowBlank="1" showInputMessage="1" showErrorMessage="1" promptTitle="Premissa do cenário" prompt="Número não negativo. O modelo recalcula." sqref="G16">
      <formula1>0</formula1>
    </dataValidation>
    <dataValidation type="decimal" operator="greaterThanOrEqual" allowBlank="1" showInputMessage="1" showErrorMessage="1" promptTitle="Premissa do cenário" prompt="Número não negativo. O modelo recalcula." sqref="O16">
      <formula1>0</formula1>
    </dataValidation>
    <dataValidation type="decimal" operator="greaterThanOrEqual" allowBlank="1" showInputMessage="1" showErrorMessage="1" promptTitle="Premissa do cenário" prompt="Número não negativo. O modelo recalcula." sqref="P16">
      <formula1>0</formula1>
    </dataValidation>
    <dataValidation type="decimal" operator="greaterThanOrEqual" allowBlank="1" showInputMessage="1" showErrorMessage="1" promptTitle="Premissa do cenário" prompt="Número não negativo. O modelo recalcula." sqref="Q16">
      <formula1>0</formula1>
    </dataValidation>
    <dataValidation type="decimal" operator="greaterThanOrEqual" allowBlank="1" showInputMessage="1" showErrorMessage="1" promptTitle="Premissa do cenário" prompt="Número não negativo. O modelo recalcula." sqref="R16">
      <formula1>0</formula1>
    </dataValidation>
    <dataValidation type="decimal" operator="greaterThanOrEqual" allowBlank="1" showInputMessage="1" showErrorMessage="1" promptTitle="Premissa do cenário" prompt="Número não negativo. O modelo recalcula." sqref="S16">
      <formula1>0</formula1>
    </dataValidation>
    <dataValidation type="decimal" operator="greaterThanOrEqual" allowBlank="1" showInputMessage="1" showErrorMessage="1" promptTitle="Premissa do cenário" prompt="Número não negativo. O modelo recalcula." sqref="T16">
      <formula1>0</formula1>
    </dataValidation>
    <dataValidation type="decimal" operator="greaterThanOrEqual" allowBlank="1" showInputMessage="1" showErrorMessage="1" promptTitle="Premissa do cenário" prompt="Número não negativo. O modelo recalcula." sqref="U16">
      <formula1>0</formula1>
    </dataValidation>
    <dataValidation type="decimal" operator="greaterThanOrEqual" allowBlank="1" showInputMessage="1" showErrorMessage="1" promptTitle="Premissa do cenário" prompt="Número não negativo. O modelo recalcula." sqref="V16">
      <formula1>0</formula1>
    </dataValidation>
    <dataValidation type="decimal" operator="greaterThanOrEqual" allowBlank="1" showInputMessage="1" showErrorMessage="1" promptTitle="Premissa do cenário" prompt="Número não negativo. O modelo recalcula." sqref="W16">
      <formula1>0</formula1>
    </dataValidation>
    <dataValidation type="decimal" operator="greaterThanOrEqual" allowBlank="1" showInputMessage="1" showErrorMessage="1" promptTitle="Premissa do cenário" prompt="Número não negativo. O modelo recalcula." sqref="X16">
      <formula1>0</formula1>
    </dataValidation>
    <dataValidation type="decimal" operator="greaterThanOrEqual" allowBlank="1" showInputMessage="1" showErrorMessage="1" promptTitle="Premissa do cenário" prompt="Número não negativo. O modelo recalcula." sqref="Y16">
      <formula1>0</formula1>
    </dataValidation>
    <dataValidation type="decimal" operator="greaterThanOrEqual" allowBlank="1" showInputMessage="1" showErrorMessage="1" promptTitle="Premissa do cenário" prompt="Número não negativo. O modelo recalcula." sqref="C17">
      <formula1>0</formula1>
    </dataValidation>
    <dataValidation type="decimal" operator="greaterThanOrEqual" allowBlank="1" showInputMessage="1" showErrorMessage="1" promptTitle="Premissa do cenário" prompt="Número não negativo. O modelo recalcula." sqref="D17">
      <formula1>0</formula1>
    </dataValidation>
    <dataValidation type="decimal" operator="greaterThanOrEqual" allowBlank="1" showInputMessage="1" showErrorMessage="1" promptTitle="Premissa do cenário" prompt="Número não negativo. O modelo recalcula." sqref="E17">
      <formula1>0</formula1>
    </dataValidation>
    <dataValidation type="decimal" operator="greaterThanOrEqual" allowBlank="1" showInputMessage="1" showErrorMessage="1" promptTitle="Premissa do cenário" prompt="Número não negativo. O modelo recalcula." sqref="F17">
      <formula1>0</formula1>
    </dataValidation>
    <dataValidation type="decimal" operator="greaterThanOrEqual" allowBlank="1" showInputMessage="1" showErrorMessage="1" promptTitle="Premissa do cenário" prompt="Número não negativo. O modelo recalcula." sqref="G17">
      <formula1>0</formula1>
    </dataValidation>
    <dataValidation type="decimal" operator="greaterThanOrEqual" allowBlank="1" showInputMessage="1" showErrorMessage="1" promptTitle="Premissa do cenário" prompt="Número não negativo. O modelo recalcula." sqref="O17">
      <formula1>0</formula1>
    </dataValidation>
    <dataValidation type="decimal" operator="greaterThanOrEqual" allowBlank="1" showInputMessage="1" showErrorMessage="1" promptTitle="Premissa do cenário" prompt="Número não negativo. O modelo recalcula." sqref="P17">
      <formula1>0</formula1>
    </dataValidation>
    <dataValidation type="decimal" operator="greaterThanOrEqual" allowBlank="1" showInputMessage="1" showErrorMessage="1" promptTitle="Premissa do cenário" prompt="Número não negativo. O modelo recalcula." sqref="Q17">
      <formula1>0</formula1>
    </dataValidation>
    <dataValidation type="decimal" operator="greaterThanOrEqual" allowBlank="1" showInputMessage="1" showErrorMessage="1" promptTitle="Premissa do cenário" prompt="Número não negativo. O modelo recalcula." sqref="R17">
      <formula1>0</formula1>
    </dataValidation>
    <dataValidation type="decimal" operator="greaterThanOrEqual" allowBlank="1" showInputMessage="1" showErrorMessage="1" promptTitle="Premissa do cenário" prompt="Número não negativo. O modelo recalcula." sqref="S17">
      <formula1>0</formula1>
    </dataValidation>
    <dataValidation type="decimal" operator="greaterThanOrEqual" allowBlank="1" showInputMessage="1" showErrorMessage="1" promptTitle="Premissa do cenário" prompt="Número não negativo. O modelo recalcula." sqref="T17">
      <formula1>0</formula1>
    </dataValidation>
    <dataValidation type="decimal" operator="greaterThanOrEqual" allowBlank="1" showInputMessage="1" showErrorMessage="1" promptTitle="Premissa do cenário" prompt="Número não negativo. O modelo recalcula." sqref="U17">
      <formula1>0</formula1>
    </dataValidation>
    <dataValidation type="decimal" operator="greaterThanOrEqual" allowBlank="1" showInputMessage="1" showErrorMessage="1" promptTitle="Premissa do cenário" prompt="Número não negativo. O modelo recalcula." sqref="V17">
      <formula1>0</formula1>
    </dataValidation>
    <dataValidation type="decimal" operator="greaterThanOrEqual" allowBlank="1" showInputMessage="1" showErrorMessage="1" promptTitle="Premissa do cenário" prompt="Número não negativo. O modelo recalcula." sqref="W17">
      <formula1>0</formula1>
    </dataValidation>
    <dataValidation type="decimal" operator="greaterThanOrEqual" allowBlank="1" showInputMessage="1" showErrorMessage="1" promptTitle="Premissa do cenário" prompt="Número não negativo. O modelo recalcula." sqref="X17">
      <formula1>0</formula1>
    </dataValidation>
    <dataValidation type="decimal" operator="greaterThanOrEqual" allowBlank="1" showInputMessage="1" showErrorMessage="1" promptTitle="Premissa do cenário" prompt="Número não negativo. O modelo recalcula." sqref="Y17">
      <formula1>0</formula1>
    </dataValidation>
    <dataValidation type="decimal" operator="greaterThanOrEqual" allowBlank="1" showInputMessage="1" showErrorMessage="1" promptTitle="Premissa do cenário" prompt="Número não negativo. O modelo recalcula." sqref="C18">
      <formula1>0</formula1>
    </dataValidation>
    <dataValidation type="decimal" operator="greaterThanOrEqual" allowBlank="1" showInputMessage="1" showErrorMessage="1" promptTitle="Premissa do cenário" prompt="Número não negativo. O modelo recalcula." sqref="D18">
      <formula1>0</formula1>
    </dataValidation>
    <dataValidation type="decimal" operator="greaterThanOrEqual" allowBlank="1" showInputMessage="1" showErrorMessage="1" promptTitle="Premissa do cenário" prompt="Número não negativo. O modelo recalcula." sqref="E18">
      <formula1>0</formula1>
    </dataValidation>
    <dataValidation type="decimal" operator="greaterThanOrEqual" allowBlank="1" showInputMessage="1" showErrorMessage="1" promptTitle="Premissa do cenário" prompt="Número não negativo. O modelo recalcula." sqref="F18">
      <formula1>0</formula1>
    </dataValidation>
    <dataValidation type="decimal" operator="greaterThanOrEqual" allowBlank="1" showInputMessage="1" showErrorMessage="1" promptTitle="Premissa do cenário" prompt="Número não negativo. O modelo recalcula." sqref="G18">
      <formula1>0</formula1>
    </dataValidation>
    <dataValidation type="decimal" operator="greaterThanOrEqual" allowBlank="1" showInputMessage="1" showErrorMessage="1" promptTitle="Premissa do cenário" prompt="Número não negativo. O modelo recalcula." sqref="O18">
      <formula1>0</formula1>
    </dataValidation>
    <dataValidation type="decimal" operator="greaterThanOrEqual" allowBlank="1" showInputMessage="1" showErrorMessage="1" promptTitle="Premissa do cenário" prompt="Número não negativo. O modelo recalcula." sqref="P18">
      <formula1>0</formula1>
    </dataValidation>
    <dataValidation type="decimal" operator="greaterThanOrEqual" allowBlank="1" showInputMessage="1" showErrorMessage="1" promptTitle="Premissa do cenário" prompt="Número não negativo. O modelo recalcula." sqref="Q18">
      <formula1>0</formula1>
    </dataValidation>
    <dataValidation type="decimal" operator="greaterThanOrEqual" allowBlank="1" showInputMessage="1" showErrorMessage="1" promptTitle="Premissa do cenário" prompt="Número não negativo. O modelo recalcula." sqref="R18">
      <formula1>0</formula1>
    </dataValidation>
    <dataValidation type="decimal" operator="greaterThanOrEqual" allowBlank="1" showInputMessage="1" showErrorMessage="1" promptTitle="Premissa do cenário" prompt="Número não negativo. O modelo recalcula." sqref="S18">
      <formula1>0</formula1>
    </dataValidation>
    <dataValidation type="decimal" operator="greaterThanOrEqual" allowBlank="1" showInputMessage="1" showErrorMessage="1" promptTitle="Premissa do cenário" prompt="Número não negativo. O modelo recalcula." sqref="T18">
      <formula1>0</formula1>
    </dataValidation>
    <dataValidation type="decimal" operator="greaterThanOrEqual" allowBlank="1" showInputMessage="1" showErrorMessage="1" promptTitle="Premissa do cenário" prompt="Número não negativo. O modelo recalcula." sqref="U18">
      <formula1>0</formula1>
    </dataValidation>
    <dataValidation type="decimal" operator="greaterThanOrEqual" allowBlank="1" showInputMessage="1" showErrorMessage="1" promptTitle="Premissa do cenário" prompt="Número não negativo. O modelo recalcula." sqref="V18">
      <formula1>0</formula1>
    </dataValidation>
    <dataValidation type="decimal" operator="greaterThanOrEqual" allowBlank="1" showInputMessage="1" showErrorMessage="1" promptTitle="Premissa do cenário" prompt="Número não negativo. O modelo recalcula." sqref="W18">
      <formula1>0</formula1>
    </dataValidation>
    <dataValidation type="decimal" operator="greaterThanOrEqual" allowBlank="1" showInputMessage="1" showErrorMessage="1" promptTitle="Premissa do cenário" prompt="Número não negativo. O modelo recalcula." sqref="X18">
      <formula1>0</formula1>
    </dataValidation>
    <dataValidation type="decimal" operator="greaterThanOrEqual" allowBlank="1" showInputMessage="1" showErrorMessage="1" promptTitle="Premissa do cenário" prompt="Número não negativo. O modelo recalcula." sqref="Y18">
      <formula1>0</formula1>
    </dataValidation>
    <dataValidation type="decimal" operator="greaterThanOrEqual" allowBlank="1" showInputMessage="1" showErrorMessage="1" promptTitle="Premissa do cenário" prompt="Número não negativo. O modelo recalcula." sqref="C19">
      <formula1>0</formula1>
    </dataValidation>
    <dataValidation type="decimal" operator="greaterThanOrEqual" allowBlank="1" showInputMessage="1" showErrorMessage="1" promptTitle="Premissa do cenário" prompt="Número não negativo. O modelo recalcula." sqref="D19">
      <formula1>0</formula1>
    </dataValidation>
    <dataValidation type="decimal" operator="greaterThanOrEqual" allowBlank="1" showInputMessage="1" showErrorMessage="1" promptTitle="Premissa do cenário" prompt="Número não negativo. O modelo recalcula." sqref="E19">
      <formula1>0</formula1>
    </dataValidation>
    <dataValidation type="decimal" operator="greaterThanOrEqual" allowBlank="1" showInputMessage="1" showErrorMessage="1" promptTitle="Premissa do cenário" prompt="Número não negativo. O modelo recalcula." sqref="F19">
      <formula1>0</formula1>
    </dataValidation>
    <dataValidation type="decimal" operator="greaterThanOrEqual" allowBlank="1" showInputMessage="1" showErrorMessage="1" promptTitle="Premissa do cenário" prompt="Número não negativo. O modelo recalcula." sqref="G19">
      <formula1>0</formula1>
    </dataValidation>
    <dataValidation type="decimal" operator="greaterThanOrEqual" allowBlank="1" showInputMessage="1" showErrorMessage="1" promptTitle="Premissa do cenário" prompt="Número não negativo. O modelo recalcula." sqref="O19">
      <formula1>0</formula1>
    </dataValidation>
    <dataValidation type="decimal" operator="greaterThanOrEqual" allowBlank="1" showInputMessage="1" showErrorMessage="1" promptTitle="Premissa do cenário" prompt="Número não negativo. O modelo recalcula." sqref="P19">
      <formula1>0</formula1>
    </dataValidation>
    <dataValidation type="decimal" operator="greaterThanOrEqual" allowBlank="1" showInputMessage="1" showErrorMessage="1" promptTitle="Premissa do cenário" prompt="Número não negativo. O modelo recalcula." sqref="Q19">
      <formula1>0</formula1>
    </dataValidation>
    <dataValidation type="decimal" operator="greaterThanOrEqual" allowBlank="1" showInputMessage="1" showErrorMessage="1" promptTitle="Premissa do cenário" prompt="Número não negativo. O modelo recalcula." sqref="R19">
      <formula1>0</formula1>
    </dataValidation>
    <dataValidation type="decimal" operator="greaterThanOrEqual" allowBlank="1" showInputMessage="1" showErrorMessage="1" promptTitle="Premissa do cenário" prompt="Número não negativo. O modelo recalcula." sqref="S19">
      <formula1>0</formula1>
    </dataValidation>
    <dataValidation type="decimal" operator="greaterThanOrEqual" allowBlank="1" showInputMessage="1" showErrorMessage="1" promptTitle="Premissa do cenário" prompt="Número não negativo. O modelo recalcula." sqref="T19">
      <formula1>0</formula1>
    </dataValidation>
    <dataValidation type="decimal" operator="greaterThanOrEqual" allowBlank="1" showInputMessage="1" showErrorMessage="1" promptTitle="Premissa do cenário" prompt="Número não negativo. O modelo recalcula." sqref="U19">
      <formula1>0</formula1>
    </dataValidation>
    <dataValidation type="decimal" operator="greaterThanOrEqual" allowBlank="1" showInputMessage="1" showErrorMessage="1" promptTitle="Premissa do cenário" prompt="Número não negativo. O modelo recalcula." sqref="V19">
      <formula1>0</formula1>
    </dataValidation>
    <dataValidation type="decimal" operator="greaterThanOrEqual" allowBlank="1" showInputMessage="1" showErrorMessage="1" promptTitle="Premissa do cenário" prompt="Número não negativo. O modelo recalcula." sqref="W19">
      <formula1>0</formula1>
    </dataValidation>
    <dataValidation type="decimal" operator="greaterThanOrEqual" allowBlank="1" showInputMessage="1" showErrorMessage="1" promptTitle="Premissa do cenário" prompt="Número não negativo. O modelo recalcula." sqref="X19">
      <formula1>0</formula1>
    </dataValidation>
    <dataValidation type="decimal" operator="greaterThanOrEqual" allowBlank="1" showInputMessage="1" showErrorMessage="1" promptTitle="Premissa do cenário" prompt="Número não negativo. O modelo recalcula." sqref="Y19">
      <formula1>0</formula1>
    </dataValidation>
    <dataValidation type="decimal" operator="greaterThanOrEqual" allowBlank="1" showInputMessage="1" showErrorMessage="1" promptTitle="Premissa do cenário" prompt="Número não negativo. O modelo recalcula." sqref="C20">
      <formula1>0</formula1>
    </dataValidation>
    <dataValidation type="decimal" operator="greaterThanOrEqual" allowBlank="1" showInputMessage="1" showErrorMessage="1" promptTitle="Premissa do cenário" prompt="Número não negativo. O modelo recalcula." sqref="D20">
      <formula1>0</formula1>
    </dataValidation>
    <dataValidation type="decimal" operator="greaterThanOrEqual" allowBlank="1" showInputMessage="1" showErrorMessage="1" promptTitle="Premissa do cenário" prompt="Número não negativo. O modelo recalcula." sqref="E20">
      <formula1>0</formula1>
    </dataValidation>
    <dataValidation type="decimal" operator="greaterThanOrEqual" allowBlank="1" showInputMessage="1" showErrorMessage="1" promptTitle="Premissa do cenário" prompt="Número não negativo. O modelo recalcula." sqref="F20">
      <formula1>0</formula1>
    </dataValidation>
    <dataValidation type="decimal" operator="greaterThanOrEqual" allowBlank="1" showInputMessage="1" showErrorMessage="1" promptTitle="Premissa do cenário" prompt="Número não negativo. O modelo recalcula." sqref="G20">
      <formula1>0</formula1>
    </dataValidation>
    <dataValidation type="decimal" operator="greaterThanOrEqual" allowBlank="1" showInputMessage="1" showErrorMessage="1" promptTitle="Premissa do cenário" prompt="Número não negativo. O modelo recalcula." sqref="O20">
      <formula1>0</formula1>
    </dataValidation>
    <dataValidation type="decimal" operator="greaterThanOrEqual" allowBlank="1" showInputMessage="1" showErrorMessage="1" promptTitle="Premissa do cenário" prompt="Número não negativo. O modelo recalcula." sqref="P20">
      <formula1>0</formula1>
    </dataValidation>
    <dataValidation type="decimal" operator="greaterThanOrEqual" allowBlank="1" showInputMessage="1" showErrorMessage="1" promptTitle="Premissa do cenário" prompt="Número não negativo. O modelo recalcula." sqref="Q20">
      <formula1>0</formula1>
    </dataValidation>
    <dataValidation type="decimal" operator="greaterThanOrEqual" allowBlank="1" showInputMessage="1" showErrorMessage="1" promptTitle="Premissa do cenário" prompt="Número não negativo. O modelo recalcula." sqref="R20">
      <formula1>0</formula1>
    </dataValidation>
    <dataValidation type="decimal" operator="greaterThanOrEqual" allowBlank="1" showInputMessage="1" showErrorMessage="1" promptTitle="Premissa do cenário" prompt="Número não negativo. O modelo recalcula." sqref="S20">
      <formula1>0</formula1>
    </dataValidation>
    <dataValidation type="decimal" operator="greaterThanOrEqual" allowBlank="1" showInputMessage="1" showErrorMessage="1" promptTitle="Premissa do cenário" prompt="Número não negativo. O modelo recalcula." sqref="T20">
      <formula1>0</formula1>
    </dataValidation>
    <dataValidation type="decimal" operator="greaterThanOrEqual" allowBlank="1" showInputMessage="1" showErrorMessage="1" promptTitle="Premissa do cenário" prompt="Número não negativo. O modelo recalcula." sqref="U20">
      <formula1>0</formula1>
    </dataValidation>
    <dataValidation type="decimal" operator="greaterThanOrEqual" allowBlank="1" showInputMessage="1" showErrorMessage="1" promptTitle="Premissa do cenário" prompt="Número não negativo. O modelo recalcula." sqref="V20">
      <formula1>0</formula1>
    </dataValidation>
    <dataValidation type="decimal" operator="greaterThanOrEqual" allowBlank="1" showInputMessage="1" showErrorMessage="1" promptTitle="Premissa do cenário" prompt="Número não negativo. O modelo recalcula." sqref="W20">
      <formula1>0</formula1>
    </dataValidation>
    <dataValidation type="decimal" operator="greaterThanOrEqual" allowBlank="1" showInputMessage="1" showErrorMessage="1" promptTitle="Premissa do cenário" prompt="Número não negativo. O modelo recalcula." sqref="X20">
      <formula1>0</formula1>
    </dataValidation>
    <dataValidation type="decimal" operator="greaterThanOrEqual" allowBlank="1" showInputMessage="1" showErrorMessage="1" promptTitle="Premissa do cenário" prompt="Número não negativo. O modelo recalcula." sqref="Y20">
      <formula1>0</formula1>
    </dataValidation>
    <dataValidation type="decimal" operator="greaterThanOrEqual" allowBlank="1" showInputMessage="1" showErrorMessage="1" promptTitle="Premissa do cenário" prompt="Número não negativo. O modelo recalcula." sqref="C21">
      <formula1>0</formula1>
    </dataValidation>
    <dataValidation type="decimal" operator="greaterThanOrEqual" allowBlank="1" showInputMessage="1" showErrorMessage="1" promptTitle="Premissa do cenário" prompt="Número não negativo. O modelo recalcula." sqref="D21">
      <formula1>0</formula1>
    </dataValidation>
    <dataValidation type="decimal" operator="greaterThanOrEqual" allowBlank="1" showInputMessage="1" showErrorMessage="1" promptTitle="Premissa do cenário" prompt="Número não negativo. O modelo recalcula." sqref="E21">
      <formula1>0</formula1>
    </dataValidation>
    <dataValidation type="decimal" operator="greaterThanOrEqual" allowBlank="1" showInputMessage="1" showErrorMessage="1" promptTitle="Premissa do cenário" prompt="Número não negativo. O modelo recalcula." sqref="F21">
      <formula1>0</formula1>
    </dataValidation>
    <dataValidation type="decimal" operator="greaterThanOrEqual" allowBlank="1" showInputMessage="1" showErrorMessage="1" promptTitle="Premissa do cenário" prompt="Número não negativo. O modelo recalcula." sqref="G21">
      <formula1>0</formula1>
    </dataValidation>
    <dataValidation type="decimal" operator="greaterThanOrEqual" allowBlank="1" showInputMessage="1" showErrorMessage="1" promptTitle="Premissa do cenário" prompt="Número não negativo. O modelo recalcula." sqref="O21">
      <formula1>0</formula1>
    </dataValidation>
    <dataValidation type="decimal" operator="greaterThanOrEqual" allowBlank="1" showInputMessage="1" showErrorMessage="1" promptTitle="Premissa do cenário" prompt="Número não negativo. O modelo recalcula." sqref="P21">
      <formula1>0</formula1>
    </dataValidation>
    <dataValidation type="decimal" operator="greaterThanOrEqual" allowBlank="1" showInputMessage="1" showErrorMessage="1" promptTitle="Premissa do cenário" prompt="Número não negativo. O modelo recalcula." sqref="Q21">
      <formula1>0</formula1>
    </dataValidation>
    <dataValidation type="decimal" operator="greaterThanOrEqual" allowBlank="1" showInputMessage="1" showErrorMessage="1" promptTitle="Premissa do cenário" prompt="Número não negativo. O modelo recalcula." sqref="R21">
      <formula1>0</formula1>
    </dataValidation>
    <dataValidation type="decimal" operator="greaterThanOrEqual" allowBlank="1" showInputMessage="1" showErrorMessage="1" promptTitle="Premissa do cenário" prompt="Número não negativo. O modelo recalcula." sqref="S21">
      <formula1>0</formula1>
    </dataValidation>
    <dataValidation type="decimal" operator="greaterThanOrEqual" allowBlank="1" showInputMessage="1" showErrorMessage="1" promptTitle="Premissa do cenário" prompt="Número não negativo. O modelo recalcula." sqref="T21">
      <formula1>0</formula1>
    </dataValidation>
    <dataValidation type="decimal" operator="greaterThanOrEqual" allowBlank="1" showInputMessage="1" showErrorMessage="1" promptTitle="Premissa do cenário" prompt="Número não negativo. O modelo recalcula." sqref="U21">
      <formula1>0</formula1>
    </dataValidation>
    <dataValidation type="decimal" operator="greaterThanOrEqual" allowBlank="1" showInputMessage="1" showErrorMessage="1" promptTitle="Premissa do cenário" prompt="Número não negativo. O modelo recalcula." sqref="V21">
      <formula1>0</formula1>
    </dataValidation>
    <dataValidation type="decimal" operator="greaterThanOrEqual" allowBlank="1" showInputMessage="1" showErrorMessage="1" promptTitle="Premissa do cenário" prompt="Número não negativo. O modelo recalcula." sqref="W21">
      <formula1>0</formula1>
    </dataValidation>
    <dataValidation type="decimal" operator="greaterThanOrEqual" allowBlank="1" showInputMessage="1" showErrorMessage="1" promptTitle="Premissa do cenário" prompt="Número não negativo. O modelo recalcula." sqref="X21">
      <formula1>0</formula1>
    </dataValidation>
    <dataValidation type="decimal" operator="greaterThanOrEqual" allowBlank="1" showInputMessage="1" showErrorMessage="1" promptTitle="Premissa do cenário" prompt="Número não negativo. O modelo recalcula." sqref="Y21">
      <formula1>0</formula1>
    </dataValidation>
    <dataValidation type="decimal" operator="greaterThanOrEqual" allowBlank="1" showInputMessage="1" showErrorMessage="1" promptTitle="Premissa do cenário" prompt="Número não negativo. O modelo recalcula." sqref="C22">
      <formula1>0</formula1>
    </dataValidation>
    <dataValidation type="decimal" operator="greaterThanOrEqual" allowBlank="1" showInputMessage="1" showErrorMessage="1" promptTitle="Premissa do cenário" prompt="Número não negativo. O modelo recalcula." sqref="D22">
      <formula1>0</formula1>
    </dataValidation>
    <dataValidation type="decimal" operator="greaterThanOrEqual" allowBlank="1" showInputMessage="1" showErrorMessage="1" promptTitle="Premissa do cenário" prompt="Número não negativo. O modelo recalcula." sqref="E22">
      <formula1>0</formula1>
    </dataValidation>
    <dataValidation type="decimal" operator="greaterThanOrEqual" allowBlank="1" showInputMessage="1" showErrorMessage="1" promptTitle="Premissa do cenário" prompt="Número não negativo. O modelo recalcula." sqref="F22">
      <formula1>0</formula1>
    </dataValidation>
    <dataValidation type="decimal" operator="greaterThanOrEqual" allowBlank="1" showInputMessage="1" showErrorMessage="1" promptTitle="Premissa do cenário" prompt="Número não negativo. O modelo recalcula." sqref="G22">
      <formula1>0</formula1>
    </dataValidation>
    <dataValidation type="decimal" operator="greaterThanOrEqual" allowBlank="1" showInputMessage="1" showErrorMessage="1" promptTitle="Premissa do cenário" prompt="Número não negativo. O modelo recalcula." sqref="O22">
      <formula1>0</formula1>
    </dataValidation>
    <dataValidation type="decimal" operator="greaterThanOrEqual" allowBlank="1" showInputMessage="1" showErrorMessage="1" promptTitle="Premissa do cenário" prompt="Número não negativo. O modelo recalcula." sqref="P22">
      <formula1>0</formula1>
    </dataValidation>
    <dataValidation type="decimal" operator="greaterThanOrEqual" allowBlank="1" showInputMessage="1" showErrorMessage="1" promptTitle="Premissa do cenário" prompt="Número não negativo. O modelo recalcula." sqref="Q22">
      <formula1>0</formula1>
    </dataValidation>
    <dataValidation type="decimal" operator="greaterThanOrEqual" allowBlank="1" showInputMessage="1" showErrorMessage="1" promptTitle="Premissa do cenário" prompt="Número não negativo. O modelo recalcula." sqref="R22">
      <formula1>0</formula1>
    </dataValidation>
    <dataValidation type="decimal" operator="greaterThanOrEqual" allowBlank="1" showInputMessage="1" showErrorMessage="1" promptTitle="Premissa do cenário" prompt="Número não negativo. O modelo recalcula." sqref="S22">
      <formula1>0</formula1>
    </dataValidation>
    <dataValidation type="decimal" operator="greaterThanOrEqual" allowBlank="1" showInputMessage="1" showErrorMessage="1" promptTitle="Premissa do cenário" prompt="Número não negativo. O modelo recalcula." sqref="T22">
      <formula1>0</formula1>
    </dataValidation>
    <dataValidation type="decimal" operator="greaterThanOrEqual" allowBlank="1" showInputMessage="1" showErrorMessage="1" promptTitle="Premissa do cenário" prompt="Número não negativo. O modelo recalcula." sqref="U22">
      <formula1>0</formula1>
    </dataValidation>
    <dataValidation type="decimal" operator="greaterThanOrEqual" allowBlank="1" showInputMessage="1" showErrorMessage="1" promptTitle="Premissa do cenário" prompt="Número não negativo. O modelo recalcula." sqref="V22">
      <formula1>0</formula1>
    </dataValidation>
    <dataValidation type="decimal" operator="greaterThanOrEqual" allowBlank="1" showInputMessage="1" showErrorMessage="1" promptTitle="Premissa do cenário" prompt="Número não negativo. O modelo recalcula." sqref="W22">
      <formula1>0</formula1>
    </dataValidation>
    <dataValidation type="decimal" operator="greaterThanOrEqual" allowBlank="1" showInputMessage="1" showErrorMessage="1" promptTitle="Premissa do cenário" prompt="Número não negativo. O modelo recalcula." sqref="X22">
      <formula1>0</formula1>
    </dataValidation>
    <dataValidation type="decimal" operator="greaterThanOrEqual" allowBlank="1" showInputMessage="1" showErrorMessage="1" promptTitle="Premissa do cenário" prompt="Número não negativo. O modelo recalcula." sqref="Y22">
      <formula1>0</formula1>
    </dataValidation>
    <dataValidation type="decimal" operator="greaterThanOrEqual" allowBlank="1" showInputMessage="1" showErrorMessage="1" promptTitle="Premissa do cenário" prompt="Número não negativo. O modelo recalcula." sqref="C23">
      <formula1>0</formula1>
    </dataValidation>
    <dataValidation type="decimal" operator="greaterThanOrEqual" allowBlank="1" showInputMessage="1" showErrorMessage="1" promptTitle="Premissa do cenário" prompt="Número não negativo. O modelo recalcula." sqref="D23">
      <formula1>0</formula1>
    </dataValidation>
    <dataValidation type="decimal" operator="greaterThanOrEqual" allowBlank="1" showInputMessage="1" showErrorMessage="1" promptTitle="Premissa do cenário" prompt="Número não negativo. O modelo recalcula." sqref="E23">
      <formula1>0</formula1>
    </dataValidation>
    <dataValidation type="decimal" operator="greaterThanOrEqual" allowBlank="1" showInputMessage="1" showErrorMessage="1" promptTitle="Premissa do cenário" prompt="Número não negativo. O modelo recalcula." sqref="F23">
      <formula1>0</formula1>
    </dataValidation>
    <dataValidation type="decimal" operator="greaterThanOrEqual" allowBlank="1" showInputMessage="1" showErrorMessage="1" promptTitle="Premissa do cenário" prompt="Número não negativo. O modelo recalcula." sqref="G23">
      <formula1>0</formula1>
    </dataValidation>
    <dataValidation type="decimal" operator="greaterThanOrEqual" allowBlank="1" showInputMessage="1" showErrorMessage="1" promptTitle="Premissa do cenário" prompt="Número não negativo. O modelo recalcula." sqref="O23">
      <formula1>0</formula1>
    </dataValidation>
    <dataValidation type="decimal" operator="greaterThanOrEqual" allowBlank="1" showInputMessage="1" showErrorMessage="1" promptTitle="Premissa do cenário" prompt="Número não negativo. O modelo recalcula." sqref="P23">
      <formula1>0</formula1>
    </dataValidation>
    <dataValidation type="decimal" operator="greaterThanOrEqual" allowBlank="1" showInputMessage="1" showErrorMessage="1" promptTitle="Premissa do cenário" prompt="Número não negativo. O modelo recalcula." sqref="Q23">
      <formula1>0</formula1>
    </dataValidation>
    <dataValidation type="decimal" operator="greaterThanOrEqual" allowBlank="1" showInputMessage="1" showErrorMessage="1" promptTitle="Premissa do cenário" prompt="Número não negativo. O modelo recalcula." sqref="R23">
      <formula1>0</formula1>
    </dataValidation>
    <dataValidation type="decimal" operator="greaterThanOrEqual" allowBlank="1" showInputMessage="1" showErrorMessage="1" promptTitle="Premissa do cenário" prompt="Número não negativo. O modelo recalcula." sqref="S23">
      <formula1>0</formula1>
    </dataValidation>
    <dataValidation type="decimal" operator="greaterThanOrEqual" allowBlank="1" showInputMessage="1" showErrorMessage="1" promptTitle="Premissa do cenário" prompt="Número não negativo. O modelo recalcula." sqref="T23">
      <formula1>0</formula1>
    </dataValidation>
    <dataValidation type="decimal" operator="greaterThanOrEqual" allowBlank="1" showInputMessage="1" showErrorMessage="1" promptTitle="Premissa do cenário" prompt="Número não negativo. O modelo recalcula." sqref="U23">
      <formula1>0</formula1>
    </dataValidation>
    <dataValidation type="decimal" operator="greaterThanOrEqual" allowBlank="1" showInputMessage="1" showErrorMessage="1" promptTitle="Premissa do cenário" prompt="Número não negativo. O modelo recalcula." sqref="V23">
      <formula1>0</formula1>
    </dataValidation>
    <dataValidation type="decimal" operator="greaterThanOrEqual" allowBlank="1" showInputMessage="1" showErrorMessage="1" promptTitle="Premissa do cenário" prompt="Número não negativo. O modelo recalcula." sqref="W23">
      <formula1>0</formula1>
    </dataValidation>
    <dataValidation type="decimal" operator="greaterThanOrEqual" allowBlank="1" showInputMessage="1" showErrorMessage="1" promptTitle="Premissa do cenário" prompt="Número não negativo. O modelo recalcula." sqref="X23">
      <formula1>0</formula1>
    </dataValidation>
    <dataValidation type="decimal" operator="greaterThanOrEqual" allowBlank="1" showInputMessage="1" showErrorMessage="1" promptTitle="Premissa do cenário" prompt="Número não negativo. O modelo recalcula." sqref="Y23">
      <formula1>0</formula1>
    </dataValidation>
    <dataValidation type="decimal" operator="greaterThanOrEqual" allowBlank="1" showInputMessage="1" showErrorMessage="1" promptTitle="Premissa do cenário" prompt="Número não negativo. O modelo recalcula." sqref="C24">
      <formula1>0</formula1>
    </dataValidation>
    <dataValidation type="decimal" operator="greaterThanOrEqual" allowBlank="1" showInputMessage="1" showErrorMessage="1" promptTitle="Premissa do cenário" prompt="Número não negativo. O modelo recalcula." sqref="D24">
      <formula1>0</formula1>
    </dataValidation>
    <dataValidation type="decimal" operator="greaterThanOrEqual" allowBlank="1" showInputMessage="1" showErrorMessage="1" promptTitle="Premissa do cenário" prompt="Número não negativo. O modelo recalcula." sqref="E24">
      <formula1>0</formula1>
    </dataValidation>
    <dataValidation type="decimal" operator="greaterThanOrEqual" allowBlank="1" showInputMessage="1" showErrorMessage="1" promptTitle="Premissa do cenário" prompt="Número não negativo. O modelo recalcula." sqref="F24">
      <formula1>0</formula1>
    </dataValidation>
    <dataValidation type="decimal" operator="greaterThanOrEqual" allowBlank="1" showInputMessage="1" showErrorMessage="1" promptTitle="Premissa do cenário" prompt="Número não negativo. O modelo recalcula." sqref="G24">
      <formula1>0</formula1>
    </dataValidation>
    <dataValidation type="decimal" operator="greaterThanOrEqual" allowBlank="1" showInputMessage="1" showErrorMessage="1" promptTitle="Premissa do cenário" prompt="Número não negativo. O modelo recalcula." sqref="O24">
      <formula1>0</formula1>
    </dataValidation>
    <dataValidation type="decimal" operator="greaterThanOrEqual" allowBlank="1" showInputMessage="1" showErrorMessage="1" promptTitle="Premissa do cenário" prompt="Número não negativo. O modelo recalcula." sqref="P24">
      <formula1>0</formula1>
    </dataValidation>
    <dataValidation type="decimal" operator="greaterThanOrEqual" allowBlank="1" showInputMessage="1" showErrorMessage="1" promptTitle="Premissa do cenário" prompt="Número não negativo. O modelo recalcula." sqref="Q24">
      <formula1>0</formula1>
    </dataValidation>
    <dataValidation type="decimal" operator="greaterThanOrEqual" allowBlank="1" showInputMessage="1" showErrorMessage="1" promptTitle="Premissa do cenário" prompt="Número não negativo. O modelo recalcula." sqref="R24">
      <formula1>0</formula1>
    </dataValidation>
    <dataValidation type="decimal" operator="greaterThanOrEqual" allowBlank="1" showInputMessage="1" showErrorMessage="1" promptTitle="Premissa do cenário" prompt="Número não negativo. O modelo recalcula." sqref="S24">
      <formula1>0</formula1>
    </dataValidation>
    <dataValidation type="decimal" operator="greaterThanOrEqual" allowBlank="1" showInputMessage="1" showErrorMessage="1" promptTitle="Premissa do cenário" prompt="Número não negativo. O modelo recalcula." sqref="T24">
      <formula1>0</formula1>
    </dataValidation>
    <dataValidation type="decimal" operator="greaterThanOrEqual" allowBlank="1" showInputMessage="1" showErrorMessage="1" promptTitle="Premissa do cenário" prompt="Número não negativo. O modelo recalcula." sqref="U24">
      <formula1>0</formula1>
    </dataValidation>
    <dataValidation type="decimal" operator="greaterThanOrEqual" allowBlank="1" showInputMessage="1" showErrorMessage="1" promptTitle="Premissa do cenário" prompt="Número não negativo. O modelo recalcula." sqref="V24">
      <formula1>0</formula1>
    </dataValidation>
    <dataValidation type="decimal" operator="greaterThanOrEqual" allowBlank="1" showInputMessage="1" showErrorMessage="1" promptTitle="Premissa do cenário" prompt="Número não negativo. O modelo recalcula." sqref="W24">
      <formula1>0</formula1>
    </dataValidation>
    <dataValidation type="decimal" operator="greaterThanOrEqual" allowBlank="1" showInputMessage="1" showErrorMessage="1" promptTitle="Premissa do cenário" prompt="Número não negativo. O modelo recalcula." sqref="X24">
      <formula1>0</formula1>
    </dataValidation>
    <dataValidation type="decimal" operator="greaterThanOrEqual" allowBlank="1" showInputMessage="1" showErrorMessage="1" promptTitle="Premissa do cenário" prompt="Número não negativo. O modelo recalcula." sqref="Y24">
      <formula1>0</formula1>
    </dataValidation>
    <dataValidation type="decimal" operator="greaterThanOrEqual" allowBlank="1" showInputMessage="1" showErrorMessage="1" promptTitle="Premissa do cenário" prompt="Número não negativo. O modelo recalcula." sqref="C25">
      <formula1>0</formula1>
    </dataValidation>
    <dataValidation type="decimal" operator="greaterThanOrEqual" allowBlank="1" showInputMessage="1" showErrorMessage="1" promptTitle="Premissa do cenário" prompt="Número não negativo. O modelo recalcula." sqref="D25">
      <formula1>0</formula1>
    </dataValidation>
    <dataValidation type="decimal" operator="greaterThanOrEqual" allowBlank="1" showInputMessage="1" showErrorMessage="1" promptTitle="Premissa do cenário" prompt="Número não negativo. O modelo recalcula." sqref="E25">
      <formula1>0</formula1>
    </dataValidation>
    <dataValidation type="decimal" operator="greaterThanOrEqual" allowBlank="1" showInputMessage="1" showErrorMessage="1" promptTitle="Premissa do cenário" prompt="Número não negativo. O modelo recalcula." sqref="F25">
      <formula1>0</formula1>
    </dataValidation>
    <dataValidation type="decimal" operator="greaterThanOrEqual" allowBlank="1" showInputMessage="1" showErrorMessage="1" promptTitle="Premissa do cenário" prompt="Número não negativo. O modelo recalcula." sqref="G25">
      <formula1>0</formula1>
    </dataValidation>
    <dataValidation type="decimal" operator="greaterThanOrEqual" allowBlank="1" showInputMessage="1" showErrorMessage="1" promptTitle="Premissa do cenário" prompt="Número não negativo. O modelo recalcula." sqref="O25">
      <formula1>0</formula1>
    </dataValidation>
    <dataValidation type="decimal" operator="greaterThanOrEqual" allowBlank="1" showInputMessage="1" showErrorMessage="1" promptTitle="Premissa do cenário" prompt="Número não negativo. O modelo recalcula." sqref="P25">
      <formula1>0</formula1>
    </dataValidation>
    <dataValidation type="decimal" operator="greaterThanOrEqual" allowBlank="1" showInputMessage="1" showErrorMessage="1" promptTitle="Premissa do cenário" prompt="Número não negativo. O modelo recalcula." sqref="Q25">
      <formula1>0</formula1>
    </dataValidation>
    <dataValidation type="decimal" operator="greaterThanOrEqual" allowBlank="1" showInputMessage="1" showErrorMessage="1" promptTitle="Premissa do cenário" prompt="Número não negativo. O modelo recalcula." sqref="R25">
      <formula1>0</formula1>
    </dataValidation>
    <dataValidation type="decimal" operator="greaterThanOrEqual" allowBlank="1" showInputMessage="1" showErrorMessage="1" promptTitle="Premissa do cenário" prompt="Número não negativo. O modelo recalcula." sqref="S25">
      <formula1>0</formula1>
    </dataValidation>
    <dataValidation type="decimal" operator="greaterThanOrEqual" allowBlank="1" showInputMessage="1" showErrorMessage="1" promptTitle="Premissa do cenário" prompt="Número não negativo. O modelo recalcula." sqref="T25">
      <formula1>0</formula1>
    </dataValidation>
    <dataValidation type="decimal" operator="greaterThanOrEqual" allowBlank="1" showInputMessage="1" showErrorMessage="1" promptTitle="Premissa do cenário" prompt="Número não negativo. O modelo recalcula." sqref="U25">
      <formula1>0</formula1>
    </dataValidation>
    <dataValidation type="decimal" operator="greaterThanOrEqual" allowBlank="1" showInputMessage="1" showErrorMessage="1" promptTitle="Premissa do cenário" prompt="Número não negativo. O modelo recalcula." sqref="V25">
      <formula1>0</formula1>
    </dataValidation>
    <dataValidation type="decimal" operator="greaterThanOrEqual" allowBlank="1" showInputMessage="1" showErrorMessage="1" promptTitle="Premissa do cenário" prompt="Número não negativo. O modelo recalcula." sqref="W25">
      <formula1>0</formula1>
    </dataValidation>
    <dataValidation type="decimal" operator="greaterThanOrEqual" allowBlank="1" showInputMessage="1" showErrorMessage="1" promptTitle="Premissa do cenário" prompt="Número não negativo. O modelo recalcula." sqref="X25">
      <formula1>0</formula1>
    </dataValidation>
    <dataValidation type="decimal" operator="greaterThanOrEqual" allowBlank="1" showInputMessage="1" showErrorMessage="1" promptTitle="Premissa do cenário" prompt="Número não negativo. O modelo recalcula." sqref="Y25">
      <formula1>0</formula1>
    </dataValidation>
    <dataValidation type="decimal" operator="greaterThanOrEqual" allowBlank="1" showInputMessage="1" showErrorMessage="1" promptTitle="Premissa do cenário" prompt="Número não negativo. O modelo recalcula." sqref="C26">
      <formula1>0</formula1>
    </dataValidation>
    <dataValidation type="decimal" operator="greaterThanOrEqual" allowBlank="1" showInputMessage="1" showErrorMessage="1" promptTitle="Premissa do cenário" prompt="Número não negativo. O modelo recalcula." sqref="D26">
      <formula1>0</formula1>
    </dataValidation>
    <dataValidation type="decimal" operator="greaterThanOrEqual" allowBlank="1" showInputMessage="1" showErrorMessage="1" promptTitle="Premissa do cenário" prompt="Número não negativo. O modelo recalcula." sqref="E26">
      <formula1>0</formula1>
    </dataValidation>
    <dataValidation type="decimal" operator="greaterThanOrEqual" allowBlank="1" showInputMessage="1" showErrorMessage="1" promptTitle="Premissa do cenário" prompt="Número não negativo. O modelo recalcula." sqref="F26">
      <formula1>0</formula1>
    </dataValidation>
    <dataValidation type="decimal" operator="greaterThanOrEqual" allowBlank="1" showInputMessage="1" showErrorMessage="1" promptTitle="Premissa do cenário" prompt="Número não negativo. O modelo recalcula." sqref="G26">
      <formula1>0</formula1>
    </dataValidation>
    <dataValidation type="decimal" operator="greaterThanOrEqual" allowBlank="1" showInputMessage="1" showErrorMessage="1" promptTitle="Premissa do cenário" prompt="Número não negativo. O modelo recalcula." sqref="O26">
      <formula1>0</formula1>
    </dataValidation>
    <dataValidation type="decimal" operator="greaterThanOrEqual" allowBlank="1" showInputMessage="1" showErrorMessage="1" promptTitle="Premissa do cenário" prompt="Número não negativo. O modelo recalcula." sqref="P26">
      <formula1>0</formula1>
    </dataValidation>
    <dataValidation type="decimal" operator="greaterThanOrEqual" allowBlank="1" showInputMessage="1" showErrorMessage="1" promptTitle="Premissa do cenário" prompt="Número não negativo. O modelo recalcula." sqref="Q26">
      <formula1>0</formula1>
    </dataValidation>
    <dataValidation type="decimal" operator="greaterThanOrEqual" allowBlank="1" showInputMessage="1" showErrorMessage="1" promptTitle="Premissa do cenário" prompt="Número não negativo. O modelo recalcula." sqref="R26">
      <formula1>0</formula1>
    </dataValidation>
    <dataValidation type="decimal" operator="greaterThanOrEqual" allowBlank="1" showInputMessage="1" showErrorMessage="1" promptTitle="Premissa do cenário" prompt="Número não negativo. O modelo recalcula." sqref="S26">
      <formula1>0</formula1>
    </dataValidation>
    <dataValidation type="decimal" operator="greaterThanOrEqual" allowBlank="1" showInputMessage="1" showErrorMessage="1" promptTitle="Premissa do cenário" prompt="Número não negativo. O modelo recalcula." sqref="T26">
      <formula1>0</formula1>
    </dataValidation>
    <dataValidation type="decimal" operator="greaterThanOrEqual" allowBlank="1" showInputMessage="1" showErrorMessage="1" promptTitle="Premissa do cenário" prompt="Número não negativo. O modelo recalcula." sqref="U26">
      <formula1>0</formula1>
    </dataValidation>
    <dataValidation type="decimal" operator="greaterThanOrEqual" allowBlank="1" showInputMessage="1" showErrorMessage="1" promptTitle="Premissa do cenário" prompt="Número não negativo. O modelo recalcula." sqref="V26">
      <formula1>0</formula1>
    </dataValidation>
    <dataValidation type="decimal" operator="greaterThanOrEqual" allowBlank="1" showInputMessage="1" showErrorMessage="1" promptTitle="Premissa do cenário" prompt="Número não negativo. O modelo recalcula." sqref="W26">
      <formula1>0</formula1>
    </dataValidation>
    <dataValidation type="decimal" operator="greaterThanOrEqual" allowBlank="1" showInputMessage="1" showErrorMessage="1" promptTitle="Premissa do cenário" prompt="Número não negativo. O modelo recalcula." sqref="X26">
      <formula1>0</formula1>
    </dataValidation>
    <dataValidation type="decimal" operator="greaterThanOrEqual" allowBlank="1" showInputMessage="1" showErrorMessage="1" promptTitle="Premissa do cenário" prompt="Número não negativo. O modelo recalcula." sqref="Y26">
      <formula1>0</formula1>
    </dataValidation>
    <dataValidation type="decimal" operator="greaterThanOrEqual" allowBlank="1" showInputMessage="1" showErrorMessage="1" promptTitle="Premissa do cenário" prompt="Número não negativo. O modelo recalcula." sqref="C27">
      <formula1>0</formula1>
    </dataValidation>
    <dataValidation type="decimal" operator="greaterThanOrEqual" allowBlank="1" showInputMessage="1" showErrorMessage="1" promptTitle="Premissa do cenário" prompt="Número não negativo. O modelo recalcula." sqref="D27">
      <formula1>0</formula1>
    </dataValidation>
    <dataValidation type="decimal" operator="greaterThanOrEqual" allowBlank="1" showInputMessage="1" showErrorMessage="1" promptTitle="Premissa do cenário" prompt="Número não negativo. O modelo recalcula." sqref="E27">
      <formula1>0</formula1>
    </dataValidation>
    <dataValidation type="decimal" operator="greaterThanOrEqual" allowBlank="1" showInputMessage="1" showErrorMessage="1" promptTitle="Premissa do cenário" prompt="Número não negativo. O modelo recalcula." sqref="F27">
      <formula1>0</formula1>
    </dataValidation>
    <dataValidation type="decimal" operator="greaterThanOrEqual" allowBlank="1" showInputMessage="1" showErrorMessage="1" promptTitle="Premissa do cenário" prompt="Número não negativo. O modelo recalcula." sqref="G27">
      <formula1>0</formula1>
    </dataValidation>
    <dataValidation type="decimal" operator="greaterThanOrEqual" allowBlank="1" showInputMessage="1" showErrorMessage="1" promptTitle="Premissa do cenário" prompt="Número não negativo. O modelo recalcula." sqref="O27">
      <formula1>0</formula1>
    </dataValidation>
    <dataValidation type="decimal" operator="greaterThanOrEqual" allowBlank="1" showInputMessage="1" showErrorMessage="1" promptTitle="Premissa do cenário" prompt="Número não negativo. O modelo recalcula." sqref="P27">
      <formula1>0</formula1>
    </dataValidation>
    <dataValidation type="decimal" operator="greaterThanOrEqual" allowBlank="1" showInputMessage="1" showErrorMessage="1" promptTitle="Premissa do cenário" prompt="Número não negativo. O modelo recalcula." sqref="Q27">
      <formula1>0</formula1>
    </dataValidation>
    <dataValidation type="decimal" operator="greaterThanOrEqual" allowBlank="1" showInputMessage="1" showErrorMessage="1" promptTitle="Premissa do cenário" prompt="Número não negativo. O modelo recalcula." sqref="R27">
      <formula1>0</formula1>
    </dataValidation>
    <dataValidation type="decimal" operator="greaterThanOrEqual" allowBlank="1" showInputMessage="1" showErrorMessage="1" promptTitle="Premissa do cenário" prompt="Número não negativo. O modelo recalcula." sqref="S27">
      <formula1>0</formula1>
    </dataValidation>
    <dataValidation type="decimal" operator="greaterThanOrEqual" allowBlank="1" showInputMessage="1" showErrorMessage="1" promptTitle="Premissa do cenário" prompt="Número não negativo. O modelo recalcula." sqref="T27">
      <formula1>0</formula1>
    </dataValidation>
    <dataValidation type="decimal" operator="greaterThanOrEqual" allowBlank="1" showInputMessage="1" showErrorMessage="1" promptTitle="Premissa do cenário" prompt="Número não negativo. O modelo recalcula." sqref="U27">
      <formula1>0</formula1>
    </dataValidation>
    <dataValidation type="decimal" operator="greaterThanOrEqual" allowBlank="1" showInputMessage="1" showErrorMessage="1" promptTitle="Premissa do cenário" prompt="Número não negativo. O modelo recalcula." sqref="V27">
      <formula1>0</formula1>
    </dataValidation>
    <dataValidation type="decimal" operator="greaterThanOrEqual" allowBlank="1" showInputMessage="1" showErrorMessage="1" promptTitle="Premissa do cenário" prompt="Número não negativo. O modelo recalcula." sqref="W27">
      <formula1>0</formula1>
    </dataValidation>
    <dataValidation type="decimal" operator="greaterThanOrEqual" allowBlank="1" showInputMessage="1" showErrorMessage="1" promptTitle="Premissa do cenário" prompt="Número não negativo. O modelo recalcula." sqref="X27">
      <formula1>0</formula1>
    </dataValidation>
    <dataValidation type="decimal" operator="greaterThanOrEqual" allowBlank="1" showInputMessage="1" showErrorMessage="1" promptTitle="Premissa do cenário" prompt="Número não negativo. O modelo recalcula." sqref="Y27">
      <formula1>0</formula1>
    </dataValidation>
    <dataValidation type="decimal" operator="greaterThanOrEqual" allowBlank="1" showInputMessage="1" showErrorMessage="1" promptTitle="Premissa do cenário" prompt="Número não negativo. O modelo recalcula." sqref="C28">
      <formula1>0</formula1>
    </dataValidation>
    <dataValidation type="decimal" operator="greaterThanOrEqual" allowBlank="1" showInputMessage="1" showErrorMessage="1" promptTitle="Premissa do cenário" prompt="Número não negativo. O modelo recalcula." sqref="D28">
      <formula1>0</formula1>
    </dataValidation>
    <dataValidation type="decimal" operator="greaterThanOrEqual" allowBlank="1" showInputMessage="1" showErrorMessage="1" promptTitle="Premissa do cenário" prompt="Número não negativo. O modelo recalcula." sqref="E28">
      <formula1>0</formula1>
    </dataValidation>
    <dataValidation type="decimal" operator="greaterThanOrEqual" allowBlank="1" showInputMessage="1" showErrorMessage="1" promptTitle="Premissa do cenário" prompt="Número não negativo. O modelo recalcula." sqref="F28">
      <formula1>0</formula1>
    </dataValidation>
    <dataValidation type="decimal" operator="greaterThanOrEqual" allowBlank="1" showInputMessage="1" showErrorMessage="1" promptTitle="Premissa do cenário" prompt="Número não negativo. O modelo recalcula." sqref="G28">
      <formula1>0</formula1>
    </dataValidation>
    <dataValidation type="decimal" operator="greaterThanOrEqual" allowBlank="1" showInputMessage="1" showErrorMessage="1" promptTitle="Premissa do cenário" prompt="Número não negativo. O modelo recalcula." sqref="O28">
      <formula1>0</formula1>
    </dataValidation>
    <dataValidation type="decimal" operator="greaterThanOrEqual" allowBlank="1" showInputMessage="1" showErrorMessage="1" promptTitle="Premissa do cenário" prompt="Número não negativo. O modelo recalcula." sqref="P28">
      <formula1>0</formula1>
    </dataValidation>
    <dataValidation type="decimal" operator="greaterThanOrEqual" allowBlank="1" showInputMessage="1" showErrorMessage="1" promptTitle="Premissa do cenário" prompt="Número não negativo. O modelo recalcula." sqref="Q28">
      <formula1>0</formula1>
    </dataValidation>
    <dataValidation type="decimal" operator="greaterThanOrEqual" allowBlank="1" showInputMessage="1" showErrorMessage="1" promptTitle="Premissa do cenário" prompt="Número não negativo. O modelo recalcula." sqref="R28">
      <formula1>0</formula1>
    </dataValidation>
    <dataValidation type="decimal" operator="greaterThanOrEqual" allowBlank="1" showInputMessage="1" showErrorMessage="1" promptTitle="Premissa do cenário" prompt="Número não negativo. O modelo recalcula." sqref="S28">
      <formula1>0</formula1>
    </dataValidation>
    <dataValidation type="decimal" operator="greaterThanOrEqual" allowBlank="1" showInputMessage="1" showErrorMessage="1" promptTitle="Premissa do cenário" prompt="Número não negativo. O modelo recalcula." sqref="T28">
      <formula1>0</formula1>
    </dataValidation>
    <dataValidation type="decimal" operator="greaterThanOrEqual" allowBlank="1" showInputMessage="1" showErrorMessage="1" promptTitle="Premissa do cenário" prompt="Número não negativo. O modelo recalcula." sqref="U28">
      <formula1>0</formula1>
    </dataValidation>
    <dataValidation type="decimal" operator="greaterThanOrEqual" allowBlank="1" showInputMessage="1" showErrorMessage="1" promptTitle="Premissa do cenário" prompt="Número não negativo. O modelo recalcula." sqref="V28">
      <formula1>0</formula1>
    </dataValidation>
    <dataValidation type="decimal" operator="greaterThanOrEqual" allowBlank="1" showInputMessage="1" showErrorMessage="1" promptTitle="Premissa do cenário" prompt="Número não negativo. O modelo recalcula." sqref="W28">
      <formula1>0</formula1>
    </dataValidation>
    <dataValidation type="decimal" operator="greaterThanOrEqual" allowBlank="1" showInputMessage="1" showErrorMessage="1" promptTitle="Premissa do cenário" prompt="Número não negativo. O modelo recalcula." sqref="X28">
      <formula1>0</formula1>
    </dataValidation>
    <dataValidation type="decimal" operator="greaterThanOrEqual" allowBlank="1" showInputMessage="1" showErrorMessage="1" promptTitle="Premissa do cenário" prompt="Número não negativo. O modelo recalcula." sqref="Y28">
      <formula1>0</formula1>
    </dataValidation>
    <dataValidation type="decimal" operator="greaterThanOrEqual" allowBlank="1" showInputMessage="1" showErrorMessage="1" promptTitle="Premissa do cenário" prompt="Número não negativo. O modelo recalcula." sqref="C29">
      <formula1>0</formula1>
    </dataValidation>
    <dataValidation type="decimal" operator="greaterThanOrEqual" allowBlank="1" showInputMessage="1" showErrorMessage="1" promptTitle="Premissa do cenário" prompt="Número não negativo. O modelo recalcula." sqref="D29">
      <formula1>0</formula1>
    </dataValidation>
    <dataValidation type="decimal" operator="greaterThanOrEqual" allowBlank="1" showInputMessage="1" showErrorMessage="1" promptTitle="Premissa do cenário" prompt="Número não negativo. O modelo recalcula." sqref="E29">
      <formula1>0</formula1>
    </dataValidation>
    <dataValidation type="decimal" operator="greaterThanOrEqual" allowBlank="1" showInputMessage="1" showErrorMessage="1" promptTitle="Premissa do cenário" prompt="Número não negativo. O modelo recalcula." sqref="F29">
      <formula1>0</formula1>
    </dataValidation>
    <dataValidation type="decimal" operator="greaterThanOrEqual" allowBlank="1" showInputMessage="1" showErrorMessage="1" promptTitle="Premissa do cenário" prompt="Número não negativo. O modelo recalcula." sqref="G29">
      <formula1>0</formula1>
    </dataValidation>
    <dataValidation type="decimal" operator="greaterThanOrEqual" allowBlank="1" showInputMessage="1" showErrorMessage="1" promptTitle="Premissa do cenário" prompt="Número não negativo. O modelo recalcula." sqref="O29">
      <formula1>0</formula1>
    </dataValidation>
    <dataValidation type="decimal" operator="greaterThanOrEqual" allowBlank="1" showInputMessage="1" showErrorMessage="1" promptTitle="Premissa do cenário" prompt="Número não negativo. O modelo recalcula." sqref="P29">
      <formula1>0</formula1>
    </dataValidation>
    <dataValidation type="decimal" operator="greaterThanOrEqual" allowBlank="1" showInputMessage="1" showErrorMessage="1" promptTitle="Premissa do cenário" prompt="Número não negativo. O modelo recalcula." sqref="Q29">
      <formula1>0</formula1>
    </dataValidation>
    <dataValidation type="decimal" operator="greaterThanOrEqual" allowBlank="1" showInputMessage="1" showErrorMessage="1" promptTitle="Premissa do cenário" prompt="Número não negativo. O modelo recalcula." sqref="R29">
      <formula1>0</formula1>
    </dataValidation>
    <dataValidation type="decimal" operator="greaterThanOrEqual" allowBlank="1" showInputMessage="1" showErrorMessage="1" promptTitle="Premissa do cenário" prompt="Número não negativo. O modelo recalcula." sqref="S29">
      <formula1>0</formula1>
    </dataValidation>
    <dataValidation type="decimal" operator="greaterThanOrEqual" allowBlank="1" showInputMessage="1" showErrorMessage="1" promptTitle="Premissa do cenário" prompt="Número não negativo. O modelo recalcula." sqref="T29">
      <formula1>0</formula1>
    </dataValidation>
    <dataValidation type="decimal" operator="greaterThanOrEqual" allowBlank="1" showInputMessage="1" showErrorMessage="1" promptTitle="Premissa do cenário" prompt="Número não negativo. O modelo recalcula." sqref="U29">
      <formula1>0</formula1>
    </dataValidation>
    <dataValidation type="decimal" operator="greaterThanOrEqual" allowBlank="1" showInputMessage="1" showErrorMessage="1" promptTitle="Premissa do cenário" prompt="Número não negativo. O modelo recalcula." sqref="V29">
      <formula1>0</formula1>
    </dataValidation>
    <dataValidation type="decimal" operator="greaterThanOrEqual" allowBlank="1" showInputMessage="1" showErrorMessage="1" promptTitle="Premissa do cenário" prompt="Número não negativo. O modelo recalcula." sqref="W29">
      <formula1>0</formula1>
    </dataValidation>
    <dataValidation type="decimal" operator="greaterThanOrEqual" allowBlank="1" showInputMessage="1" showErrorMessage="1" promptTitle="Premissa do cenário" prompt="Número não negativo. O modelo recalcula." sqref="X29">
      <formula1>0</formula1>
    </dataValidation>
    <dataValidation type="decimal" operator="greaterThanOrEqual" allowBlank="1" showInputMessage="1" showErrorMessage="1" promptTitle="Premissa do cenário" prompt="Número não negativo. O modelo recalcula." sqref="Y29">
      <formula1>0</formula1>
    </dataValidation>
    <dataValidation type="decimal" operator="greaterThanOrEqual" allowBlank="1" showInputMessage="1" showErrorMessage="1" promptTitle="Premissa do cenário" prompt="Número não negativo. O modelo recalcula." sqref="C30">
      <formula1>0</formula1>
    </dataValidation>
    <dataValidation type="decimal" operator="greaterThanOrEqual" allowBlank="1" showInputMessage="1" showErrorMessage="1" promptTitle="Premissa do cenário" prompt="Número não negativo. O modelo recalcula." sqref="D30">
      <formula1>0</formula1>
    </dataValidation>
    <dataValidation type="decimal" operator="greaterThanOrEqual" allowBlank="1" showInputMessage="1" showErrorMessage="1" promptTitle="Premissa do cenário" prompt="Número não negativo. O modelo recalcula." sqref="E30">
      <formula1>0</formula1>
    </dataValidation>
    <dataValidation type="decimal" operator="greaterThanOrEqual" allowBlank="1" showInputMessage="1" showErrorMessage="1" promptTitle="Premissa do cenário" prompt="Número não negativo. O modelo recalcula." sqref="F30">
      <formula1>0</formula1>
    </dataValidation>
    <dataValidation type="decimal" operator="greaterThanOrEqual" allowBlank="1" showInputMessage="1" showErrorMessage="1" promptTitle="Premissa do cenário" prompt="Número não negativo. O modelo recalcula." sqref="G30">
      <formula1>0</formula1>
    </dataValidation>
    <dataValidation type="decimal" operator="greaterThanOrEqual" allowBlank="1" showInputMessage="1" showErrorMessage="1" promptTitle="Premissa do cenário" prompt="Número não negativo. O modelo recalcula." sqref="O30">
      <formula1>0</formula1>
    </dataValidation>
    <dataValidation type="decimal" operator="greaterThanOrEqual" allowBlank="1" showInputMessage="1" showErrorMessage="1" promptTitle="Premissa do cenário" prompt="Número não negativo. O modelo recalcula." sqref="P30">
      <formula1>0</formula1>
    </dataValidation>
    <dataValidation type="decimal" operator="greaterThanOrEqual" allowBlank="1" showInputMessage="1" showErrorMessage="1" promptTitle="Premissa do cenário" prompt="Número não negativo. O modelo recalcula." sqref="Q30">
      <formula1>0</formula1>
    </dataValidation>
    <dataValidation type="decimal" operator="greaterThanOrEqual" allowBlank="1" showInputMessage="1" showErrorMessage="1" promptTitle="Premissa do cenário" prompt="Número não negativo. O modelo recalcula." sqref="R30">
      <formula1>0</formula1>
    </dataValidation>
    <dataValidation type="decimal" operator="greaterThanOrEqual" allowBlank="1" showInputMessage="1" showErrorMessage="1" promptTitle="Premissa do cenário" prompt="Número não negativo. O modelo recalcula." sqref="S30">
      <formula1>0</formula1>
    </dataValidation>
    <dataValidation type="decimal" operator="greaterThanOrEqual" allowBlank="1" showInputMessage="1" showErrorMessage="1" promptTitle="Premissa do cenário" prompt="Número não negativo. O modelo recalcula." sqref="T30">
      <formula1>0</formula1>
    </dataValidation>
    <dataValidation type="decimal" operator="greaterThanOrEqual" allowBlank="1" showInputMessage="1" showErrorMessage="1" promptTitle="Premissa do cenário" prompt="Número não negativo. O modelo recalcula." sqref="U30">
      <formula1>0</formula1>
    </dataValidation>
    <dataValidation type="decimal" operator="greaterThanOrEqual" allowBlank="1" showInputMessage="1" showErrorMessage="1" promptTitle="Premissa do cenário" prompt="Número não negativo. O modelo recalcula." sqref="V30">
      <formula1>0</formula1>
    </dataValidation>
    <dataValidation type="decimal" operator="greaterThanOrEqual" allowBlank="1" showInputMessage="1" showErrorMessage="1" promptTitle="Premissa do cenário" prompt="Número não negativo. O modelo recalcula." sqref="W30">
      <formula1>0</formula1>
    </dataValidation>
    <dataValidation type="decimal" operator="greaterThanOrEqual" allowBlank="1" showInputMessage="1" showErrorMessage="1" promptTitle="Premissa do cenário" prompt="Número não negativo. O modelo recalcula." sqref="X30">
      <formula1>0</formula1>
    </dataValidation>
    <dataValidation type="decimal" operator="greaterThanOrEqual" allowBlank="1" showInputMessage="1" showErrorMessage="1" promptTitle="Premissa do cenário" prompt="Número não negativo. O modelo recalcula." sqref="Y30">
      <formula1>0</formula1>
    </dataValidation>
    <dataValidation type="decimal" operator="greaterThanOrEqual" allowBlank="1" showInputMessage="1" showErrorMessage="1" promptTitle="Premissa do cenário" prompt="Número não negativo. O modelo recalcula." sqref="C31">
      <formula1>0</formula1>
    </dataValidation>
    <dataValidation type="decimal" operator="greaterThanOrEqual" allowBlank="1" showInputMessage="1" showErrorMessage="1" promptTitle="Premissa do cenário" prompt="Número não negativo. O modelo recalcula." sqref="D31">
      <formula1>0</formula1>
    </dataValidation>
    <dataValidation type="decimal" operator="greaterThanOrEqual" allowBlank="1" showInputMessage="1" showErrorMessage="1" promptTitle="Premissa do cenário" prompt="Número não negativo. O modelo recalcula." sqref="E31">
      <formula1>0</formula1>
    </dataValidation>
    <dataValidation type="decimal" operator="greaterThanOrEqual" allowBlank="1" showInputMessage="1" showErrorMessage="1" promptTitle="Premissa do cenário" prompt="Número não negativo. O modelo recalcula." sqref="F31">
      <formula1>0</formula1>
    </dataValidation>
    <dataValidation type="decimal" operator="greaterThanOrEqual" allowBlank="1" showInputMessage="1" showErrorMessage="1" promptTitle="Premissa do cenário" prompt="Número não negativo. O modelo recalcula." sqref="G31">
      <formula1>0</formula1>
    </dataValidation>
    <dataValidation type="decimal" operator="greaterThanOrEqual" allowBlank="1" showInputMessage="1" showErrorMessage="1" promptTitle="Premissa do cenário" prompt="Número não negativo. O modelo recalcula." sqref="O31">
      <formula1>0</formula1>
    </dataValidation>
    <dataValidation type="decimal" operator="greaterThanOrEqual" allowBlank="1" showInputMessage="1" showErrorMessage="1" promptTitle="Premissa do cenário" prompt="Número não negativo. O modelo recalcula." sqref="P31">
      <formula1>0</formula1>
    </dataValidation>
    <dataValidation type="decimal" operator="greaterThanOrEqual" allowBlank="1" showInputMessage="1" showErrorMessage="1" promptTitle="Premissa do cenário" prompt="Número não negativo. O modelo recalcula." sqref="Q31">
      <formula1>0</formula1>
    </dataValidation>
    <dataValidation type="decimal" operator="greaterThanOrEqual" allowBlank="1" showInputMessage="1" showErrorMessage="1" promptTitle="Premissa do cenário" prompt="Número não negativo. O modelo recalcula." sqref="R31">
      <formula1>0</formula1>
    </dataValidation>
    <dataValidation type="decimal" operator="greaterThanOrEqual" allowBlank="1" showInputMessage="1" showErrorMessage="1" promptTitle="Premissa do cenário" prompt="Número não negativo. O modelo recalcula." sqref="S31">
      <formula1>0</formula1>
    </dataValidation>
    <dataValidation type="decimal" operator="greaterThanOrEqual" allowBlank="1" showInputMessage="1" showErrorMessage="1" promptTitle="Premissa do cenário" prompt="Número não negativo. O modelo recalcula." sqref="T31">
      <formula1>0</formula1>
    </dataValidation>
    <dataValidation type="decimal" operator="greaterThanOrEqual" allowBlank="1" showInputMessage="1" showErrorMessage="1" promptTitle="Premissa do cenário" prompt="Número não negativo. O modelo recalcula." sqref="U31">
      <formula1>0</formula1>
    </dataValidation>
    <dataValidation type="decimal" operator="greaterThanOrEqual" allowBlank="1" showInputMessage="1" showErrorMessage="1" promptTitle="Premissa do cenário" prompt="Número não negativo. O modelo recalcula." sqref="V31">
      <formula1>0</formula1>
    </dataValidation>
    <dataValidation type="decimal" operator="greaterThanOrEqual" allowBlank="1" showInputMessage="1" showErrorMessage="1" promptTitle="Premissa do cenário" prompt="Número não negativo. O modelo recalcula." sqref="W31">
      <formula1>0</formula1>
    </dataValidation>
    <dataValidation type="decimal" operator="greaterThanOrEqual" allowBlank="1" showInputMessage="1" showErrorMessage="1" promptTitle="Premissa do cenário" prompt="Número não negativo. O modelo recalcula." sqref="X31">
      <formula1>0</formula1>
    </dataValidation>
    <dataValidation type="decimal" operator="greaterThanOrEqual" allowBlank="1" showInputMessage="1" showErrorMessage="1" promptTitle="Premissa do cenário" prompt="Número não negativo. O modelo recalcula." sqref="Y31">
      <formula1>0</formula1>
    </dataValidation>
    <dataValidation type="decimal" operator="greaterThanOrEqual" allowBlank="1" showInputMessage="1" showErrorMessage="1" promptTitle="Premissa do cenário" prompt="Número não negativo. O modelo recalcula." sqref="C32">
      <formula1>0</formula1>
    </dataValidation>
    <dataValidation type="decimal" operator="greaterThanOrEqual" allowBlank="1" showInputMessage="1" showErrorMessage="1" promptTitle="Premissa do cenário" prompt="Número não negativo. O modelo recalcula." sqref="D32">
      <formula1>0</formula1>
    </dataValidation>
    <dataValidation type="decimal" operator="greaterThanOrEqual" allowBlank="1" showInputMessage="1" showErrorMessage="1" promptTitle="Premissa do cenário" prompt="Número não negativo. O modelo recalcula." sqref="E32">
      <formula1>0</formula1>
    </dataValidation>
    <dataValidation type="decimal" operator="greaterThanOrEqual" allowBlank="1" showInputMessage="1" showErrorMessage="1" promptTitle="Premissa do cenário" prompt="Número não negativo. O modelo recalcula." sqref="F32">
      <formula1>0</formula1>
    </dataValidation>
    <dataValidation type="decimal" operator="greaterThanOrEqual" allowBlank="1" showInputMessage="1" showErrorMessage="1" promptTitle="Premissa do cenário" prompt="Número não negativo. O modelo recalcula." sqref="G32">
      <formula1>0</formula1>
    </dataValidation>
    <dataValidation type="decimal" operator="greaterThanOrEqual" allowBlank="1" showInputMessage="1" showErrorMessage="1" promptTitle="Premissa do cenário" prompt="Número não negativo. O modelo recalcula." sqref="O32">
      <formula1>0</formula1>
    </dataValidation>
    <dataValidation type="decimal" operator="greaterThanOrEqual" allowBlank="1" showInputMessage="1" showErrorMessage="1" promptTitle="Premissa do cenário" prompt="Número não negativo. O modelo recalcula." sqref="P32">
      <formula1>0</formula1>
    </dataValidation>
    <dataValidation type="decimal" operator="greaterThanOrEqual" allowBlank="1" showInputMessage="1" showErrorMessage="1" promptTitle="Premissa do cenário" prompt="Número não negativo. O modelo recalcula." sqref="Q32">
      <formula1>0</formula1>
    </dataValidation>
    <dataValidation type="decimal" operator="greaterThanOrEqual" allowBlank="1" showInputMessage="1" showErrorMessage="1" promptTitle="Premissa do cenário" prompt="Número não negativo. O modelo recalcula." sqref="R32">
      <formula1>0</formula1>
    </dataValidation>
    <dataValidation type="decimal" operator="greaterThanOrEqual" allowBlank="1" showInputMessage="1" showErrorMessage="1" promptTitle="Premissa do cenário" prompt="Número não negativo. O modelo recalcula." sqref="S32">
      <formula1>0</formula1>
    </dataValidation>
    <dataValidation type="decimal" operator="greaterThanOrEqual" allowBlank="1" showInputMessage="1" showErrorMessage="1" promptTitle="Premissa do cenário" prompt="Número não negativo. O modelo recalcula." sqref="T32">
      <formula1>0</formula1>
    </dataValidation>
    <dataValidation type="decimal" operator="greaterThanOrEqual" allowBlank="1" showInputMessage="1" showErrorMessage="1" promptTitle="Premissa do cenário" prompt="Número não negativo. O modelo recalcula." sqref="U32">
      <formula1>0</formula1>
    </dataValidation>
    <dataValidation type="decimal" operator="greaterThanOrEqual" allowBlank="1" showInputMessage="1" showErrorMessage="1" promptTitle="Premissa do cenário" prompt="Número não negativo. O modelo recalcula." sqref="V32">
      <formula1>0</formula1>
    </dataValidation>
    <dataValidation type="decimal" operator="greaterThanOrEqual" allowBlank="1" showInputMessage="1" showErrorMessage="1" promptTitle="Premissa do cenário" prompt="Número não negativo. O modelo recalcula." sqref="W32">
      <formula1>0</formula1>
    </dataValidation>
    <dataValidation type="decimal" operator="greaterThanOrEqual" allowBlank="1" showInputMessage="1" showErrorMessage="1" promptTitle="Premissa do cenário" prompt="Número não negativo. O modelo recalcula." sqref="X32">
      <formula1>0</formula1>
    </dataValidation>
    <dataValidation type="decimal" operator="greaterThanOrEqual" allowBlank="1" showInputMessage="1" showErrorMessage="1" promptTitle="Premissa do cenário" prompt="Número não negativo. O modelo recalcula." sqref="Y32">
      <formula1>0</formula1>
    </dataValidation>
    <dataValidation type="decimal" operator="greaterThanOrEqual" allowBlank="1" showInputMessage="1" showErrorMessage="1" promptTitle="Premissa do cenário" prompt="Número não negativo. O modelo recalcula." sqref="C33">
      <formula1>0</formula1>
    </dataValidation>
    <dataValidation type="decimal" operator="greaterThanOrEqual" allowBlank="1" showInputMessage="1" showErrorMessage="1" promptTitle="Premissa do cenário" prompt="Número não negativo. O modelo recalcula." sqref="D33">
      <formula1>0</formula1>
    </dataValidation>
    <dataValidation type="decimal" operator="greaterThanOrEqual" allowBlank="1" showInputMessage="1" showErrorMessage="1" promptTitle="Premissa do cenário" prompt="Número não negativo. O modelo recalcula." sqref="E33">
      <formula1>0</formula1>
    </dataValidation>
    <dataValidation type="decimal" operator="greaterThanOrEqual" allowBlank="1" showInputMessage="1" showErrorMessage="1" promptTitle="Premissa do cenário" prompt="Número não negativo. O modelo recalcula." sqref="F33">
      <formula1>0</formula1>
    </dataValidation>
    <dataValidation type="decimal" operator="greaterThanOrEqual" allowBlank="1" showInputMessage="1" showErrorMessage="1" promptTitle="Premissa do cenário" prompt="Número não negativo. O modelo recalcula." sqref="G33">
      <formula1>0</formula1>
    </dataValidation>
    <dataValidation type="decimal" operator="greaterThanOrEqual" allowBlank="1" showInputMessage="1" showErrorMessage="1" promptTitle="Premissa do cenário" prompt="Número não negativo. O modelo recalcula." sqref="O33">
      <formula1>0</formula1>
    </dataValidation>
    <dataValidation type="decimal" operator="greaterThanOrEqual" allowBlank="1" showInputMessage="1" showErrorMessage="1" promptTitle="Premissa do cenário" prompt="Número não negativo. O modelo recalcula." sqref="P33">
      <formula1>0</formula1>
    </dataValidation>
    <dataValidation type="decimal" operator="greaterThanOrEqual" allowBlank="1" showInputMessage="1" showErrorMessage="1" promptTitle="Premissa do cenário" prompt="Número não negativo. O modelo recalcula." sqref="Q33">
      <formula1>0</formula1>
    </dataValidation>
    <dataValidation type="decimal" operator="greaterThanOrEqual" allowBlank="1" showInputMessage="1" showErrorMessage="1" promptTitle="Premissa do cenário" prompt="Número não negativo. O modelo recalcula." sqref="R33">
      <formula1>0</formula1>
    </dataValidation>
    <dataValidation type="decimal" operator="greaterThanOrEqual" allowBlank="1" showInputMessage="1" showErrorMessage="1" promptTitle="Premissa do cenário" prompt="Número não negativo. O modelo recalcula." sqref="S33">
      <formula1>0</formula1>
    </dataValidation>
    <dataValidation type="decimal" operator="greaterThanOrEqual" allowBlank="1" showInputMessage="1" showErrorMessage="1" promptTitle="Premissa do cenário" prompt="Número não negativo. O modelo recalcula." sqref="T33">
      <formula1>0</formula1>
    </dataValidation>
    <dataValidation type="decimal" operator="greaterThanOrEqual" allowBlank="1" showInputMessage="1" showErrorMessage="1" promptTitle="Premissa do cenário" prompt="Número não negativo. O modelo recalcula." sqref="U33">
      <formula1>0</formula1>
    </dataValidation>
    <dataValidation type="decimal" operator="greaterThanOrEqual" allowBlank="1" showInputMessage="1" showErrorMessage="1" promptTitle="Premissa do cenário" prompt="Número não negativo. O modelo recalcula." sqref="V33">
      <formula1>0</formula1>
    </dataValidation>
    <dataValidation type="decimal" operator="greaterThanOrEqual" allowBlank="1" showInputMessage="1" showErrorMessage="1" promptTitle="Premissa do cenário" prompt="Número não negativo. O modelo recalcula." sqref="W33">
      <formula1>0</formula1>
    </dataValidation>
    <dataValidation type="decimal" operator="greaterThanOrEqual" allowBlank="1" showInputMessage="1" showErrorMessage="1" promptTitle="Premissa do cenário" prompt="Número não negativo. O modelo recalcula." sqref="X33">
      <formula1>0</formula1>
    </dataValidation>
    <dataValidation type="decimal" operator="greaterThanOrEqual" allowBlank="1" showInputMessage="1" showErrorMessage="1" promptTitle="Premissa do cenário" prompt="Número não negativo. O modelo recalcula." sqref="Y33">
      <formula1>0</formula1>
    </dataValidation>
    <dataValidation type="decimal" operator="greaterThanOrEqual" allowBlank="1" showInputMessage="1" showErrorMessage="1" promptTitle="Premissa do cenário" prompt="Número não negativo. O modelo recalcula." sqref="C34">
      <formula1>0</formula1>
    </dataValidation>
    <dataValidation type="decimal" operator="greaterThanOrEqual" allowBlank="1" showInputMessage="1" showErrorMessage="1" promptTitle="Premissa do cenário" prompt="Número não negativo. O modelo recalcula." sqref="D34">
      <formula1>0</formula1>
    </dataValidation>
    <dataValidation type="decimal" operator="greaterThanOrEqual" allowBlank="1" showInputMessage="1" showErrorMessage="1" promptTitle="Premissa do cenário" prompt="Número não negativo. O modelo recalcula." sqref="E34">
      <formula1>0</formula1>
    </dataValidation>
    <dataValidation type="decimal" operator="greaterThanOrEqual" allowBlank="1" showInputMessage="1" showErrorMessage="1" promptTitle="Premissa do cenário" prompt="Número não negativo. O modelo recalcula." sqref="F34">
      <formula1>0</formula1>
    </dataValidation>
    <dataValidation type="decimal" operator="greaterThanOrEqual" allowBlank="1" showInputMessage="1" showErrorMessage="1" promptTitle="Premissa do cenário" prompt="Número não negativo. O modelo recalcula." sqref="G34">
      <formula1>0</formula1>
    </dataValidation>
    <dataValidation type="decimal" operator="greaterThanOrEqual" allowBlank="1" showInputMessage="1" showErrorMessage="1" promptTitle="Premissa do cenário" prompt="Número não negativo. O modelo recalcula." sqref="O34">
      <formula1>0</formula1>
    </dataValidation>
    <dataValidation type="decimal" operator="greaterThanOrEqual" allowBlank="1" showInputMessage="1" showErrorMessage="1" promptTitle="Premissa do cenário" prompt="Número não negativo. O modelo recalcula." sqref="P34">
      <formula1>0</formula1>
    </dataValidation>
    <dataValidation type="decimal" operator="greaterThanOrEqual" allowBlank="1" showInputMessage="1" showErrorMessage="1" promptTitle="Premissa do cenário" prompt="Número não negativo. O modelo recalcula." sqref="Q34">
      <formula1>0</formula1>
    </dataValidation>
    <dataValidation type="decimal" operator="greaterThanOrEqual" allowBlank="1" showInputMessage="1" showErrorMessage="1" promptTitle="Premissa do cenário" prompt="Número não negativo. O modelo recalcula." sqref="R34">
      <formula1>0</formula1>
    </dataValidation>
    <dataValidation type="decimal" operator="greaterThanOrEqual" allowBlank="1" showInputMessage="1" showErrorMessage="1" promptTitle="Premissa do cenário" prompt="Número não negativo. O modelo recalcula." sqref="S34">
      <formula1>0</formula1>
    </dataValidation>
    <dataValidation type="decimal" operator="greaterThanOrEqual" allowBlank="1" showInputMessage="1" showErrorMessage="1" promptTitle="Premissa do cenário" prompt="Número não negativo. O modelo recalcula." sqref="T34">
      <formula1>0</formula1>
    </dataValidation>
    <dataValidation type="decimal" operator="greaterThanOrEqual" allowBlank="1" showInputMessage="1" showErrorMessage="1" promptTitle="Premissa do cenário" prompt="Número não negativo. O modelo recalcula." sqref="U34">
      <formula1>0</formula1>
    </dataValidation>
    <dataValidation type="decimal" operator="greaterThanOrEqual" allowBlank="1" showInputMessage="1" showErrorMessage="1" promptTitle="Premissa do cenário" prompt="Número não negativo. O modelo recalcula." sqref="V34">
      <formula1>0</formula1>
    </dataValidation>
    <dataValidation type="decimal" operator="greaterThanOrEqual" allowBlank="1" showInputMessage="1" showErrorMessage="1" promptTitle="Premissa do cenário" prompt="Número não negativo. O modelo recalcula." sqref="W34">
      <formula1>0</formula1>
    </dataValidation>
    <dataValidation type="decimal" operator="greaterThanOrEqual" allowBlank="1" showInputMessage="1" showErrorMessage="1" promptTitle="Premissa do cenário" prompt="Número não negativo. O modelo recalcula." sqref="X34">
      <formula1>0</formula1>
    </dataValidation>
    <dataValidation type="decimal" operator="greaterThanOrEqual" allowBlank="1" showInputMessage="1" showErrorMessage="1" promptTitle="Premissa do cenário" prompt="Número não negativo. O modelo recalcula." sqref="Y34">
      <formula1>0</formula1>
    </dataValidation>
    <dataValidation type="decimal" operator="greaterThanOrEqual" allowBlank="1" showInputMessage="1" showErrorMessage="1" promptTitle="Premissa do cenário" prompt="Número não negativo. O modelo recalcula." sqref="C35">
      <formula1>0</formula1>
    </dataValidation>
    <dataValidation type="decimal" operator="greaterThanOrEqual" allowBlank="1" showInputMessage="1" showErrorMessage="1" promptTitle="Premissa do cenário" prompt="Número não negativo. O modelo recalcula." sqref="D35">
      <formula1>0</formula1>
    </dataValidation>
    <dataValidation type="decimal" operator="greaterThanOrEqual" allowBlank="1" showInputMessage="1" showErrorMessage="1" promptTitle="Premissa do cenário" prompt="Número não negativo. O modelo recalcula." sqref="E35">
      <formula1>0</formula1>
    </dataValidation>
    <dataValidation type="decimal" operator="greaterThanOrEqual" allowBlank="1" showInputMessage="1" showErrorMessage="1" promptTitle="Premissa do cenário" prompt="Número não negativo. O modelo recalcula." sqref="F35">
      <formula1>0</formula1>
    </dataValidation>
    <dataValidation type="decimal" operator="greaterThanOrEqual" allowBlank="1" showInputMessage="1" showErrorMessage="1" promptTitle="Premissa do cenário" prompt="Número não negativo. O modelo recalcula." sqref="G35">
      <formula1>0</formula1>
    </dataValidation>
    <dataValidation type="decimal" operator="greaterThanOrEqual" allowBlank="1" showInputMessage="1" showErrorMessage="1" promptTitle="Premissa do cenário" prompt="Número não negativo. O modelo recalcula." sqref="O35">
      <formula1>0</formula1>
    </dataValidation>
    <dataValidation type="decimal" operator="greaterThanOrEqual" allowBlank="1" showInputMessage="1" showErrorMessage="1" promptTitle="Premissa do cenário" prompt="Número não negativo. O modelo recalcula." sqref="P35">
      <formula1>0</formula1>
    </dataValidation>
    <dataValidation type="decimal" operator="greaterThanOrEqual" allowBlank="1" showInputMessage="1" showErrorMessage="1" promptTitle="Premissa do cenário" prompt="Número não negativo. O modelo recalcula." sqref="Q35">
      <formula1>0</formula1>
    </dataValidation>
    <dataValidation type="decimal" operator="greaterThanOrEqual" allowBlank="1" showInputMessage="1" showErrorMessage="1" promptTitle="Premissa do cenário" prompt="Número não negativo. O modelo recalcula." sqref="R35">
      <formula1>0</formula1>
    </dataValidation>
    <dataValidation type="decimal" operator="greaterThanOrEqual" allowBlank="1" showInputMessage="1" showErrorMessage="1" promptTitle="Premissa do cenário" prompt="Número não negativo. O modelo recalcula." sqref="S35">
      <formula1>0</formula1>
    </dataValidation>
    <dataValidation type="decimal" operator="greaterThanOrEqual" allowBlank="1" showInputMessage="1" showErrorMessage="1" promptTitle="Premissa do cenário" prompt="Número não negativo. O modelo recalcula." sqref="T35">
      <formula1>0</formula1>
    </dataValidation>
    <dataValidation type="decimal" operator="greaterThanOrEqual" allowBlank="1" showInputMessage="1" showErrorMessage="1" promptTitle="Premissa do cenário" prompt="Número não negativo. O modelo recalcula." sqref="U35">
      <formula1>0</formula1>
    </dataValidation>
    <dataValidation type="decimal" operator="greaterThanOrEqual" allowBlank="1" showInputMessage="1" showErrorMessage="1" promptTitle="Premissa do cenário" prompt="Número não negativo. O modelo recalcula." sqref="V35">
      <formula1>0</formula1>
    </dataValidation>
    <dataValidation type="decimal" operator="greaterThanOrEqual" allowBlank="1" showInputMessage="1" showErrorMessage="1" promptTitle="Premissa do cenário" prompt="Número não negativo. O modelo recalcula." sqref="W35">
      <formula1>0</formula1>
    </dataValidation>
    <dataValidation type="decimal" operator="greaterThanOrEqual" allowBlank="1" showInputMessage="1" showErrorMessage="1" promptTitle="Premissa do cenário" prompt="Número não negativo. O modelo recalcula." sqref="X35">
      <formula1>0</formula1>
    </dataValidation>
    <dataValidation type="decimal" operator="greaterThanOrEqual" allowBlank="1" showInputMessage="1" showErrorMessage="1" promptTitle="Premissa do cenário" prompt="Número não negativo. O modelo recalcula." sqref="Y35">
      <formula1>0</formula1>
    </dataValidation>
    <dataValidation type="decimal" operator="greaterThanOrEqual" allowBlank="1" showInputMessage="1" showErrorMessage="1" promptTitle="Premissa do cenário" prompt="Número não negativo. O modelo recalcula." sqref="C36">
      <formula1>0</formula1>
    </dataValidation>
    <dataValidation type="decimal" operator="greaterThanOrEqual" allowBlank="1" showInputMessage="1" showErrorMessage="1" promptTitle="Premissa do cenário" prompt="Número não negativo. O modelo recalcula." sqref="D36">
      <formula1>0</formula1>
    </dataValidation>
    <dataValidation type="decimal" operator="greaterThanOrEqual" allowBlank="1" showInputMessage="1" showErrorMessage="1" promptTitle="Premissa do cenário" prompt="Número não negativo. O modelo recalcula." sqref="E36">
      <formula1>0</formula1>
    </dataValidation>
    <dataValidation type="decimal" operator="greaterThanOrEqual" allowBlank="1" showInputMessage="1" showErrorMessage="1" promptTitle="Premissa do cenário" prompt="Número não negativo. O modelo recalcula." sqref="F36">
      <formula1>0</formula1>
    </dataValidation>
    <dataValidation type="decimal" operator="greaterThanOrEqual" allowBlank="1" showInputMessage="1" showErrorMessage="1" promptTitle="Premissa do cenário" prompt="Número não negativo. O modelo recalcula." sqref="G36">
      <formula1>0</formula1>
    </dataValidation>
    <dataValidation type="decimal" operator="greaterThanOrEqual" allowBlank="1" showInputMessage="1" showErrorMessage="1" promptTitle="Premissa do cenário" prompt="Número não negativo. O modelo recalcula." sqref="O36">
      <formula1>0</formula1>
    </dataValidation>
    <dataValidation type="decimal" operator="greaterThanOrEqual" allowBlank="1" showInputMessage="1" showErrorMessage="1" promptTitle="Premissa do cenário" prompt="Número não negativo. O modelo recalcula." sqref="P36">
      <formula1>0</formula1>
    </dataValidation>
    <dataValidation type="decimal" operator="greaterThanOrEqual" allowBlank="1" showInputMessage="1" showErrorMessage="1" promptTitle="Premissa do cenário" prompt="Número não negativo. O modelo recalcula." sqref="Q36">
      <formula1>0</formula1>
    </dataValidation>
    <dataValidation type="decimal" operator="greaterThanOrEqual" allowBlank="1" showInputMessage="1" showErrorMessage="1" promptTitle="Premissa do cenário" prompt="Número não negativo. O modelo recalcula." sqref="R36">
      <formula1>0</formula1>
    </dataValidation>
    <dataValidation type="decimal" operator="greaterThanOrEqual" allowBlank="1" showInputMessage="1" showErrorMessage="1" promptTitle="Premissa do cenário" prompt="Número não negativo. O modelo recalcula." sqref="S36">
      <formula1>0</formula1>
    </dataValidation>
    <dataValidation type="decimal" operator="greaterThanOrEqual" allowBlank="1" showInputMessage="1" showErrorMessage="1" promptTitle="Premissa do cenário" prompt="Número não negativo. O modelo recalcula." sqref="T36">
      <formula1>0</formula1>
    </dataValidation>
    <dataValidation type="decimal" operator="greaterThanOrEqual" allowBlank="1" showInputMessage="1" showErrorMessage="1" promptTitle="Premissa do cenário" prompt="Número não negativo. O modelo recalcula." sqref="U36">
      <formula1>0</formula1>
    </dataValidation>
    <dataValidation type="decimal" operator="greaterThanOrEqual" allowBlank="1" showInputMessage="1" showErrorMessage="1" promptTitle="Premissa do cenário" prompt="Número não negativo. O modelo recalcula." sqref="V36">
      <formula1>0</formula1>
    </dataValidation>
    <dataValidation type="decimal" operator="greaterThanOrEqual" allowBlank="1" showInputMessage="1" showErrorMessage="1" promptTitle="Premissa do cenário" prompt="Número não negativo. O modelo recalcula." sqref="W36">
      <formula1>0</formula1>
    </dataValidation>
    <dataValidation type="decimal" operator="greaterThanOrEqual" allowBlank="1" showInputMessage="1" showErrorMessage="1" promptTitle="Premissa do cenário" prompt="Número não negativo. O modelo recalcula." sqref="X36">
      <formula1>0</formula1>
    </dataValidation>
    <dataValidation type="decimal" operator="greaterThanOrEqual" allowBlank="1" showInputMessage="1" showErrorMessage="1" promptTitle="Premissa do cenário" prompt="Número não negativo. O modelo recalcula." sqref="Y36">
      <formula1>0</formula1>
    </dataValidation>
    <dataValidation type="decimal" operator="greaterThanOrEqual" allowBlank="1" showInputMessage="1" showErrorMessage="1" promptTitle="Premissa do cenário" prompt="Número não negativo. O modelo recalcula." sqref="C37">
      <formula1>0</formula1>
    </dataValidation>
    <dataValidation type="decimal" operator="greaterThanOrEqual" allowBlank="1" showInputMessage="1" showErrorMessage="1" promptTitle="Premissa do cenário" prompt="Número não negativo. O modelo recalcula." sqref="D37">
      <formula1>0</formula1>
    </dataValidation>
    <dataValidation type="decimal" operator="greaterThanOrEqual" allowBlank="1" showInputMessage="1" showErrorMessage="1" promptTitle="Premissa do cenário" prompt="Número não negativo. O modelo recalcula." sqref="E37">
      <formula1>0</formula1>
    </dataValidation>
    <dataValidation type="decimal" operator="greaterThanOrEqual" allowBlank="1" showInputMessage="1" showErrorMessage="1" promptTitle="Premissa do cenário" prompt="Número não negativo. O modelo recalcula." sqref="F37">
      <formula1>0</formula1>
    </dataValidation>
    <dataValidation type="decimal" operator="greaterThanOrEqual" allowBlank="1" showInputMessage="1" showErrorMessage="1" promptTitle="Premissa do cenário" prompt="Número não negativo. O modelo recalcula." sqref="G37">
      <formula1>0</formula1>
    </dataValidation>
    <dataValidation type="decimal" operator="greaterThanOrEqual" allowBlank="1" showInputMessage="1" showErrorMessage="1" promptTitle="Premissa do cenário" prompt="Número não negativo. O modelo recalcula." sqref="O37">
      <formula1>0</formula1>
    </dataValidation>
    <dataValidation type="decimal" operator="greaterThanOrEqual" allowBlank="1" showInputMessage="1" showErrorMessage="1" promptTitle="Premissa do cenário" prompt="Número não negativo. O modelo recalcula." sqref="P37">
      <formula1>0</formula1>
    </dataValidation>
    <dataValidation type="decimal" operator="greaterThanOrEqual" allowBlank="1" showInputMessage="1" showErrorMessage="1" promptTitle="Premissa do cenário" prompt="Número não negativo. O modelo recalcula." sqref="Q37">
      <formula1>0</formula1>
    </dataValidation>
    <dataValidation type="decimal" operator="greaterThanOrEqual" allowBlank="1" showInputMessage="1" showErrorMessage="1" promptTitle="Premissa do cenário" prompt="Número não negativo. O modelo recalcula." sqref="R37">
      <formula1>0</formula1>
    </dataValidation>
    <dataValidation type="decimal" operator="greaterThanOrEqual" allowBlank="1" showInputMessage="1" showErrorMessage="1" promptTitle="Premissa do cenário" prompt="Número não negativo. O modelo recalcula." sqref="S37">
      <formula1>0</formula1>
    </dataValidation>
    <dataValidation type="decimal" operator="greaterThanOrEqual" allowBlank="1" showInputMessage="1" showErrorMessage="1" promptTitle="Premissa do cenário" prompt="Número não negativo. O modelo recalcula." sqref="T37">
      <formula1>0</formula1>
    </dataValidation>
    <dataValidation type="decimal" operator="greaterThanOrEqual" allowBlank="1" showInputMessage="1" showErrorMessage="1" promptTitle="Premissa do cenário" prompt="Número não negativo. O modelo recalcula." sqref="U37">
      <formula1>0</formula1>
    </dataValidation>
    <dataValidation type="decimal" operator="greaterThanOrEqual" allowBlank="1" showInputMessage="1" showErrorMessage="1" promptTitle="Premissa do cenário" prompt="Número não negativo. O modelo recalcula." sqref="V37">
      <formula1>0</formula1>
    </dataValidation>
    <dataValidation type="decimal" operator="greaterThanOrEqual" allowBlank="1" showInputMessage="1" showErrorMessage="1" promptTitle="Premissa do cenário" prompt="Número não negativo. O modelo recalcula." sqref="W37">
      <formula1>0</formula1>
    </dataValidation>
    <dataValidation type="decimal" operator="greaterThanOrEqual" allowBlank="1" showInputMessage="1" showErrorMessage="1" promptTitle="Premissa do cenário" prompt="Número não negativo. O modelo recalcula." sqref="X37">
      <formula1>0</formula1>
    </dataValidation>
    <dataValidation type="decimal" operator="greaterThanOrEqual" allowBlank="1" showInputMessage="1" showErrorMessage="1" promptTitle="Premissa do cenário" prompt="Número não negativo. O modelo recalcula." sqref="Y37">
      <formula1>0</formula1>
    </dataValidation>
    <dataValidation type="decimal" operator="greaterThanOrEqual" allowBlank="1" showInputMessage="1" showErrorMessage="1" promptTitle="Premissa do cenário" prompt="Número não negativo. O modelo recalcula." sqref="C38">
      <formula1>0</formula1>
    </dataValidation>
    <dataValidation type="decimal" operator="greaterThanOrEqual" allowBlank="1" showInputMessage="1" showErrorMessage="1" promptTitle="Premissa do cenário" prompt="Número não negativo. O modelo recalcula." sqref="D38">
      <formula1>0</formula1>
    </dataValidation>
    <dataValidation type="decimal" operator="greaterThanOrEqual" allowBlank="1" showInputMessage="1" showErrorMessage="1" promptTitle="Premissa do cenário" prompt="Número não negativo. O modelo recalcula." sqref="E38">
      <formula1>0</formula1>
    </dataValidation>
    <dataValidation type="decimal" operator="greaterThanOrEqual" allowBlank="1" showInputMessage="1" showErrorMessage="1" promptTitle="Premissa do cenário" prompt="Número não negativo. O modelo recalcula." sqref="F38">
      <formula1>0</formula1>
    </dataValidation>
    <dataValidation type="decimal" operator="greaterThanOrEqual" allowBlank="1" showInputMessage="1" showErrorMessage="1" promptTitle="Premissa do cenário" prompt="Número não negativo. O modelo recalcula." sqref="G38">
      <formula1>0</formula1>
    </dataValidation>
    <dataValidation type="decimal" operator="greaterThanOrEqual" allowBlank="1" showInputMessage="1" showErrorMessage="1" promptTitle="Premissa do cenário" prompt="Número não negativo. O modelo recalcula." sqref="O38">
      <formula1>0</formula1>
    </dataValidation>
    <dataValidation type="decimal" operator="greaterThanOrEqual" allowBlank="1" showInputMessage="1" showErrorMessage="1" promptTitle="Premissa do cenário" prompt="Número não negativo. O modelo recalcula." sqref="P38">
      <formula1>0</formula1>
    </dataValidation>
    <dataValidation type="decimal" operator="greaterThanOrEqual" allowBlank="1" showInputMessage="1" showErrorMessage="1" promptTitle="Premissa do cenário" prompt="Número não negativo. O modelo recalcula." sqref="Q38">
      <formula1>0</formula1>
    </dataValidation>
    <dataValidation type="decimal" operator="greaterThanOrEqual" allowBlank="1" showInputMessage="1" showErrorMessage="1" promptTitle="Premissa do cenário" prompt="Número não negativo. O modelo recalcula." sqref="R38">
      <formula1>0</formula1>
    </dataValidation>
    <dataValidation type="decimal" operator="greaterThanOrEqual" allowBlank="1" showInputMessage="1" showErrorMessage="1" promptTitle="Premissa do cenário" prompt="Número não negativo. O modelo recalcula." sqref="S38">
      <formula1>0</formula1>
    </dataValidation>
    <dataValidation type="decimal" operator="greaterThanOrEqual" allowBlank="1" showInputMessage="1" showErrorMessage="1" promptTitle="Premissa do cenário" prompt="Número não negativo. O modelo recalcula." sqref="T38">
      <formula1>0</formula1>
    </dataValidation>
    <dataValidation type="decimal" operator="greaterThanOrEqual" allowBlank="1" showInputMessage="1" showErrorMessage="1" promptTitle="Premissa do cenário" prompt="Número não negativo. O modelo recalcula." sqref="U38">
      <formula1>0</formula1>
    </dataValidation>
    <dataValidation type="decimal" operator="greaterThanOrEqual" allowBlank="1" showInputMessage="1" showErrorMessage="1" promptTitle="Premissa do cenário" prompt="Número não negativo. O modelo recalcula." sqref="V38">
      <formula1>0</formula1>
    </dataValidation>
    <dataValidation type="decimal" operator="greaterThanOrEqual" allowBlank="1" showInputMessage="1" showErrorMessage="1" promptTitle="Premissa do cenário" prompt="Número não negativo. O modelo recalcula." sqref="W38">
      <formula1>0</formula1>
    </dataValidation>
    <dataValidation type="decimal" operator="greaterThanOrEqual" allowBlank="1" showInputMessage="1" showErrorMessage="1" promptTitle="Premissa do cenário" prompt="Número não negativo. O modelo recalcula." sqref="X38">
      <formula1>0</formula1>
    </dataValidation>
    <dataValidation type="decimal" operator="greaterThanOrEqual" allowBlank="1" showInputMessage="1" showErrorMessage="1" promptTitle="Premissa do cenário" prompt="Número não negativo. O modelo recalcula." sqref="Y38">
      <formula1>0</formula1>
    </dataValidation>
    <dataValidation type="decimal" operator="greaterThanOrEqual" allowBlank="1" showInputMessage="1" showErrorMessage="1" promptTitle="Premissa do cenário" prompt="Número não negativo. O modelo recalcula." sqref="C39">
      <formula1>0</formula1>
    </dataValidation>
    <dataValidation type="decimal" operator="greaterThanOrEqual" allowBlank="1" showInputMessage="1" showErrorMessage="1" promptTitle="Premissa do cenário" prompt="Número não negativo. O modelo recalcula." sqref="D39">
      <formula1>0</formula1>
    </dataValidation>
    <dataValidation type="decimal" operator="greaterThanOrEqual" allowBlank="1" showInputMessage="1" showErrorMessage="1" promptTitle="Premissa do cenário" prompt="Número não negativo. O modelo recalcula." sqref="E39">
      <formula1>0</formula1>
    </dataValidation>
    <dataValidation type="decimal" operator="greaterThanOrEqual" allowBlank="1" showInputMessage="1" showErrorMessage="1" promptTitle="Premissa do cenário" prompt="Número não negativo. O modelo recalcula." sqref="F39">
      <formula1>0</formula1>
    </dataValidation>
    <dataValidation type="decimal" operator="greaterThanOrEqual" allowBlank="1" showInputMessage="1" showErrorMessage="1" promptTitle="Premissa do cenário" prompt="Número não negativo. O modelo recalcula." sqref="G39">
      <formula1>0</formula1>
    </dataValidation>
    <dataValidation type="decimal" operator="greaterThanOrEqual" allowBlank="1" showInputMessage="1" showErrorMessage="1" promptTitle="Premissa do cenário" prompt="Número não negativo. O modelo recalcula." sqref="O39">
      <formula1>0</formula1>
    </dataValidation>
    <dataValidation type="decimal" operator="greaterThanOrEqual" allowBlank="1" showInputMessage="1" showErrorMessage="1" promptTitle="Premissa do cenário" prompt="Número não negativo. O modelo recalcula." sqref="P39">
      <formula1>0</formula1>
    </dataValidation>
    <dataValidation type="decimal" operator="greaterThanOrEqual" allowBlank="1" showInputMessage="1" showErrorMessage="1" promptTitle="Premissa do cenário" prompt="Número não negativo. O modelo recalcula." sqref="Q39">
      <formula1>0</formula1>
    </dataValidation>
    <dataValidation type="decimal" operator="greaterThanOrEqual" allowBlank="1" showInputMessage="1" showErrorMessage="1" promptTitle="Premissa do cenário" prompt="Número não negativo. O modelo recalcula." sqref="R39">
      <formula1>0</formula1>
    </dataValidation>
    <dataValidation type="decimal" operator="greaterThanOrEqual" allowBlank="1" showInputMessage="1" showErrorMessage="1" promptTitle="Premissa do cenário" prompt="Número não negativo. O modelo recalcula." sqref="S39">
      <formula1>0</formula1>
    </dataValidation>
    <dataValidation type="decimal" operator="greaterThanOrEqual" allowBlank="1" showInputMessage="1" showErrorMessage="1" promptTitle="Premissa do cenário" prompt="Número não negativo. O modelo recalcula." sqref="T39">
      <formula1>0</formula1>
    </dataValidation>
    <dataValidation type="decimal" operator="greaterThanOrEqual" allowBlank="1" showInputMessage="1" showErrorMessage="1" promptTitle="Premissa do cenário" prompt="Número não negativo. O modelo recalcula." sqref="U39">
      <formula1>0</formula1>
    </dataValidation>
    <dataValidation type="decimal" operator="greaterThanOrEqual" allowBlank="1" showInputMessage="1" showErrorMessage="1" promptTitle="Premissa do cenário" prompt="Número não negativo. O modelo recalcula." sqref="V39">
      <formula1>0</formula1>
    </dataValidation>
    <dataValidation type="decimal" operator="greaterThanOrEqual" allowBlank="1" showInputMessage="1" showErrorMessage="1" promptTitle="Premissa do cenário" prompt="Número não negativo. O modelo recalcula." sqref="W39">
      <formula1>0</formula1>
    </dataValidation>
    <dataValidation type="decimal" operator="greaterThanOrEqual" allowBlank="1" showInputMessage="1" showErrorMessage="1" promptTitle="Premissa do cenário" prompt="Número não negativo. O modelo recalcula." sqref="X39">
      <formula1>0</formula1>
    </dataValidation>
    <dataValidation type="decimal" operator="greaterThanOrEqual" allowBlank="1" showInputMessage="1" showErrorMessage="1" promptTitle="Premissa do cenário" prompt="Número não negativo. O modelo recalcula." sqref="Y39">
      <formula1>0</formula1>
    </dataValidation>
    <dataValidation type="decimal" operator="greaterThanOrEqual" allowBlank="1" showInputMessage="1" showErrorMessage="1" promptTitle="Premissa do cenário" prompt="Número não negativo. O modelo recalcula." sqref="C40">
      <formula1>0</formula1>
    </dataValidation>
    <dataValidation type="decimal" operator="greaterThanOrEqual" allowBlank="1" showInputMessage="1" showErrorMessage="1" promptTitle="Premissa do cenário" prompt="Número não negativo. O modelo recalcula." sqref="D40">
      <formula1>0</formula1>
    </dataValidation>
    <dataValidation type="decimal" operator="greaterThanOrEqual" allowBlank="1" showInputMessage="1" showErrorMessage="1" promptTitle="Premissa do cenário" prompt="Número não negativo. O modelo recalcula." sqref="E40">
      <formula1>0</formula1>
    </dataValidation>
    <dataValidation type="decimal" operator="greaterThanOrEqual" allowBlank="1" showInputMessage="1" showErrorMessage="1" promptTitle="Premissa do cenário" prompt="Número não negativo. O modelo recalcula." sqref="F40">
      <formula1>0</formula1>
    </dataValidation>
    <dataValidation type="decimal" operator="greaterThanOrEqual" allowBlank="1" showInputMessage="1" showErrorMessage="1" promptTitle="Premissa do cenário" prompt="Número não negativo. O modelo recalcula." sqref="G40">
      <formula1>0</formula1>
    </dataValidation>
    <dataValidation type="decimal" operator="greaterThanOrEqual" allowBlank="1" showInputMessage="1" showErrorMessage="1" promptTitle="Premissa do cenário" prompt="Número não negativo. O modelo recalcula." sqref="O40">
      <formula1>0</formula1>
    </dataValidation>
    <dataValidation type="decimal" operator="greaterThanOrEqual" allowBlank="1" showInputMessage="1" showErrorMessage="1" promptTitle="Premissa do cenário" prompt="Número não negativo. O modelo recalcula." sqref="P40">
      <formula1>0</formula1>
    </dataValidation>
    <dataValidation type="decimal" operator="greaterThanOrEqual" allowBlank="1" showInputMessage="1" showErrorMessage="1" promptTitle="Premissa do cenário" prompt="Número não negativo. O modelo recalcula." sqref="Q40">
      <formula1>0</formula1>
    </dataValidation>
    <dataValidation type="decimal" operator="greaterThanOrEqual" allowBlank="1" showInputMessage="1" showErrorMessage="1" promptTitle="Premissa do cenário" prompt="Número não negativo. O modelo recalcula." sqref="R40">
      <formula1>0</formula1>
    </dataValidation>
    <dataValidation type="decimal" operator="greaterThanOrEqual" allowBlank="1" showInputMessage="1" showErrorMessage="1" promptTitle="Premissa do cenário" prompt="Número não negativo. O modelo recalcula." sqref="S40">
      <formula1>0</formula1>
    </dataValidation>
    <dataValidation type="decimal" operator="greaterThanOrEqual" allowBlank="1" showInputMessage="1" showErrorMessage="1" promptTitle="Premissa do cenário" prompt="Número não negativo. O modelo recalcula." sqref="T40">
      <formula1>0</formula1>
    </dataValidation>
    <dataValidation type="decimal" operator="greaterThanOrEqual" allowBlank="1" showInputMessage="1" showErrorMessage="1" promptTitle="Premissa do cenário" prompt="Número não negativo. O modelo recalcula." sqref="U40">
      <formula1>0</formula1>
    </dataValidation>
    <dataValidation type="decimal" operator="greaterThanOrEqual" allowBlank="1" showInputMessage="1" showErrorMessage="1" promptTitle="Premissa do cenário" prompt="Número não negativo. O modelo recalcula." sqref="V40">
      <formula1>0</formula1>
    </dataValidation>
    <dataValidation type="decimal" operator="greaterThanOrEqual" allowBlank="1" showInputMessage="1" showErrorMessage="1" promptTitle="Premissa do cenário" prompt="Número não negativo. O modelo recalcula." sqref="W40">
      <formula1>0</formula1>
    </dataValidation>
    <dataValidation type="decimal" operator="greaterThanOrEqual" allowBlank="1" showInputMessage="1" showErrorMessage="1" promptTitle="Premissa do cenário" prompt="Número não negativo. O modelo recalcula." sqref="X40">
      <formula1>0</formula1>
    </dataValidation>
    <dataValidation type="decimal" operator="greaterThanOrEqual" allowBlank="1" showInputMessage="1" showErrorMessage="1" promptTitle="Premissa do cenário" prompt="Número não negativo. O modelo recalcula." sqref="Y40">
      <formula1>0</formula1>
    </dataValidation>
    <dataValidation type="decimal" operator="greaterThanOrEqual" allowBlank="1" showInputMessage="1" showErrorMessage="1" promptTitle="Premissa do cenário" prompt="Número não negativo. O modelo recalcula." sqref="C41">
      <formula1>0</formula1>
    </dataValidation>
    <dataValidation type="decimal" operator="greaterThanOrEqual" allowBlank="1" showInputMessage="1" showErrorMessage="1" promptTitle="Premissa do cenário" prompt="Número não negativo. O modelo recalcula." sqref="D41">
      <formula1>0</formula1>
    </dataValidation>
    <dataValidation type="decimal" operator="greaterThanOrEqual" allowBlank="1" showInputMessage="1" showErrorMessage="1" promptTitle="Premissa do cenário" prompt="Número não negativo. O modelo recalcula." sqref="E41">
      <formula1>0</formula1>
    </dataValidation>
    <dataValidation type="decimal" operator="greaterThanOrEqual" allowBlank="1" showInputMessage="1" showErrorMessage="1" promptTitle="Premissa do cenário" prompt="Número não negativo. O modelo recalcula." sqref="F41">
      <formula1>0</formula1>
    </dataValidation>
    <dataValidation type="decimal" operator="greaterThanOrEqual" allowBlank="1" showInputMessage="1" showErrorMessage="1" promptTitle="Premissa do cenário" prompt="Número não negativo. O modelo recalcula." sqref="G41">
      <formula1>0</formula1>
    </dataValidation>
    <dataValidation type="decimal" operator="greaterThanOrEqual" allowBlank="1" showInputMessage="1" showErrorMessage="1" promptTitle="Premissa do cenário" prompt="Número não negativo. O modelo recalcula." sqref="O41">
      <formula1>0</formula1>
    </dataValidation>
    <dataValidation type="decimal" operator="greaterThanOrEqual" allowBlank="1" showInputMessage="1" showErrorMessage="1" promptTitle="Premissa do cenário" prompt="Número não negativo. O modelo recalcula." sqref="P41">
      <formula1>0</formula1>
    </dataValidation>
    <dataValidation type="decimal" operator="greaterThanOrEqual" allowBlank="1" showInputMessage="1" showErrorMessage="1" promptTitle="Premissa do cenário" prompt="Número não negativo. O modelo recalcula." sqref="Q41">
      <formula1>0</formula1>
    </dataValidation>
    <dataValidation type="decimal" operator="greaterThanOrEqual" allowBlank="1" showInputMessage="1" showErrorMessage="1" promptTitle="Premissa do cenário" prompt="Número não negativo. O modelo recalcula." sqref="R41">
      <formula1>0</formula1>
    </dataValidation>
    <dataValidation type="decimal" operator="greaterThanOrEqual" allowBlank="1" showInputMessage="1" showErrorMessage="1" promptTitle="Premissa do cenário" prompt="Número não negativo. O modelo recalcula." sqref="S41">
      <formula1>0</formula1>
    </dataValidation>
    <dataValidation type="decimal" operator="greaterThanOrEqual" allowBlank="1" showInputMessage="1" showErrorMessage="1" promptTitle="Premissa do cenário" prompt="Número não negativo. O modelo recalcula." sqref="T41">
      <formula1>0</formula1>
    </dataValidation>
    <dataValidation type="decimal" operator="greaterThanOrEqual" allowBlank="1" showInputMessage="1" showErrorMessage="1" promptTitle="Premissa do cenário" prompt="Número não negativo. O modelo recalcula." sqref="U41">
      <formula1>0</formula1>
    </dataValidation>
    <dataValidation type="decimal" operator="greaterThanOrEqual" allowBlank="1" showInputMessage="1" showErrorMessage="1" promptTitle="Premissa do cenário" prompt="Número não negativo. O modelo recalcula." sqref="V41">
      <formula1>0</formula1>
    </dataValidation>
    <dataValidation type="decimal" operator="greaterThanOrEqual" allowBlank="1" showInputMessage="1" showErrorMessage="1" promptTitle="Premissa do cenário" prompt="Número não negativo. O modelo recalcula." sqref="W41">
      <formula1>0</formula1>
    </dataValidation>
    <dataValidation type="decimal" operator="greaterThanOrEqual" allowBlank="1" showInputMessage="1" showErrorMessage="1" promptTitle="Premissa do cenário" prompt="Número não negativo. O modelo recalcula." sqref="X41">
      <formula1>0</formula1>
    </dataValidation>
    <dataValidation type="decimal" operator="greaterThanOrEqual" allowBlank="1" showInputMessage="1" showErrorMessage="1" promptTitle="Premissa do cenário" prompt="Número não negativo. O modelo recalcula." sqref="Y41">
      <formula1>0</formula1>
    </dataValidation>
    <dataValidation type="decimal" operator="greaterThanOrEqual" allowBlank="1" showInputMessage="1" showErrorMessage="1" promptTitle="Premissa do cenário" prompt="Número não negativo. O modelo recalcula." sqref="C42">
      <formula1>0</formula1>
    </dataValidation>
    <dataValidation type="decimal" operator="greaterThanOrEqual" allowBlank="1" showInputMessage="1" showErrorMessage="1" promptTitle="Premissa do cenário" prompt="Número não negativo. O modelo recalcula." sqref="D42">
      <formula1>0</formula1>
    </dataValidation>
    <dataValidation type="decimal" operator="greaterThanOrEqual" allowBlank="1" showInputMessage="1" showErrorMessage="1" promptTitle="Premissa do cenário" prompt="Número não negativo. O modelo recalcula." sqref="E42">
      <formula1>0</formula1>
    </dataValidation>
    <dataValidation type="decimal" operator="greaterThanOrEqual" allowBlank="1" showInputMessage="1" showErrorMessage="1" promptTitle="Premissa do cenário" prompt="Número não negativo. O modelo recalcula." sqref="F42">
      <formula1>0</formula1>
    </dataValidation>
    <dataValidation type="decimal" operator="greaterThanOrEqual" allowBlank="1" showInputMessage="1" showErrorMessage="1" promptTitle="Premissa do cenário" prompt="Número não negativo. O modelo recalcula." sqref="G42">
      <formula1>0</formula1>
    </dataValidation>
    <dataValidation type="decimal" operator="greaterThanOrEqual" allowBlank="1" showInputMessage="1" showErrorMessage="1" promptTitle="Premissa do cenário" prompt="Número não negativo. O modelo recalcula." sqref="O42">
      <formula1>0</formula1>
    </dataValidation>
    <dataValidation type="decimal" operator="greaterThanOrEqual" allowBlank="1" showInputMessage="1" showErrorMessage="1" promptTitle="Premissa do cenário" prompt="Número não negativo. O modelo recalcula." sqref="P42">
      <formula1>0</formula1>
    </dataValidation>
    <dataValidation type="decimal" operator="greaterThanOrEqual" allowBlank="1" showInputMessage="1" showErrorMessage="1" promptTitle="Premissa do cenário" prompt="Número não negativo. O modelo recalcula." sqref="Q42">
      <formula1>0</formula1>
    </dataValidation>
    <dataValidation type="decimal" operator="greaterThanOrEqual" allowBlank="1" showInputMessage="1" showErrorMessage="1" promptTitle="Premissa do cenário" prompt="Número não negativo. O modelo recalcula." sqref="R42">
      <formula1>0</formula1>
    </dataValidation>
    <dataValidation type="decimal" operator="greaterThanOrEqual" allowBlank="1" showInputMessage="1" showErrorMessage="1" promptTitle="Premissa do cenário" prompt="Número não negativo. O modelo recalcula." sqref="S42">
      <formula1>0</formula1>
    </dataValidation>
    <dataValidation type="decimal" operator="greaterThanOrEqual" allowBlank="1" showInputMessage="1" showErrorMessage="1" promptTitle="Premissa do cenário" prompt="Número não negativo. O modelo recalcula." sqref="T42">
      <formula1>0</formula1>
    </dataValidation>
    <dataValidation type="decimal" operator="greaterThanOrEqual" allowBlank="1" showInputMessage="1" showErrorMessage="1" promptTitle="Premissa do cenário" prompt="Número não negativo. O modelo recalcula." sqref="U42">
      <formula1>0</formula1>
    </dataValidation>
    <dataValidation type="decimal" operator="greaterThanOrEqual" allowBlank="1" showInputMessage="1" showErrorMessage="1" promptTitle="Premissa do cenário" prompt="Número não negativo. O modelo recalcula." sqref="V42">
      <formula1>0</formula1>
    </dataValidation>
    <dataValidation type="decimal" operator="greaterThanOrEqual" allowBlank="1" showInputMessage="1" showErrorMessage="1" promptTitle="Premissa do cenário" prompt="Número não negativo. O modelo recalcula." sqref="W42">
      <formula1>0</formula1>
    </dataValidation>
    <dataValidation type="decimal" operator="greaterThanOrEqual" allowBlank="1" showInputMessage="1" showErrorMessage="1" promptTitle="Premissa do cenário" prompt="Número não negativo. O modelo recalcula." sqref="X42">
      <formula1>0</formula1>
    </dataValidation>
    <dataValidation type="decimal" operator="greaterThanOrEqual" allowBlank="1" showInputMessage="1" showErrorMessage="1" promptTitle="Premissa do cenário" prompt="Número não negativo. O modelo recalcula." sqref="Y42">
      <formula1>0</formula1>
    </dataValidation>
    <dataValidation type="decimal" operator="greaterThanOrEqual" allowBlank="1" showInputMessage="1" showErrorMessage="1" promptTitle="Premissa do cenário" prompt="Número não negativo. O modelo recalcula." sqref="C43">
      <formula1>0</formula1>
    </dataValidation>
    <dataValidation type="decimal" operator="greaterThanOrEqual" allowBlank="1" showInputMessage="1" showErrorMessage="1" promptTitle="Premissa do cenário" prompt="Número não negativo. O modelo recalcula." sqref="D43">
      <formula1>0</formula1>
    </dataValidation>
    <dataValidation type="decimal" operator="greaterThanOrEqual" allowBlank="1" showInputMessage="1" showErrorMessage="1" promptTitle="Premissa do cenário" prompt="Número não negativo. O modelo recalcula." sqref="E43">
      <formula1>0</formula1>
    </dataValidation>
    <dataValidation type="decimal" operator="greaterThanOrEqual" allowBlank="1" showInputMessage="1" showErrorMessage="1" promptTitle="Premissa do cenário" prompt="Número não negativo. O modelo recalcula." sqref="F43">
      <formula1>0</formula1>
    </dataValidation>
    <dataValidation type="decimal" operator="greaterThanOrEqual" allowBlank="1" showInputMessage="1" showErrorMessage="1" promptTitle="Premissa do cenário" prompt="Número não negativo. O modelo recalcula." sqref="G43">
      <formula1>0</formula1>
    </dataValidation>
    <dataValidation type="decimal" operator="greaterThanOrEqual" allowBlank="1" showInputMessage="1" showErrorMessage="1" promptTitle="Premissa do cenário" prompt="Número não negativo. O modelo recalcula." sqref="O43">
      <formula1>0</formula1>
    </dataValidation>
    <dataValidation type="decimal" operator="greaterThanOrEqual" allowBlank="1" showInputMessage="1" showErrorMessage="1" promptTitle="Premissa do cenário" prompt="Número não negativo. O modelo recalcula." sqref="P43">
      <formula1>0</formula1>
    </dataValidation>
    <dataValidation type="decimal" operator="greaterThanOrEqual" allowBlank="1" showInputMessage="1" showErrorMessage="1" promptTitle="Premissa do cenário" prompt="Número não negativo. O modelo recalcula." sqref="Q43">
      <formula1>0</formula1>
    </dataValidation>
    <dataValidation type="decimal" operator="greaterThanOrEqual" allowBlank="1" showInputMessage="1" showErrorMessage="1" promptTitle="Premissa do cenário" prompt="Número não negativo. O modelo recalcula." sqref="R43">
      <formula1>0</formula1>
    </dataValidation>
    <dataValidation type="decimal" operator="greaterThanOrEqual" allowBlank="1" showInputMessage="1" showErrorMessage="1" promptTitle="Premissa do cenário" prompt="Número não negativo. O modelo recalcula." sqref="S43">
      <formula1>0</formula1>
    </dataValidation>
    <dataValidation type="decimal" operator="greaterThanOrEqual" allowBlank="1" showInputMessage="1" showErrorMessage="1" promptTitle="Premissa do cenário" prompt="Número não negativo. O modelo recalcula." sqref="T43">
      <formula1>0</formula1>
    </dataValidation>
    <dataValidation type="decimal" operator="greaterThanOrEqual" allowBlank="1" showInputMessage="1" showErrorMessage="1" promptTitle="Premissa do cenário" prompt="Número não negativo. O modelo recalcula." sqref="U43">
      <formula1>0</formula1>
    </dataValidation>
    <dataValidation type="decimal" operator="greaterThanOrEqual" allowBlank="1" showInputMessage="1" showErrorMessage="1" promptTitle="Premissa do cenário" prompt="Número não negativo. O modelo recalcula." sqref="V43">
      <formula1>0</formula1>
    </dataValidation>
    <dataValidation type="decimal" operator="greaterThanOrEqual" allowBlank="1" showInputMessage="1" showErrorMessage="1" promptTitle="Premissa do cenário" prompt="Número não negativo. O modelo recalcula." sqref="W43">
      <formula1>0</formula1>
    </dataValidation>
    <dataValidation type="decimal" operator="greaterThanOrEqual" allowBlank="1" showInputMessage="1" showErrorMessage="1" promptTitle="Premissa do cenário" prompt="Número não negativo. O modelo recalcula." sqref="X43">
      <formula1>0</formula1>
    </dataValidation>
    <dataValidation type="decimal" operator="greaterThanOrEqual" allowBlank="1" showInputMessage="1" showErrorMessage="1" promptTitle="Premissa do cenário" prompt="Número não negativo. O modelo recalcula." sqref="Y43">
      <formula1>0</formula1>
    </dataValidation>
    <dataValidation type="decimal" operator="greaterThanOrEqual" allowBlank="1" showInputMessage="1" showErrorMessage="1" promptTitle="Premissa do cenário" prompt="Número não negativo. O modelo recalcula." sqref="C44">
      <formula1>0</formula1>
    </dataValidation>
    <dataValidation type="decimal" operator="greaterThanOrEqual" allowBlank="1" showInputMessage="1" showErrorMessage="1" promptTitle="Premissa do cenário" prompt="Número não negativo. O modelo recalcula." sqref="D44">
      <formula1>0</formula1>
    </dataValidation>
    <dataValidation type="decimal" operator="greaterThanOrEqual" allowBlank="1" showInputMessage="1" showErrorMessage="1" promptTitle="Premissa do cenário" prompt="Número não negativo. O modelo recalcula." sqref="E44">
      <formula1>0</formula1>
    </dataValidation>
    <dataValidation type="decimal" operator="greaterThanOrEqual" allowBlank="1" showInputMessage="1" showErrorMessage="1" promptTitle="Premissa do cenário" prompt="Número não negativo. O modelo recalcula." sqref="F44">
      <formula1>0</formula1>
    </dataValidation>
    <dataValidation type="decimal" operator="greaterThanOrEqual" allowBlank="1" showInputMessage="1" showErrorMessage="1" promptTitle="Premissa do cenário" prompt="Número não negativo. O modelo recalcula." sqref="G44">
      <formula1>0</formula1>
    </dataValidation>
    <dataValidation type="decimal" operator="greaterThanOrEqual" allowBlank="1" showInputMessage="1" showErrorMessage="1" promptTitle="Premissa do cenário" prompt="Número não negativo. O modelo recalcula." sqref="O44">
      <formula1>0</formula1>
    </dataValidation>
    <dataValidation type="decimal" operator="greaterThanOrEqual" allowBlank="1" showInputMessage="1" showErrorMessage="1" promptTitle="Premissa do cenário" prompt="Número não negativo. O modelo recalcula." sqref="P44">
      <formula1>0</formula1>
    </dataValidation>
    <dataValidation type="decimal" operator="greaterThanOrEqual" allowBlank="1" showInputMessage="1" showErrorMessage="1" promptTitle="Premissa do cenário" prompt="Número não negativo. O modelo recalcula." sqref="Q44">
      <formula1>0</formula1>
    </dataValidation>
    <dataValidation type="decimal" operator="greaterThanOrEqual" allowBlank="1" showInputMessage="1" showErrorMessage="1" promptTitle="Premissa do cenário" prompt="Número não negativo. O modelo recalcula." sqref="R44">
      <formula1>0</formula1>
    </dataValidation>
    <dataValidation type="decimal" operator="greaterThanOrEqual" allowBlank="1" showInputMessage="1" showErrorMessage="1" promptTitle="Premissa do cenário" prompt="Número não negativo. O modelo recalcula." sqref="S44">
      <formula1>0</formula1>
    </dataValidation>
    <dataValidation type="decimal" operator="greaterThanOrEqual" allowBlank="1" showInputMessage="1" showErrorMessage="1" promptTitle="Premissa do cenário" prompt="Número não negativo. O modelo recalcula." sqref="T44">
      <formula1>0</formula1>
    </dataValidation>
    <dataValidation type="decimal" operator="greaterThanOrEqual" allowBlank="1" showInputMessage="1" showErrorMessage="1" promptTitle="Premissa do cenário" prompt="Número não negativo. O modelo recalcula." sqref="U44">
      <formula1>0</formula1>
    </dataValidation>
    <dataValidation type="decimal" operator="greaterThanOrEqual" allowBlank="1" showInputMessage="1" showErrorMessage="1" promptTitle="Premissa do cenário" prompt="Número não negativo. O modelo recalcula." sqref="V44">
      <formula1>0</formula1>
    </dataValidation>
    <dataValidation type="decimal" operator="greaterThanOrEqual" allowBlank="1" showInputMessage="1" showErrorMessage="1" promptTitle="Premissa do cenário" prompt="Número não negativo. O modelo recalcula." sqref="W44">
      <formula1>0</formula1>
    </dataValidation>
    <dataValidation type="decimal" operator="greaterThanOrEqual" allowBlank="1" showInputMessage="1" showErrorMessage="1" promptTitle="Premissa do cenário" prompt="Número não negativo. O modelo recalcula." sqref="X44">
      <formula1>0</formula1>
    </dataValidation>
    <dataValidation type="decimal" operator="greaterThanOrEqual" allowBlank="1" showInputMessage="1" showErrorMessage="1" promptTitle="Premissa do cenário" prompt="Número não negativo. O modelo recalcula." sqref="Y44">
      <formula1>0</formula1>
    </dataValidation>
    <dataValidation type="decimal" operator="greaterThanOrEqual" allowBlank="1" showInputMessage="1" showErrorMessage="1" promptTitle="Premissa do cenário" prompt="Número não negativo. O modelo recalcula." sqref="C45">
      <formula1>0</formula1>
    </dataValidation>
    <dataValidation type="decimal" operator="greaterThanOrEqual" allowBlank="1" showInputMessage="1" showErrorMessage="1" promptTitle="Premissa do cenário" prompt="Número não negativo. O modelo recalcula." sqref="D45">
      <formula1>0</formula1>
    </dataValidation>
    <dataValidation type="decimal" operator="greaterThanOrEqual" allowBlank="1" showInputMessage="1" showErrorMessage="1" promptTitle="Premissa do cenário" prompt="Número não negativo. O modelo recalcula." sqref="E45">
      <formula1>0</formula1>
    </dataValidation>
    <dataValidation type="decimal" operator="greaterThanOrEqual" allowBlank="1" showInputMessage="1" showErrorMessage="1" promptTitle="Premissa do cenário" prompt="Número não negativo. O modelo recalcula." sqref="F45">
      <formula1>0</formula1>
    </dataValidation>
    <dataValidation type="decimal" operator="greaterThanOrEqual" allowBlank="1" showInputMessage="1" showErrorMessage="1" promptTitle="Premissa do cenário" prompt="Número não negativo. O modelo recalcula." sqref="G45">
      <formula1>0</formula1>
    </dataValidation>
    <dataValidation type="decimal" operator="greaterThanOrEqual" allowBlank="1" showInputMessage="1" showErrorMessage="1" promptTitle="Premissa do cenário" prompt="Número não negativo. O modelo recalcula." sqref="O45">
      <formula1>0</formula1>
    </dataValidation>
    <dataValidation type="decimal" operator="greaterThanOrEqual" allowBlank="1" showInputMessage="1" showErrorMessage="1" promptTitle="Premissa do cenário" prompt="Número não negativo. O modelo recalcula." sqref="P45">
      <formula1>0</formula1>
    </dataValidation>
    <dataValidation type="decimal" operator="greaterThanOrEqual" allowBlank="1" showInputMessage="1" showErrorMessage="1" promptTitle="Premissa do cenário" prompt="Número não negativo. O modelo recalcula." sqref="Q45">
      <formula1>0</formula1>
    </dataValidation>
    <dataValidation type="decimal" operator="greaterThanOrEqual" allowBlank="1" showInputMessage="1" showErrorMessage="1" promptTitle="Premissa do cenário" prompt="Número não negativo. O modelo recalcula." sqref="R45">
      <formula1>0</formula1>
    </dataValidation>
    <dataValidation type="decimal" operator="greaterThanOrEqual" allowBlank="1" showInputMessage="1" showErrorMessage="1" promptTitle="Premissa do cenário" prompt="Número não negativo. O modelo recalcula." sqref="S45">
      <formula1>0</formula1>
    </dataValidation>
    <dataValidation type="decimal" operator="greaterThanOrEqual" allowBlank="1" showInputMessage="1" showErrorMessage="1" promptTitle="Premissa do cenário" prompt="Número não negativo. O modelo recalcula." sqref="T45">
      <formula1>0</formula1>
    </dataValidation>
    <dataValidation type="decimal" operator="greaterThanOrEqual" allowBlank="1" showInputMessage="1" showErrorMessage="1" promptTitle="Premissa do cenário" prompt="Número não negativo. O modelo recalcula." sqref="U45">
      <formula1>0</formula1>
    </dataValidation>
    <dataValidation type="decimal" operator="greaterThanOrEqual" allowBlank="1" showInputMessage="1" showErrorMessage="1" promptTitle="Premissa do cenário" prompt="Número não negativo. O modelo recalcula." sqref="V45">
      <formula1>0</formula1>
    </dataValidation>
    <dataValidation type="decimal" operator="greaterThanOrEqual" allowBlank="1" showInputMessage="1" showErrorMessage="1" promptTitle="Premissa do cenário" prompt="Número não negativo. O modelo recalcula." sqref="W45">
      <formula1>0</formula1>
    </dataValidation>
    <dataValidation type="decimal" operator="greaterThanOrEqual" allowBlank="1" showInputMessage="1" showErrorMessage="1" promptTitle="Premissa do cenário" prompt="Número não negativo. O modelo recalcula." sqref="X45">
      <formula1>0</formula1>
    </dataValidation>
    <dataValidation type="decimal" operator="greaterThanOrEqual" allowBlank="1" showInputMessage="1" showErrorMessage="1" promptTitle="Premissa do cenário" prompt="Número não negativo. O modelo recalcula." sqref="Y45">
      <formula1>0</formula1>
    </dataValidation>
    <dataValidation type="decimal" operator="greaterThanOrEqual" allowBlank="1" showInputMessage="1" showErrorMessage="1" promptTitle="Premissa do cenário" prompt="Número não negativo. O modelo recalcula." sqref="C46">
      <formula1>0</formula1>
    </dataValidation>
    <dataValidation type="decimal" operator="greaterThanOrEqual" allowBlank="1" showInputMessage="1" showErrorMessage="1" promptTitle="Premissa do cenário" prompt="Número não negativo. O modelo recalcula." sqref="D46">
      <formula1>0</formula1>
    </dataValidation>
    <dataValidation type="decimal" operator="greaterThanOrEqual" allowBlank="1" showInputMessage="1" showErrorMessage="1" promptTitle="Premissa do cenário" prompt="Número não negativo. O modelo recalcula." sqref="E46">
      <formula1>0</formula1>
    </dataValidation>
    <dataValidation type="decimal" operator="greaterThanOrEqual" allowBlank="1" showInputMessage="1" showErrorMessage="1" promptTitle="Premissa do cenário" prompt="Número não negativo. O modelo recalcula." sqref="F46">
      <formula1>0</formula1>
    </dataValidation>
    <dataValidation type="decimal" operator="greaterThanOrEqual" allowBlank="1" showInputMessage="1" showErrorMessage="1" promptTitle="Premissa do cenário" prompt="Número não negativo. O modelo recalcula." sqref="G46">
      <formula1>0</formula1>
    </dataValidation>
    <dataValidation type="decimal" operator="greaterThanOrEqual" allowBlank="1" showInputMessage="1" showErrorMessage="1" promptTitle="Premissa do cenário" prompt="Número não negativo. O modelo recalcula." sqref="O46">
      <formula1>0</formula1>
    </dataValidation>
    <dataValidation type="decimal" operator="greaterThanOrEqual" allowBlank="1" showInputMessage="1" showErrorMessage="1" promptTitle="Premissa do cenário" prompt="Número não negativo. O modelo recalcula." sqref="P46">
      <formula1>0</formula1>
    </dataValidation>
    <dataValidation type="decimal" operator="greaterThanOrEqual" allowBlank="1" showInputMessage="1" showErrorMessage="1" promptTitle="Premissa do cenário" prompt="Número não negativo. O modelo recalcula." sqref="Q46">
      <formula1>0</formula1>
    </dataValidation>
    <dataValidation type="decimal" operator="greaterThanOrEqual" allowBlank="1" showInputMessage="1" showErrorMessage="1" promptTitle="Premissa do cenário" prompt="Número não negativo. O modelo recalcula." sqref="R46">
      <formula1>0</formula1>
    </dataValidation>
    <dataValidation type="decimal" operator="greaterThanOrEqual" allowBlank="1" showInputMessage="1" showErrorMessage="1" promptTitle="Premissa do cenário" prompt="Número não negativo. O modelo recalcula." sqref="S46">
      <formula1>0</formula1>
    </dataValidation>
    <dataValidation type="decimal" operator="greaterThanOrEqual" allowBlank="1" showInputMessage="1" showErrorMessage="1" promptTitle="Premissa do cenário" prompt="Número não negativo. O modelo recalcula." sqref="T46">
      <formula1>0</formula1>
    </dataValidation>
    <dataValidation type="decimal" operator="greaterThanOrEqual" allowBlank="1" showInputMessage="1" showErrorMessage="1" promptTitle="Premissa do cenário" prompt="Número não negativo. O modelo recalcula." sqref="U46">
      <formula1>0</formula1>
    </dataValidation>
    <dataValidation type="decimal" operator="greaterThanOrEqual" allowBlank="1" showInputMessage="1" showErrorMessage="1" promptTitle="Premissa do cenário" prompt="Número não negativo. O modelo recalcula." sqref="V46">
      <formula1>0</formula1>
    </dataValidation>
    <dataValidation type="decimal" operator="greaterThanOrEqual" allowBlank="1" showInputMessage="1" showErrorMessage="1" promptTitle="Premissa do cenário" prompt="Número não negativo. O modelo recalcula." sqref="W46">
      <formula1>0</formula1>
    </dataValidation>
    <dataValidation type="decimal" operator="greaterThanOrEqual" allowBlank="1" showInputMessage="1" showErrorMessage="1" promptTitle="Premissa do cenário" prompt="Número não negativo. O modelo recalcula." sqref="X46">
      <formula1>0</formula1>
    </dataValidation>
    <dataValidation type="decimal" operator="greaterThanOrEqual" allowBlank="1" showInputMessage="1" showErrorMessage="1" promptTitle="Premissa do cenário" prompt="Número não negativo. O modelo recalcula." sqref="Y46">
      <formula1>0</formula1>
    </dataValidation>
    <dataValidation type="decimal" operator="greaterThanOrEqual" allowBlank="1" showInputMessage="1" showErrorMessage="1" promptTitle="Premissa do cenário" prompt="Número não negativo. O modelo recalcula." sqref="C47">
      <formula1>0</formula1>
    </dataValidation>
    <dataValidation type="decimal" operator="greaterThanOrEqual" allowBlank="1" showInputMessage="1" showErrorMessage="1" promptTitle="Premissa do cenário" prompt="Número não negativo. O modelo recalcula." sqref="D47">
      <formula1>0</formula1>
    </dataValidation>
    <dataValidation type="decimal" operator="greaterThanOrEqual" allowBlank="1" showInputMessage="1" showErrorMessage="1" promptTitle="Premissa do cenário" prompt="Número não negativo. O modelo recalcula." sqref="E47">
      <formula1>0</formula1>
    </dataValidation>
    <dataValidation type="decimal" operator="greaterThanOrEqual" allowBlank="1" showInputMessage="1" showErrorMessage="1" promptTitle="Premissa do cenário" prompt="Número não negativo. O modelo recalcula." sqref="F47">
      <formula1>0</formula1>
    </dataValidation>
    <dataValidation type="decimal" operator="greaterThanOrEqual" allowBlank="1" showInputMessage="1" showErrorMessage="1" promptTitle="Premissa do cenário" prompt="Número não negativo. O modelo recalcula." sqref="G47">
      <formula1>0</formula1>
    </dataValidation>
    <dataValidation type="decimal" operator="greaterThanOrEqual" allowBlank="1" showInputMessage="1" showErrorMessage="1" promptTitle="Premissa do cenário" prompt="Número não negativo. O modelo recalcula." sqref="O47">
      <formula1>0</formula1>
    </dataValidation>
    <dataValidation type="decimal" operator="greaterThanOrEqual" allowBlank="1" showInputMessage="1" showErrorMessage="1" promptTitle="Premissa do cenário" prompt="Número não negativo. O modelo recalcula." sqref="P47">
      <formula1>0</formula1>
    </dataValidation>
    <dataValidation type="decimal" operator="greaterThanOrEqual" allowBlank="1" showInputMessage="1" showErrorMessage="1" promptTitle="Premissa do cenário" prompt="Número não negativo. O modelo recalcula." sqref="Q47">
      <formula1>0</formula1>
    </dataValidation>
    <dataValidation type="decimal" operator="greaterThanOrEqual" allowBlank="1" showInputMessage="1" showErrorMessage="1" promptTitle="Premissa do cenário" prompt="Número não negativo. O modelo recalcula." sqref="R47">
      <formula1>0</formula1>
    </dataValidation>
    <dataValidation type="decimal" operator="greaterThanOrEqual" allowBlank="1" showInputMessage="1" showErrorMessage="1" promptTitle="Premissa do cenário" prompt="Número não negativo. O modelo recalcula." sqref="S47">
      <formula1>0</formula1>
    </dataValidation>
    <dataValidation type="decimal" operator="greaterThanOrEqual" allowBlank="1" showInputMessage="1" showErrorMessage="1" promptTitle="Premissa do cenário" prompt="Número não negativo. O modelo recalcula." sqref="T47">
      <formula1>0</formula1>
    </dataValidation>
    <dataValidation type="decimal" operator="greaterThanOrEqual" allowBlank="1" showInputMessage="1" showErrorMessage="1" promptTitle="Premissa do cenário" prompt="Número não negativo. O modelo recalcula." sqref="U47">
      <formula1>0</formula1>
    </dataValidation>
    <dataValidation type="decimal" operator="greaterThanOrEqual" allowBlank="1" showInputMessage="1" showErrorMessage="1" promptTitle="Premissa do cenário" prompt="Número não negativo. O modelo recalcula." sqref="V47">
      <formula1>0</formula1>
    </dataValidation>
    <dataValidation type="decimal" operator="greaterThanOrEqual" allowBlank="1" showInputMessage="1" showErrorMessage="1" promptTitle="Premissa do cenário" prompt="Número não negativo. O modelo recalcula." sqref="W47">
      <formula1>0</formula1>
    </dataValidation>
    <dataValidation type="decimal" operator="greaterThanOrEqual" allowBlank="1" showInputMessage="1" showErrorMessage="1" promptTitle="Premissa do cenário" prompt="Número não negativo. O modelo recalcula." sqref="X47">
      <formula1>0</formula1>
    </dataValidation>
    <dataValidation type="decimal" operator="greaterThanOrEqual" allowBlank="1" showInputMessage="1" showErrorMessage="1" promptTitle="Premissa do cenário" prompt="Número não negativo. O modelo recalcula." sqref="Y47">
      <formula1>0</formula1>
    </dataValidation>
    <dataValidation type="decimal" operator="greaterThanOrEqual" allowBlank="1" showInputMessage="1" showErrorMessage="1" promptTitle="Premissa do cenário" prompt="Número não negativo. O modelo recalcula." sqref="C48">
      <formula1>0</formula1>
    </dataValidation>
    <dataValidation type="decimal" operator="greaterThanOrEqual" allowBlank="1" showInputMessage="1" showErrorMessage="1" promptTitle="Premissa do cenário" prompt="Número não negativo. O modelo recalcula." sqref="D48">
      <formula1>0</formula1>
    </dataValidation>
    <dataValidation type="decimal" operator="greaterThanOrEqual" allowBlank="1" showInputMessage="1" showErrorMessage="1" promptTitle="Premissa do cenário" prompt="Número não negativo. O modelo recalcula." sqref="E48">
      <formula1>0</formula1>
    </dataValidation>
    <dataValidation type="decimal" operator="greaterThanOrEqual" allowBlank="1" showInputMessage="1" showErrorMessage="1" promptTitle="Premissa do cenário" prompt="Número não negativo. O modelo recalcula." sqref="F48">
      <formula1>0</formula1>
    </dataValidation>
    <dataValidation type="decimal" operator="greaterThanOrEqual" allowBlank="1" showInputMessage="1" showErrorMessage="1" promptTitle="Premissa do cenário" prompt="Número não negativo. O modelo recalcula." sqref="G48">
      <formula1>0</formula1>
    </dataValidation>
    <dataValidation type="decimal" operator="greaterThanOrEqual" allowBlank="1" showInputMessage="1" showErrorMessage="1" promptTitle="Premissa do cenário" prompt="Número não negativo. O modelo recalcula." sqref="O48">
      <formula1>0</formula1>
    </dataValidation>
    <dataValidation type="decimal" operator="greaterThanOrEqual" allowBlank="1" showInputMessage="1" showErrorMessage="1" promptTitle="Premissa do cenário" prompt="Número não negativo. O modelo recalcula." sqref="P48">
      <formula1>0</formula1>
    </dataValidation>
    <dataValidation type="decimal" operator="greaterThanOrEqual" allowBlank="1" showInputMessage="1" showErrorMessage="1" promptTitle="Premissa do cenário" prompt="Número não negativo. O modelo recalcula." sqref="Q48">
      <formula1>0</formula1>
    </dataValidation>
    <dataValidation type="decimal" operator="greaterThanOrEqual" allowBlank="1" showInputMessage="1" showErrorMessage="1" promptTitle="Premissa do cenário" prompt="Número não negativo. O modelo recalcula." sqref="R48">
      <formula1>0</formula1>
    </dataValidation>
    <dataValidation type="decimal" operator="greaterThanOrEqual" allowBlank="1" showInputMessage="1" showErrorMessage="1" promptTitle="Premissa do cenário" prompt="Número não negativo. O modelo recalcula." sqref="S48">
      <formula1>0</formula1>
    </dataValidation>
    <dataValidation type="decimal" operator="greaterThanOrEqual" allowBlank="1" showInputMessage="1" showErrorMessage="1" promptTitle="Premissa do cenário" prompt="Número não negativo. O modelo recalcula." sqref="T48">
      <formula1>0</formula1>
    </dataValidation>
    <dataValidation type="decimal" operator="greaterThanOrEqual" allowBlank="1" showInputMessage="1" showErrorMessage="1" promptTitle="Premissa do cenário" prompt="Número não negativo. O modelo recalcula." sqref="U48">
      <formula1>0</formula1>
    </dataValidation>
    <dataValidation type="decimal" operator="greaterThanOrEqual" allowBlank="1" showInputMessage="1" showErrorMessage="1" promptTitle="Premissa do cenário" prompt="Número não negativo. O modelo recalcula." sqref="V48">
      <formula1>0</formula1>
    </dataValidation>
    <dataValidation type="decimal" operator="greaterThanOrEqual" allowBlank="1" showInputMessage="1" showErrorMessage="1" promptTitle="Premissa do cenário" prompt="Número não negativo. O modelo recalcula." sqref="W48">
      <formula1>0</formula1>
    </dataValidation>
    <dataValidation type="decimal" operator="greaterThanOrEqual" allowBlank="1" showInputMessage="1" showErrorMessage="1" promptTitle="Premissa do cenário" prompt="Número não negativo. O modelo recalcula." sqref="X48">
      <formula1>0</formula1>
    </dataValidation>
    <dataValidation type="decimal" operator="greaterThanOrEqual" allowBlank="1" showInputMessage="1" showErrorMessage="1" promptTitle="Premissa do cenário" prompt="Número não negativo. O modelo recalcula." sqref="Y48">
      <formula1>0</formula1>
    </dataValidation>
    <dataValidation type="decimal" operator="greaterThanOrEqual" allowBlank="1" showInputMessage="1" showErrorMessage="1" promptTitle="Premissa do cenário" prompt="Número não negativo. O modelo recalcula." sqref="C49">
      <formula1>0</formula1>
    </dataValidation>
    <dataValidation type="decimal" operator="greaterThanOrEqual" allowBlank="1" showInputMessage="1" showErrorMessage="1" promptTitle="Premissa do cenário" prompt="Número não negativo. O modelo recalcula." sqref="D49">
      <formula1>0</formula1>
    </dataValidation>
    <dataValidation type="decimal" operator="greaterThanOrEqual" allowBlank="1" showInputMessage="1" showErrorMessage="1" promptTitle="Premissa do cenário" prompt="Número não negativo. O modelo recalcula." sqref="E49">
      <formula1>0</formula1>
    </dataValidation>
    <dataValidation type="decimal" operator="greaterThanOrEqual" allowBlank="1" showInputMessage="1" showErrorMessage="1" promptTitle="Premissa do cenário" prompt="Número não negativo. O modelo recalcula." sqref="F49">
      <formula1>0</formula1>
    </dataValidation>
    <dataValidation type="decimal" operator="greaterThanOrEqual" allowBlank="1" showInputMessage="1" showErrorMessage="1" promptTitle="Premissa do cenário" prompt="Número não negativo. O modelo recalcula." sqref="G49">
      <formula1>0</formula1>
    </dataValidation>
    <dataValidation type="decimal" operator="greaterThanOrEqual" allowBlank="1" showInputMessage="1" showErrorMessage="1" promptTitle="Premissa do cenário" prompt="Número não negativo. O modelo recalcula." sqref="O49">
      <formula1>0</formula1>
    </dataValidation>
    <dataValidation type="decimal" operator="greaterThanOrEqual" allowBlank="1" showInputMessage="1" showErrorMessage="1" promptTitle="Premissa do cenário" prompt="Número não negativo. O modelo recalcula." sqref="P49">
      <formula1>0</formula1>
    </dataValidation>
    <dataValidation type="decimal" operator="greaterThanOrEqual" allowBlank="1" showInputMessage="1" showErrorMessage="1" promptTitle="Premissa do cenário" prompt="Número não negativo. O modelo recalcula." sqref="Q49">
      <formula1>0</formula1>
    </dataValidation>
    <dataValidation type="decimal" operator="greaterThanOrEqual" allowBlank="1" showInputMessage="1" showErrorMessage="1" promptTitle="Premissa do cenário" prompt="Número não negativo. O modelo recalcula." sqref="R49">
      <formula1>0</formula1>
    </dataValidation>
    <dataValidation type="decimal" operator="greaterThanOrEqual" allowBlank="1" showInputMessage="1" showErrorMessage="1" promptTitle="Premissa do cenário" prompt="Número não negativo. O modelo recalcula." sqref="S49">
      <formula1>0</formula1>
    </dataValidation>
    <dataValidation type="decimal" operator="greaterThanOrEqual" allowBlank="1" showInputMessage="1" showErrorMessage="1" promptTitle="Premissa do cenário" prompt="Número não negativo. O modelo recalcula." sqref="T49">
      <formula1>0</formula1>
    </dataValidation>
    <dataValidation type="decimal" operator="greaterThanOrEqual" allowBlank="1" showInputMessage="1" showErrorMessage="1" promptTitle="Premissa do cenário" prompt="Número não negativo. O modelo recalcula." sqref="U49">
      <formula1>0</formula1>
    </dataValidation>
    <dataValidation type="decimal" operator="greaterThanOrEqual" allowBlank="1" showInputMessage="1" showErrorMessage="1" promptTitle="Premissa do cenário" prompt="Número não negativo. O modelo recalcula." sqref="V49">
      <formula1>0</formula1>
    </dataValidation>
    <dataValidation type="decimal" operator="greaterThanOrEqual" allowBlank="1" showInputMessage="1" showErrorMessage="1" promptTitle="Premissa do cenário" prompt="Número não negativo. O modelo recalcula." sqref="W49">
      <formula1>0</formula1>
    </dataValidation>
    <dataValidation type="decimal" operator="greaterThanOrEqual" allowBlank="1" showInputMessage="1" showErrorMessage="1" promptTitle="Premissa do cenário" prompt="Número não negativo. O modelo recalcula." sqref="X49">
      <formula1>0</formula1>
    </dataValidation>
    <dataValidation type="decimal" operator="greaterThanOrEqual" allowBlank="1" showInputMessage="1" showErrorMessage="1" promptTitle="Premissa do cenário" prompt="Número não negativo. O modelo recalcula." sqref="Y49">
      <formula1>0</formula1>
    </dataValidation>
    <dataValidation type="decimal" operator="greaterThanOrEqual" allowBlank="1" showInputMessage="1" showErrorMessage="1" promptTitle="Premissa do cenário" prompt="Número não negativo. O modelo recalcula." sqref="C50">
      <formula1>0</formula1>
    </dataValidation>
    <dataValidation type="decimal" operator="greaterThanOrEqual" allowBlank="1" showInputMessage="1" showErrorMessage="1" promptTitle="Premissa do cenário" prompt="Número não negativo. O modelo recalcula." sqref="D50">
      <formula1>0</formula1>
    </dataValidation>
    <dataValidation type="decimal" operator="greaterThanOrEqual" allowBlank="1" showInputMessage="1" showErrorMessage="1" promptTitle="Premissa do cenário" prompt="Número não negativo. O modelo recalcula." sqref="E50">
      <formula1>0</formula1>
    </dataValidation>
    <dataValidation type="decimal" operator="greaterThanOrEqual" allowBlank="1" showInputMessage="1" showErrorMessage="1" promptTitle="Premissa do cenário" prompt="Número não negativo. O modelo recalcula." sqref="F50">
      <formula1>0</formula1>
    </dataValidation>
    <dataValidation type="decimal" operator="greaterThanOrEqual" allowBlank="1" showInputMessage="1" showErrorMessage="1" promptTitle="Premissa do cenário" prompt="Número não negativo. O modelo recalcula." sqref="G50">
      <formula1>0</formula1>
    </dataValidation>
    <dataValidation type="decimal" operator="greaterThanOrEqual" allowBlank="1" showInputMessage="1" showErrorMessage="1" promptTitle="Premissa do cenário" prompt="Número não negativo. O modelo recalcula." sqref="O50">
      <formula1>0</formula1>
    </dataValidation>
    <dataValidation type="decimal" operator="greaterThanOrEqual" allowBlank="1" showInputMessage="1" showErrorMessage="1" promptTitle="Premissa do cenário" prompt="Número não negativo. O modelo recalcula." sqref="P50">
      <formula1>0</formula1>
    </dataValidation>
    <dataValidation type="decimal" operator="greaterThanOrEqual" allowBlank="1" showInputMessage="1" showErrorMessage="1" promptTitle="Premissa do cenário" prompt="Número não negativo. O modelo recalcula." sqref="Q50">
      <formula1>0</formula1>
    </dataValidation>
    <dataValidation type="decimal" operator="greaterThanOrEqual" allowBlank="1" showInputMessage="1" showErrorMessage="1" promptTitle="Premissa do cenário" prompt="Número não negativo. O modelo recalcula." sqref="R50">
      <formula1>0</formula1>
    </dataValidation>
    <dataValidation type="decimal" operator="greaterThanOrEqual" allowBlank="1" showInputMessage="1" showErrorMessage="1" promptTitle="Premissa do cenário" prompt="Número não negativo. O modelo recalcula." sqref="S50">
      <formula1>0</formula1>
    </dataValidation>
    <dataValidation type="decimal" operator="greaterThanOrEqual" allowBlank="1" showInputMessage="1" showErrorMessage="1" promptTitle="Premissa do cenário" prompt="Número não negativo. O modelo recalcula." sqref="T50">
      <formula1>0</formula1>
    </dataValidation>
    <dataValidation type="decimal" operator="greaterThanOrEqual" allowBlank="1" showInputMessage="1" showErrorMessage="1" promptTitle="Premissa do cenário" prompt="Número não negativo. O modelo recalcula." sqref="U50">
      <formula1>0</formula1>
    </dataValidation>
    <dataValidation type="decimal" operator="greaterThanOrEqual" allowBlank="1" showInputMessage="1" showErrorMessage="1" promptTitle="Premissa do cenário" prompt="Número não negativo. O modelo recalcula." sqref="V50">
      <formula1>0</formula1>
    </dataValidation>
    <dataValidation type="decimal" operator="greaterThanOrEqual" allowBlank="1" showInputMessage="1" showErrorMessage="1" promptTitle="Premissa do cenário" prompt="Número não negativo. O modelo recalcula." sqref="W50">
      <formula1>0</formula1>
    </dataValidation>
    <dataValidation type="decimal" operator="greaterThanOrEqual" allowBlank="1" showInputMessage="1" showErrorMessage="1" promptTitle="Premissa do cenário" prompt="Número não negativo. O modelo recalcula." sqref="X50">
      <formula1>0</formula1>
    </dataValidation>
    <dataValidation type="decimal" operator="greaterThanOrEqual" allowBlank="1" showInputMessage="1" showErrorMessage="1" promptTitle="Premissa do cenário" prompt="Número não negativo. O modelo recalcula." sqref="Y50">
      <formula1>0</formula1>
    </dataValidation>
    <dataValidation type="decimal" operator="greaterThanOrEqual" allowBlank="1" showInputMessage="1" showErrorMessage="1" promptTitle="Premissa do cenário" prompt="Número não negativo. O modelo recalcula." sqref="C51">
      <formula1>0</formula1>
    </dataValidation>
    <dataValidation type="decimal" operator="greaterThanOrEqual" allowBlank="1" showInputMessage="1" showErrorMessage="1" promptTitle="Premissa do cenário" prompt="Número não negativo. O modelo recalcula." sqref="D51">
      <formula1>0</formula1>
    </dataValidation>
    <dataValidation type="decimal" operator="greaterThanOrEqual" allowBlank="1" showInputMessage="1" showErrorMessage="1" promptTitle="Premissa do cenário" prompt="Número não negativo. O modelo recalcula." sqref="E51">
      <formula1>0</formula1>
    </dataValidation>
    <dataValidation type="decimal" operator="greaterThanOrEqual" allowBlank="1" showInputMessage="1" showErrorMessage="1" promptTitle="Premissa do cenário" prompt="Número não negativo. O modelo recalcula." sqref="F51">
      <formula1>0</formula1>
    </dataValidation>
    <dataValidation type="decimal" operator="greaterThanOrEqual" allowBlank="1" showInputMessage="1" showErrorMessage="1" promptTitle="Premissa do cenário" prompt="Número não negativo. O modelo recalcula." sqref="G51">
      <formula1>0</formula1>
    </dataValidation>
    <dataValidation type="decimal" operator="greaterThanOrEqual" allowBlank="1" showInputMessage="1" showErrorMessage="1" promptTitle="Premissa do cenário" prompt="Número não negativo. O modelo recalcula." sqref="O51">
      <formula1>0</formula1>
    </dataValidation>
    <dataValidation type="decimal" operator="greaterThanOrEqual" allowBlank="1" showInputMessage="1" showErrorMessage="1" promptTitle="Premissa do cenário" prompt="Número não negativo. O modelo recalcula." sqref="P51">
      <formula1>0</formula1>
    </dataValidation>
    <dataValidation type="decimal" operator="greaterThanOrEqual" allowBlank="1" showInputMessage="1" showErrorMessage="1" promptTitle="Premissa do cenário" prompt="Número não negativo. O modelo recalcula." sqref="Q51">
      <formula1>0</formula1>
    </dataValidation>
    <dataValidation type="decimal" operator="greaterThanOrEqual" allowBlank="1" showInputMessage="1" showErrorMessage="1" promptTitle="Premissa do cenário" prompt="Número não negativo. O modelo recalcula." sqref="R51">
      <formula1>0</formula1>
    </dataValidation>
    <dataValidation type="decimal" operator="greaterThanOrEqual" allowBlank="1" showInputMessage="1" showErrorMessage="1" promptTitle="Premissa do cenário" prompt="Número não negativo. O modelo recalcula." sqref="S51">
      <formula1>0</formula1>
    </dataValidation>
    <dataValidation type="decimal" operator="greaterThanOrEqual" allowBlank="1" showInputMessage="1" showErrorMessage="1" promptTitle="Premissa do cenário" prompt="Número não negativo. O modelo recalcula." sqref="T51">
      <formula1>0</formula1>
    </dataValidation>
    <dataValidation type="decimal" operator="greaterThanOrEqual" allowBlank="1" showInputMessage="1" showErrorMessage="1" promptTitle="Premissa do cenário" prompt="Número não negativo. O modelo recalcula." sqref="U51">
      <formula1>0</formula1>
    </dataValidation>
    <dataValidation type="decimal" operator="greaterThanOrEqual" allowBlank="1" showInputMessage="1" showErrorMessage="1" promptTitle="Premissa do cenário" prompt="Número não negativo. O modelo recalcula." sqref="V51">
      <formula1>0</formula1>
    </dataValidation>
    <dataValidation type="decimal" operator="greaterThanOrEqual" allowBlank="1" showInputMessage="1" showErrorMessage="1" promptTitle="Premissa do cenário" prompt="Número não negativo. O modelo recalcula." sqref="W51">
      <formula1>0</formula1>
    </dataValidation>
    <dataValidation type="decimal" operator="greaterThanOrEqual" allowBlank="1" showInputMessage="1" showErrorMessage="1" promptTitle="Premissa do cenário" prompt="Número não negativo. O modelo recalcula." sqref="X51">
      <formula1>0</formula1>
    </dataValidation>
    <dataValidation type="decimal" operator="greaterThanOrEqual" allowBlank="1" showInputMessage="1" showErrorMessage="1" promptTitle="Premissa do cenário" prompt="Número não negativo. O modelo recalcula." sqref="Y51">
      <formula1>0</formula1>
    </dataValidation>
    <dataValidation type="decimal" operator="greaterThanOrEqual" allowBlank="1" showInputMessage="1" showErrorMessage="1" promptTitle="Premissa do cenário" prompt="Número não negativo. O modelo recalcula." sqref="C52">
      <formula1>0</formula1>
    </dataValidation>
    <dataValidation type="decimal" operator="greaterThanOrEqual" allowBlank="1" showInputMessage="1" showErrorMessage="1" promptTitle="Premissa do cenário" prompt="Número não negativo. O modelo recalcula." sqref="D52">
      <formula1>0</formula1>
    </dataValidation>
    <dataValidation type="decimal" operator="greaterThanOrEqual" allowBlank="1" showInputMessage="1" showErrorMessage="1" promptTitle="Premissa do cenário" prompt="Número não negativo. O modelo recalcula." sqref="E52">
      <formula1>0</formula1>
    </dataValidation>
    <dataValidation type="decimal" operator="greaterThanOrEqual" allowBlank="1" showInputMessage="1" showErrorMessage="1" promptTitle="Premissa do cenário" prompt="Número não negativo. O modelo recalcula." sqref="F52">
      <formula1>0</formula1>
    </dataValidation>
    <dataValidation type="decimal" operator="greaterThanOrEqual" allowBlank="1" showInputMessage="1" showErrorMessage="1" promptTitle="Premissa do cenário" prompt="Número não negativo. O modelo recalcula." sqref="G52">
      <formula1>0</formula1>
    </dataValidation>
    <dataValidation type="decimal" operator="greaterThanOrEqual" allowBlank="1" showInputMessage="1" showErrorMessage="1" promptTitle="Premissa do cenário" prompt="Número não negativo. O modelo recalcula." sqref="O52">
      <formula1>0</formula1>
    </dataValidation>
    <dataValidation type="decimal" operator="greaterThanOrEqual" allowBlank="1" showInputMessage="1" showErrorMessage="1" promptTitle="Premissa do cenário" prompt="Número não negativo. O modelo recalcula." sqref="P52">
      <formula1>0</formula1>
    </dataValidation>
    <dataValidation type="decimal" operator="greaterThanOrEqual" allowBlank="1" showInputMessage="1" showErrorMessage="1" promptTitle="Premissa do cenário" prompt="Número não negativo. O modelo recalcula." sqref="Q52">
      <formula1>0</formula1>
    </dataValidation>
    <dataValidation type="decimal" operator="greaterThanOrEqual" allowBlank="1" showInputMessage="1" showErrorMessage="1" promptTitle="Premissa do cenário" prompt="Número não negativo. O modelo recalcula." sqref="R52">
      <formula1>0</formula1>
    </dataValidation>
    <dataValidation type="decimal" operator="greaterThanOrEqual" allowBlank="1" showInputMessage="1" showErrorMessage="1" promptTitle="Premissa do cenário" prompt="Número não negativo. O modelo recalcula." sqref="S52">
      <formula1>0</formula1>
    </dataValidation>
    <dataValidation type="decimal" operator="greaterThanOrEqual" allowBlank="1" showInputMessage="1" showErrorMessage="1" promptTitle="Premissa do cenário" prompt="Número não negativo. O modelo recalcula." sqref="T52">
      <formula1>0</formula1>
    </dataValidation>
    <dataValidation type="decimal" operator="greaterThanOrEqual" allowBlank="1" showInputMessage="1" showErrorMessage="1" promptTitle="Premissa do cenário" prompt="Número não negativo. O modelo recalcula." sqref="U52">
      <formula1>0</formula1>
    </dataValidation>
    <dataValidation type="decimal" operator="greaterThanOrEqual" allowBlank="1" showInputMessage="1" showErrorMessage="1" promptTitle="Premissa do cenário" prompt="Número não negativo. O modelo recalcula." sqref="V52">
      <formula1>0</formula1>
    </dataValidation>
    <dataValidation type="decimal" operator="greaterThanOrEqual" allowBlank="1" showInputMessage="1" showErrorMessage="1" promptTitle="Premissa do cenário" prompt="Número não negativo. O modelo recalcula." sqref="W52">
      <formula1>0</formula1>
    </dataValidation>
    <dataValidation type="decimal" operator="greaterThanOrEqual" allowBlank="1" showInputMessage="1" showErrorMessage="1" promptTitle="Premissa do cenário" prompt="Número não negativo. O modelo recalcula." sqref="X52">
      <formula1>0</formula1>
    </dataValidation>
    <dataValidation type="decimal" operator="greaterThanOrEqual" allowBlank="1" showInputMessage="1" showErrorMessage="1" promptTitle="Premissa do cenário" prompt="Número não negativo. O modelo recalcula." sqref="Y52">
      <formula1>0</formula1>
    </dataValidation>
    <dataValidation type="decimal" operator="greaterThanOrEqual" allowBlank="1" showInputMessage="1" showErrorMessage="1" promptTitle="Premissa do cenário" prompt="Número não negativo. O modelo recalcula." sqref="C53">
      <formula1>0</formula1>
    </dataValidation>
    <dataValidation type="decimal" operator="greaterThanOrEqual" allowBlank="1" showInputMessage="1" showErrorMessage="1" promptTitle="Premissa do cenário" prompt="Número não negativo. O modelo recalcula." sqref="D53">
      <formula1>0</formula1>
    </dataValidation>
    <dataValidation type="decimal" operator="greaterThanOrEqual" allowBlank="1" showInputMessage="1" showErrorMessage="1" promptTitle="Premissa do cenário" prompt="Número não negativo. O modelo recalcula." sqref="E53">
      <formula1>0</formula1>
    </dataValidation>
    <dataValidation type="decimal" operator="greaterThanOrEqual" allowBlank="1" showInputMessage="1" showErrorMessage="1" promptTitle="Premissa do cenário" prompt="Número não negativo. O modelo recalcula." sqref="F53">
      <formula1>0</formula1>
    </dataValidation>
    <dataValidation type="decimal" operator="greaterThanOrEqual" allowBlank="1" showInputMessage="1" showErrorMessage="1" promptTitle="Premissa do cenário" prompt="Número não negativo. O modelo recalcula." sqref="G53">
      <formula1>0</formula1>
    </dataValidation>
    <dataValidation type="decimal" operator="greaterThanOrEqual" allowBlank="1" showInputMessage="1" showErrorMessage="1" promptTitle="Premissa do cenário" prompt="Número não negativo. O modelo recalcula." sqref="O53">
      <formula1>0</formula1>
    </dataValidation>
    <dataValidation type="decimal" operator="greaterThanOrEqual" allowBlank="1" showInputMessage="1" showErrorMessage="1" promptTitle="Premissa do cenário" prompt="Número não negativo. O modelo recalcula." sqref="P53">
      <formula1>0</formula1>
    </dataValidation>
    <dataValidation type="decimal" operator="greaterThanOrEqual" allowBlank="1" showInputMessage="1" showErrorMessage="1" promptTitle="Premissa do cenário" prompt="Número não negativo. O modelo recalcula." sqref="Q53">
      <formula1>0</formula1>
    </dataValidation>
    <dataValidation type="decimal" operator="greaterThanOrEqual" allowBlank="1" showInputMessage="1" showErrorMessage="1" promptTitle="Premissa do cenário" prompt="Número não negativo. O modelo recalcula." sqref="R53">
      <formula1>0</formula1>
    </dataValidation>
    <dataValidation type="decimal" operator="greaterThanOrEqual" allowBlank="1" showInputMessage="1" showErrorMessage="1" promptTitle="Premissa do cenário" prompt="Número não negativo. O modelo recalcula." sqref="S53">
      <formula1>0</formula1>
    </dataValidation>
    <dataValidation type="decimal" operator="greaterThanOrEqual" allowBlank="1" showInputMessage="1" showErrorMessage="1" promptTitle="Premissa do cenário" prompt="Número não negativo. O modelo recalcula." sqref="T53">
      <formula1>0</formula1>
    </dataValidation>
    <dataValidation type="decimal" operator="greaterThanOrEqual" allowBlank="1" showInputMessage="1" showErrorMessage="1" promptTitle="Premissa do cenário" prompt="Número não negativo. O modelo recalcula." sqref="U53">
      <formula1>0</formula1>
    </dataValidation>
    <dataValidation type="decimal" operator="greaterThanOrEqual" allowBlank="1" showInputMessage="1" showErrorMessage="1" promptTitle="Premissa do cenário" prompt="Número não negativo. O modelo recalcula." sqref="V53">
      <formula1>0</formula1>
    </dataValidation>
    <dataValidation type="decimal" operator="greaterThanOrEqual" allowBlank="1" showInputMessage="1" showErrorMessage="1" promptTitle="Premissa do cenário" prompt="Número não negativo. O modelo recalcula." sqref="W53">
      <formula1>0</formula1>
    </dataValidation>
    <dataValidation type="decimal" operator="greaterThanOrEqual" allowBlank="1" showInputMessage="1" showErrorMessage="1" promptTitle="Premissa do cenário" prompt="Número não negativo. O modelo recalcula." sqref="X53">
      <formula1>0</formula1>
    </dataValidation>
    <dataValidation type="decimal" operator="greaterThanOrEqual" allowBlank="1" showInputMessage="1" showErrorMessage="1" promptTitle="Premissa do cenário" prompt="Número não negativo. O modelo recalcula." sqref="Y53">
      <formula1>0</formula1>
    </dataValidation>
    <dataValidation type="decimal" operator="greaterThanOrEqual" allowBlank="1" showInputMessage="1" showErrorMessage="1" promptTitle="Premissa do cenário" prompt="Número não negativo. O modelo recalcula." sqref="C54">
      <formula1>0</formula1>
    </dataValidation>
    <dataValidation type="decimal" operator="greaterThanOrEqual" allowBlank="1" showInputMessage="1" showErrorMessage="1" promptTitle="Premissa do cenário" prompt="Número não negativo. O modelo recalcula." sqref="D54">
      <formula1>0</formula1>
    </dataValidation>
    <dataValidation type="decimal" operator="greaterThanOrEqual" allowBlank="1" showInputMessage="1" showErrorMessage="1" promptTitle="Premissa do cenário" prompt="Número não negativo. O modelo recalcula." sqref="E54">
      <formula1>0</formula1>
    </dataValidation>
    <dataValidation type="decimal" operator="greaterThanOrEqual" allowBlank="1" showInputMessage="1" showErrorMessage="1" promptTitle="Premissa do cenário" prompt="Número não negativo. O modelo recalcula." sqref="F54">
      <formula1>0</formula1>
    </dataValidation>
    <dataValidation type="decimal" operator="greaterThanOrEqual" allowBlank="1" showInputMessage="1" showErrorMessage="1" promptTitle="Premissa do cenário" prompt="Número não negativo. O modelo recalcula." sqref="G54">
      <formula1>0</formula1>
    </dataValidation>
    <dataValidation type="decimal" operator="greaterThanOrEqual" allowBlank="1" showInputMessage="1" showErrorMessage="1" promptTitle="Premissa do cenário" prompt="Número não negativo. O modelo recalcula." sqref="O54">
      <formula1>0</formula1>
    </dataValidation>
    <dataValidation type="decimal" operator="greaterThanOrEqual" allowBlank="1" showInputMessage="1" showErrorMessage="1" promptTitle="Premissa do cenário" prompt="Número não negativo. O modelo recalcula." sqref="P54">
      <formula1>0</formula1>
    </dataValidation>
    <dataValidation type="decimal" operator="greaterThanOrEqual" allowBlank="1" showInputMessage="1" showErrorMessage="1" promptTitle="Premissa do cenário" prompt="Número não negativo. O modelo recalcula." sqref="Q54">
      <formula1>0</formula1>
    </dataValidation>
    <dataValidation type="decimal" operator="greaterThanOrEqual" allowBlank="1" showInputMessage="1" showErrorMessage="1" promptTitle="Premissa do cenário" prompt="Número não negativo. O modelo recalcula." sqref="R54">
      <formula1>0</formula1>
    </dataValidation>
    <dataValidation type="decimal" operator="greaterThanOrEqual" allowBlank="1" showInputMessage="1" showErrorMessage="1" promptTitle="Premissa do cenário" prompt="Número não negativo. O modelo recalcula." sqref="S54">
      <formula1>0</formula1>
    </dataValidation>
    <dataValidation type="decimal" operator="greaterThanOrEqual" allowBlank="1" showInputMessage="1" showErrorMessage="1" promptTitle="Premissa do cenário" prompt="Número não negativo. O modelo recalcula." sqref="T54">
      <formula1>0</formula1>
    </dataValidation>
    <dataValidation type="decimal" operator="greaterThanOrEqual" allowBlank="1" showInputMessage="1" showErrorMessage="1" promptTitle="Premissa do cenário" prompt="Número não negativo. O modelo recalcula." sqref="U54">
      <formula1>0</formula1>
    </dataValidation>
    <dataValidation type="decimal" operator="greaterThanOrEqual" allowBlank="1" showInputMessage="1" showErrorMessage="1" promptTitle="Premissa do cenário" prompt="Número não negativo. O modelo recalcula." sqref="V54">
      <formula1>0</formula1>
    </dataValidation>
    <dataValidation type="decimal" operator="greaterThanOrEqual" allowBlank="1" showInputMessage="1" showErrorMessage="1" promptTitle="Premissa do cenário" prompt="Número não negativo. O modelo recalcula." sqref="W54">
      <formula1>0</formula1>
    </dataValidation>
    <dataValidation type="decimal" operator="greaterThanOrEqual" allowBlank="1" showInputMessage="1" showErrorMessage="1" promptTitle="Premissa do cenário" prompt="Número não negativo. O modelo recalcula." sqref="X54">
      <formula1>0</formula1>
    </dataValidation>
    <dataValidation type="decimal" operator="greaterThanOrEqual" allowBlank="1" showInputMessage="1" showErrorMessage="1" promptTitle="Premissa do cenário" prompt="Número não negativo. O modelo recalcula." sqref="Y54">
      <formula1>0</formula1>
    </dataValidation>
    <dataValidation type="decimal" operator="greaterThanOrEqual" allowBlank="1" showInputMessage="1" showErrorMessage="1" promptTitle="Premissa do cenário" prompt="Número não negativo. O modelo recalcula." sqref="C55">
      <formula1>0</formula1>
    </dataValidation>
    <dataValidation type="decimal" operator="greaterThanOrEqual" allowBlank="1" showInputMessage="1" showErrorMessage="1" promptTitle="Premissa do cenário" prompt="Número não negativo. O modelo recalcula." sqref="D55">
      <formula1>0</formula1>
    </dataValidation>
    <dataValidation type="decimal" operator="greaterThanOrEqual" allowBlank="1" showInputMessage="1" showErrorMessage="1" promptTitle="Premissa do cenário" prompt="Número não negativo. O modelo recalcula." sqref="E55">
      <formula1>0</formula1>
    </dataValidation>
    <dataValidation type="decimal" operator="greaterThanOrEqual" allowBlank="1" showInputMessage="1" showErrorMessage="1" promptTitle="Premissa do cenário" prompt="Número não negativo. O modelo recalcula." sqref="F55">
      <formula1>0</formula1>
    </dataValidation>
    <dataValidation type="decimal" operator="greaterThanOrEqual" allowBlank="1" showInputMessage="1" showErrorMessage="1" promptTitle="Premissa do cenário" prompt="Número não negativo. O modelo recalcula." sqref="G55">
      <formula1>0</formula1>
    </dataValidation>
    <dataValidation type="decimal" operator="greaterThanOrEqual" allowBlank="1" showInputMessage="1" showErrorMessage="1" promptTitle="Premissa do cenário" prompt="Número não negativo. O modelo recalcula." sqref="O55">
      <formula1>0</formula1>
    </dataValidation>
    <dataValidation type="decimal" operator="greaterThanOrEqual" allowBlank="1" showInputMessage="1" showErrorMessage="1" promptTitle="Premissa do cenário" prompt="Número não negativo. O modelo recalcula." sqref="P55">
      <formula1>0</formula1>
    </dataValidation>
    <dataValidation type="decimal" operator="greaterThanOrEqual" allowBlank="1" showInputMessage="1" showErrorMessage="1" promptTitle="Premissa do cenário" prompt="Número não negativo. O modelo recalcula." sqref="Q55">
      <formula1>0</formula1>
    </dataValidation>
    <dataValidation type="decimal" operator="greaterThanOrEqual" allowBlank="1" showInputMessage="1" showErrorMessage="1" promptTitle="Premissa do cenário" prompt="Número não negativo. O modelo recalcula." sqref="R55">
      <formula1>0</formula1>
    </dataValidation>
    <dataValidation type="decimal" operator="greaterThanOrEqual" allowBlank="1" showInputMessage="1" showErrorMessage="1" promptTitle="Premissa do cenário" prompt="Número não negativo. O modelo recalcula." sqref="S55">
      <formula1>0</formula1>
    </dataValidation>
    <dataValidation type="decimal" operator="greaterThanOrEqual" allowBlank="1" showInputMessage="1" showErrorMessage="1" promptTitle="Premissa do cenário" prompt="Número não negativo. O modelo recalcula." sqref="T55">
      <formula1>0</formula1>
    </dataValidation>
    <dataValidation type="decimal" operator="greaterThanOrEqual" allowBlank="1" showInputMessage="1" showErrorMessage="1" promptTitle="Premissa do cenário" prompt="Número não negativo. O modelo recalcula." sqref="U55">
      <formula1>0</formula1>
    </dataValidation>
    <dataValidation type="decimal" operator="greaterThanOrEqual" allowBlank="1" showInputMessage="1" showErrorMessage="1" promptTitle="Premissa do cenário" prompt="Número não negativo. O modelo recalcula." sqref="V55">
      <formula1>0</formula1>
    </dataValidation>
    <dataValidation type="decimal" operator="greaterThanOrEqual" allowBlank="1" showInputMessage="1" showErrorMessage="1" promptTitle="Premissa do cenário" prompt="Número não negativo. O modelo recalcula." sqref="W55">
      <formula1>0</formula1>
    </dataValidation>
    <dataValidation type="decimal" operator="greaterThanOrEqual" allowBlank="1" showInputMessage="1" showErrorMessage="1" promptTitle="Premissa do cenário" prompt="Número não negativo. O modelo recalcula." sqref="X55">
      <formula1>0</formula1>
    </dataValidation>
    <dataValidation type="decimal" operator="greaterThanOrEqual" allowBlank="1" showInputMessage="1" showErrorMessage="1" promptTitle="Premissa do cenário" prompt="Número não negativo. O modelo recalcula." sqref="Y55">
      <formula1>0</formula1>
    </dataValidation>
    <dataValidation type="decimal" operator="greaterThanOrEqual" allowBlank="1" showInputMessage="1" showErrorMessage="1" promptTitle="Premissa do cenário" prompt="Número não negativo. O modelo recalcula." sqref="C56">
      <formula1>0</formula1>
    </dataValidation>
    <dataValidation type="decimal" operator="greaterThanOrEqual" allowBlank="1" showInputMessage="1" showErrorMessage="1" promptTitle="Premissa do cenário" prompt="Número não negativo. O modelo recalcula." sqref="D56">
      <formula1>0</formula1>
    </dataValidation>
    <dataValidation type="decimal" operator="greaterThanOrEqual" allowBlank="1" showInputMessage="1" showErrorMessage="1" promptTitle="Premissa do cenário" prompt="Número não negativo. O modelo recalcula." sqref="E56">
      <formula1>0</formula1>
    </dataValidation>
    <dataValidation type="decimal" operator="greaterThanOrEqual" allowBlank="1" showInputMessage="1" showErrorMessage="1" promptTitle="Premissa do cenário" prompt="Número não negativo. O modelo recalcula." sqref="F56">
      <formula1>0</formula1>
    </dataValidation>
    <dataValidation type="decimal" operator="greaterThanOrEqual" allowBlank="1" showInputMessage="1" showErrorMessage="1" promptTitle="Premissa do cenário" prompt="Número não negativo. O modelo recalcula." sqref="G56">
      <formula1>0</formula1>
    </dataValidation>
    <dataValidation type="decimal" operator="greaterThanOrEqual" allowBlank="1" showInputMessage="1" showErrorMessage="1" promptTitle="Premissa do cenário" prompt="Número não negativo. O modelo recalcula." sqref="O56">
      <formula1>0</formula1>
    </dataValidation>
    <dataValidation type="decimal" operator="greaterThanOrEqual" allowBlank="1" showInputMessage="1" showErrorMessage="1" promptTitle="Premissa do cenário" prompt="Número não negativo. O modelo recalcula." sqref="P56">
      <formula1>0</formula1>
    </dataValidation>
    <dataValidation type="decimal" operator="greaterThanOrEqual" allowBlank="1" showInputMessage="1" showErrorMessage="1" promptTitle="Premissa do cenário" prompt="Número não negativo. O modelo recalcula." sqref="Q56">
      <formula1>0</formula1>
    </dataValidation>
    <dataValidation type="decimal" operator="greaterThanOrEqual" allowBlank="1" showInputMessage="1" showErrorMessage="1" promptTitle="Premissa do cenário" prompt="Número não negativo. O modelo recalcula." sqref="R56">
      <formula1>0</formula1>
    </dataValidation>
    <dataValidation type="decimal" operator="greaterThanOrEqual" allowBlank="1" showInputMessage="1" showErrorMessage="1" promptTitle="Premissa do cenário" prompt="Número não negativo. O modelo recalcula." sqref="S56">
      <formula1>0</formula1>
    </dataValidation>
    <dataValidation type="decimal" operator="greaterThanOrEqual" allowBlank="1" showInputMessage="1" showErrorMessage="1" promptTitle="Premissa do cenário" prompt="Número não negativo. O modelo recalcula." sqref="T56">
      <formula1>0</formula1>
    </dataValidation>
    <dataValidation type="decimal" operator="greaterThanOrEqual" allowBlank="1" showInputMessage="1" showErrorMessage="1" promptTitle="Premissa do cenário" prompt="Número não negativo. O modelo recalcula." sqref="U56">
      <formula1>0</formula1>
    </dataValidation>
    <dataValidation type="decimal" operator="greaterThanOrEqual" allowBlank="1" showInputMessage="1" showErrorMessage="1" promptTitle="Premissa do cenário" prompt="Número não negativo. O modelo recalcula." sqref="V56">
      <formula1>0</formula1>
    </dataValidation>
    <dataValidation type="decimal" operator="greaterThanOrEqual" allowBlank="1" showInputMessage="1" showErrorMessage="1" promptTitle="Premissa do cenário" prompt="Número não negativo. O modelo recalcula." sqref="W56">
      <formula1>0</formula1>
    </dataValidation>
    <dataValidation type="decimal" operator="greaterThanOrEqual" allowBlank="1" showInputMessage="1" showErrorMessage="1" promptTitle="Premissa do cenário" prompt="Número não negativo. O modelo recalcula." sqref="X56">
      <formula1>0</formula1>
    </dataValidation>
    <dataValidation type="decimal" operator="greaterThanOrEqual" allowBlank="1" showInputMessage="1" showErrorMessage="1" promptTitle="Premissa do cenário" prompt="Número não negativo. O modelo recalcula." sqref="Y56">
      <formula1>0</formula1>
    </dataValidation>
    <dataValidation type="decimal" operator="greaterThanOrEqual" allowBlank="1" showInputMessage="1" showErrorMessage="1" promptTitle="Premissa do cenário" prompt="Número não negativo. O modelo recalcula." sqref="C57">
      <formula1>0</formula1>
    </dataValidation>
    <dataValidation type="decimal" operator="greaterThanOrEqual" allowBlank="1" showInputMessage="1" showErrorMessage="1" promptTitle="Premissa do cenário" prompt="Número não negativo. O modelo recalcula." sqref="D57">
      <formula1>0</formula1>
    </dataValidation>
    <dataValidation type="decimal" operator="greaterThanOrEqual" allowBlank="1" showInputMessage="1" showErrorMessage="1" promptTitle="Premissa do cenário" prompt="Número não negativo. O modelo recalcula." sqref="E57">
      <formula1>0</formula1>
    </dataValidation>
    <dataValidation type="decimal" operator="greaterThanOrEqual" allowBlank="1" showInputMessage="1" showErrorMessage="1" promptTitle="Premissa do cenário" prompt="Número não negativo. O modelo recalcula." sqref="F57">
      <formula1>0</formula1>
    </dataValidation>
    <dataValidation type="decimal" operator="greaterThanOrEqual" allowBlank="1" showInputMessage="1" showErrorMessage="1" promptTitle="Premissa do cenário" prompt="Número não negativo. O modelo recalcula." sqref="G57">
      <formula1>0</formula1>
    </dataValidation>
    <dataValidation type="decimal" operator="greaterThanOrEqual" allowBlank="1" showInputMessage="1" showErrorMessage="1" promptTitle="Premissa do cenário" prompt="Número não negativo. O modelo recalcula." sqref="O57">
      <formula1>0</formula1>
    </dataValidation>
    <dataValidation type="decimal" operator="greaterThanOrEqual" allowBlank="1" showInputMessage="1" showErrorMessage="1" promptTitle="Premissa do cenário" prompt="Número não negativo. O modelo recalcula." sqref="P57">
      <formula1>0</formula1>
    </dataValidation>
    <dataValidation type="decimal" operator="greaterThanOrEqual" allowBlank="1" showInputMessage="1" showErrorMessage="1" promptTitle="Premissa do cenário" prompt="Número não negativo. O modelo recalcula." sqref="Q57">
      <formula1>0</formula1>
    </dataValidation>
    <dataValidation type="decimal" operator="greaterThanOrEqual" allowBlank="1" showInputMessage="1" showErrorMessage="1" promptTitle="Premissa do cenário" prompt="Número não negativo. O modelo recalcula." sqref="R57">
      <formula1>0</formula1>
    </dataValidation>
    <dataValidation type="decimal" operator="greaterThanOrEqual" allowBlank="1" showInputMessage="1" showErrorMessage="1" promptTitle="Premissa do cenário" prompt="Número não negativo. O modelo recalcula." sqref="S57">
      <formula1>0</formula1>
    </dataValidation>
    <dataValidation type="decimal" operator="greaterThanOrEqual" allowBlank="1" showInputMessage="1" showErrorMessage="1" promptTitle="Premissa do cenário" prompt="Número não negativo. O modelo recalcula." sqref="T57">
      <formula1>0</formula1>
    </dataValidation>
    <dataValidation type="decimal" operator="greaterThanOrEqual" allowBlank="1" showInputMessage="1" showErrorMessage="1" promptTitle="Premissa do cenário" prompt="Número não negativo. O modelo recalcula." sqref="U57">
      <formula1>0</formula1>
    </dataValidation>
    <dataValidation type="decimal" operator="greaterThanOrEqual" allowBlank="1" showInputMessage="1" showErrorMessage="1" promptTitle="Premissa do cenário" prompt="Número não negativo. O modelo recalcula." sqref="V57">
      <formula1>0</formula1>
    </dataValidation>
    <dataValidation type="decimal" operator="greaterThanOrEqual" allowBlank="1" showInputMessage="1" showErrorMessage="1" promptTitle="Premissa do cenário" prompt="Número não negativo. O modelo recalcula." sqref="W57">
      <formula1>0</formula1>
    </dataValidation>
    <dataValidation type="decimal" operator="greaterThanOrEqual" allowBlank="1" showInputMessage="1" showErrorMessage="1" promptTitle="Premissa do cenário" prompt="Número não negativo. O modelo recalcula." sqref="X57">
      <formula1>0</formula1>
    </dataValidation>
    <dataValidation type="decimal" operator="greaterThanOrEqual" allowBlank="1" showInputMessage="1" showErrorMessage="1" promptTitle="Premissa do cenário" prompt="Número não negativo. O modelo recalcula." sqref="Y57">
      <formula1>0</formula1>
    </dataValidation>
    <dataValidation type="decimal" operator="greaterThanOrEqual" allowBlank="1" showInputMessage="1" showErrorMessage="1" promptTitle="Premissa do cenário" prompt="Número não negativo. O modelo recalcula." sqref="C58">
      <formula1>0</formula1>
    </dataValidation>
    <dataValidation type="decimal" operator="greaterThanOrEqual" allowBlank="1" showInputMessage="1" showErrorMessage="1" promptTitle="Premissa do cenário" prompt="Número não negativo. O modelo recalcula." sqref="D58">
      <formula1>0</formula1>
    </dataValidation>
    <dataValidation type="decimal" operator="greaterThanOrEqual" allowBlank="1" showInputMessage="1" showErrorMessage="1" promptTitle="Premissa do cenário" prompt="Número não negativo. O modelo recalcula." sqref="E58">
      <formula1>0</formula1>
    </dataValidation>
    <dataValidation type="decimal" operator="greaterThanOrEqual" allowBlank="1" showInputMessage="1" showErrorMessage="1" promptTitle="Premissa do cenário" prompt="Número não negativo. O modelo recalcula." sqref="F58">
      <formula1>0</formula1>
    </dataValidation>
    <dataValidation type="decimal" operator="greaterThanOrEqual" allowBlank="1" showInputMessage="1" showErrorMessage="1" promptTitle="Premissa do cenário" prompt="Número não negativo. O modelo recalcula." sqref="G58">
      <formula1>0</formula1>
    </dataValidation>
    <dataValidation type="decimal" operator="greaterThanOrEqual" allowBlank="1" showInputMessage="1" showErrorMessage="1" promptTitle="Premissa do cenário" prompt="Número não negativo. O modelo recalcula." sqref="O58">
      <formula1>0</formula1>
    </dataValidation>
    <dataValidation type="decimal" operator="greaterThanOrEqual" allowBlank="1" showInputMessage="1" showErrorMessage="1" promptTitle="Premissa do cenário" prompt="Número não negativo. O modelo recalcula." sqref="P58">
      <formula1>0</formula1>
    </dataValidation>
    <dataValidation type="decimal" operator="greaterThanOrEqual" allowBlank="1" showInputMessage="1" showErrorMessage="1" promptTitle="Premissa do cenário" prompt="Número não negativo. O modelo recalcula." sqref="Q58">
      <formula1>0</formula1>
    </dataValidation>
    <dataValidation type="decimal" operator="greaterThanOrEqual" allowBlank="1" showInputMessage="1" showErrorMessage="1" promptTitle="Premissa do cenário" prompt="Número não negativo. O modelo recalcula." sqref="R58">
      <formula1>0</formula1>
    </dataValidation>
    <dataValidation type="decimal" operator="greaterThanOrEqual" allowBlank="1" showInputMessage="1" showErrorMessage="1" promptTitle="Premissa do cenário" prompt="Número não negativo. O modelo recalcula." sqref="S58">
      <formula1>0</formula1>
    </dataValidation>
    <dataValidation type="decimal" operator="greaterThanOrEqual" allowBlank="1" showInputMessage="1" showErrorMessage="1" promptTitle="Premissa do cenário" prompt="Número não negativo. O modelo recalcula." sqref="T58">
      <formula1>0</formula1>
    </dataValidation>
    <dataValidation type="decimal" operator="greaterThanOrEqual" allowBlank="1" showInputMessage="1" showErrorMessage="1" promptTitle="Premissa do cenário" prompt="Número não negativo. O modelo recalcula." sqref="U58">
      <formula1>0</formula1>
    </dataValidation>
    <dataValidation type="decimal" operator="greaterThanOrEqual" allowBlank="1" showInputMessage="1" showErrorMessage="1" promptTitle="Premissa do cenário" prompt="Número não negativo. O modelo recalcula." sqref="V58">
      <formula1>0</formula1>
    </dataValidation>
    <dataValidation type="decimal" operator="greaterThanOrEqual" allowBlank="1" showInputMessage="1" showErrorMessage="1" promptTitle="Premissa do cenário" prompt="Número não negativo. O modelo recalcula." sqref="W58">
      <formula1>0</formula1>
    </dataValidation>
    <dataValidation type="decimal" operator="greaterThanOrEqual" allowBlank="1" showInputMessage="1" showErrorMessage="1" promptTitle="Premissa do cenário" prompt="Número não negativo. O modelo recalcula." sqref="X58">
      <formula1>0</formula1>
    </dataValidation>
    <dataValidation type="decimal" operator="greaterThanOrEqual" allowBlank="1" showInputMessage="1" showErrorMessage="1" promptTitle="Premissa do cenário" prompt="Número não negativo. O modelo recalcula." sqref="Y58">
      <formula1>0</formula1>
    </dataValidation>
    <dataValidation type="decimal" operator="greaterThanOrEqual" allowBlank="1" showInputMessage="1" showErrorMessage="1" promptTitle="Premissa do cenário" prompt="Número não negativo. O modelo recalcula." sqref="C59">
      <formula1>0</formula1>
    </dataValidation>
    <dataValidation type="decimal" operator="greaterThanOrEqual" allowBlank="1" showInputMessage="1" showErrorMessage="1" promptTitle="Premissa do cenário" prompt="Número não negativo. O modelo recalcula." sqref="D59">
      <formula1>0</formula1>
    </dataValidation>
    <dataValidation type="decimal" operator="greaterThanOrEqual" allowBlank="1" showInputMessage="1" showErrorMessage="1" promptTitle="Premissa do cenário" prompt="Número não negativo. O modelo recalcula." sqref="E59">
      <formula1>0</formula1>
    </dataValidation>
    <dataValidation type="decimal" operator="greaterThanOrEqual" allowBlank="1" showInputMessage="1" showErrorMessage="1" promptTitle="Premissa do cenário" prompt="Número não negativo. O modelo recalcula." sqref="F59">
      <formula1>0</formula1>
    </dataValidation>
    <dataValidation type="decimal" operator="greaterThanOrEqual" allowBlank="1" showInputMessage="1" showErrorMessage="1" promptTitle="Premissa do cenário" prompt="Número não negativo. O modelo recalcula." sqref="G59">
      <formula1>0</formula1>
    </dataValidation>
    <dataValidation type="decimal" operator="greaterThanOrEqual" allowBlank="1" showInputMessage="1" showErrorMessage="1" promptTitle="Premissa do cenário" prompt="Número não negativo. O modelo recalcula." sqref="O59">
      <formula1>0</formula1>
    </dataValidation>
    <dataValidation type="decimal" operator="greaterThanOrEqual" allowBlank="1" showInputMessage="1" showErrorMessage="1" promptTitle="Premissa do cenário" prompt="Número não negativo. O modelo recalcula." sqref="P59">
      <formula1>0</formula1>
    </dataValidation>
    <dataValidation type="decimal" operator="greaterThanOrEqual" allowBlank="1" showInputMessage="1" showErrorMessage="1" promptTitle="Premissa do cenário" prompt="Número não negativo. O modelo recalcula." sqref="Q59">
      <formula1>0</formula1>
    </dataValidation>
    <dataValidation type="decimal" operator="greaterThanOrEqual" allowBlank="1" showInputMessage="1" showErrorMessage="1" promptTitle="Premissa do cenário" prompt="Número não negativo. O modelo recalcula." sqref="R59">
      <formula1>0</formula1>
    </dataValidation>
    <dataValidation type="decimal" operator="greaterThanOrEqual" allowBlank="1" showInputMessage="1" showErrorMessage="1" promptTitle="Premissa do cenário" prompt="Número não negativo. O modelo recalcula." sqref="S59">
      <formula1>0</formula1>
    </dataValidation>
    <dataValidation type="decimal" operator="greaterThanOrEqual" allowBlank="1" showInputMessage="1" showErrorMessage="1" promptTitle="Premissa do cenário" prompt="Número não negativo. O modelo recalcula." sqref="T59">
      <formula1>0</formula1>
    </dataValidation>
    <dataValidation type="decimal" operator="greaterThanOrEqual" allowBlank="1" showInputMessage="1" showErrorMessage="1" promptTitle="Premissa do cenário" prompt="Número não negativo. O modelo recalcula." sqref="U59">
      <formula1>0</formula1>
    </dataValidation>
    <dataValidation type="decimal" operator="greaterThanOrEqual" allowBlank="1" showInputMessage="1" showErrorMessage="1" promptTitle="Premissa do cenário" prompt="Número não negativo. O modelo recalcula." sqref="V59">
      <formula1>0</formula1>
    </dataValidation>
    <dataValidation type="decimal" operator="greaterThanOrEqual" allowBlank="1" showInputMessage="1" showErrorMessage="1" promptTitle="Premissa do cenário" prompt="Número não negativo. O modelo recalcula." sqref="W59">
      <formula1>0</formula1>
    </dataValidation>
    <dataValidation type="decimal" operator="greaterThanOrEqual" allowBlank="1" showInputMessage="1" showErrorMessage="1" promptTitle="Premissa do cenário" prompt="Número não negativo. O modelo recalcula." sqref="X59">
      <formula1>0</formula1>
    </dataValidation>
    <dataValidation type="decimal" operator="greaterThanOrEqual" allowBlank="1" showInputMessage="1" showErrorMessage="1" promptTitle="Premissa do cenário" prompt="Número não negativo. O modelo recalcula." sqref="Y59">
      <formula1>0</formula1>
    </dataValidation>
    <dataValidation type="decimal" operator="greaterThanOrEqual" allowBlank="1" showInputMessage="1" showErrorMessage="1" promptTitle="Premissa do cenário" prompt="Número não negativo. O modelo recalcula." sqref="C60">
      <formula1>0</formula1>
    </dataValidation>
    <dataValidation type="decimal" operator="greaterThanOrEqual" allowBlank="1" showInputMessage="1" showErrorMessage="1" promptTitle="Premissa do cenário" prompt="Número não negativo. O modelo recalcula." sqref="D60">
      <formula1>0</formula1>
    </dataValidation>
    <dataValidation type="decimal" operator="greaterThanOrEqual" allowBlank="1" showInputMessage="1" showErrorMessage="1" promptTitle="Premissa do cenário" prompt="Número não negativo. O modelo recalcula." sqref="E60">
      <formula1>0</formula1>
    </dataValidation>
    <dataValidation type="decimal" operator="greaterThanOrEqual" allowBlank="1" showInputMessage="1" showErrorMessage="1" promptTitle="Premissa do cenário" prompt="Número não negativo. O modelo recalcula." sqref="F60">
      <formula1>0</formula1>
    </dataValidation>
    <dataValidation type="decimal" operator="greaterThanOrEqual" allowBlank="1" showInputMessage="1" showErrorMessage="1" promptTitle="Premissa do cenário" prompt="Número não negativo. O modelo recalcula." sqref="G60">
      <formula1>0</formula1>
    </dataValidation>
    <dataValidation type="decimal" operator="greaterThanOrEqual" allowBlank="1" showInputMessage="1" showErrorMessage="1" promptTitle="Premissa do cenário" prompt="Número não negativo. O modelo recalcula." sqref="O60">
      <formula1>0</formula1>
    </dataValidation>
    <dataValidation type="decimal" operator="greaterThanOrEqual" allowBlank="1" showInputMessage="1" showErrorMessage="1" promptTitle="Premissa do cenário" prompt="Número não negativo. O modelo recalcula." sqref="P60">
      <formula1>0</formula1>
    </dataValidation>
    <dataValidation type="decimal" operator="greaterThanOrEqual" allowBlank="1" showInputMessage="1" showErrorMessage="1" promptTitle="Premissa do cenário" prompt="Número não negativo. O modelo recalcula." sqref="Q60">
      <formula1>0</formula1>
    </dataValidation>
    <dataValidation type="decimal" operator="greaterThanOrEqual" allowBlank="1" showInputMessage="1" showErrorMessage="1" promptTitle="Premissa do cenário" prompt="Número não negativo. O modelo recalcula." sqref="R60">
      <formula1>0</formula1>
    </dataValidation>
    <dataValidation type="decimal" operator="greaterThanOrEqual" allowBlank="1" showInputMessage="1" showErrorMessage="1" promptTitle="Premissa do cenário" prompt="Número não negativo. O modelo recalcula." sqref="S60">
      <formula1>0</formula1>
    </dataValidation>
    <dataValidation type="decimal" operator="greaterThanOrEqual" allowBlank="1" showInputMessage="1" showErrorMessage="1" promptTitle="Premissa do cenário" prompt="Número não negativo. O modelo recalcula." sqref="T60">
      <formula1>0</formula1>
    </dataValidation>
    <dataValidation type="decimal" operator="greaterThanOrEqual" allowBlank="1" showInputMessage="1" showErrorMessage="1" promptTitle="Premissa do cenário" prompt="Número não negativo. O modelo recalcula." sqref="U60">
      <formula1>0</formula1>
    </dataValidation>
    <dataValidation type="decimal" operator="greaterThanOrEqual" allowBlank="1" showInputMessage="1" showErrorMessage="1" promptTitle="Premissa do cenário" prompt="Número não negativo. O modelo recalcula." sqref="V60">
      <formula1>0</formula1>
    </dataValidation>
    <dataValidation type="decimal" operator="greaterThanOrEqual" allowBlank="1" showInputMessage="1" showErrorMessage="1" promptTitle="Premissa do cenário" prompt="Número não negativo. O modelo recalcula." sqref="W60">
      <formula1>0</formula1>
    </dataValidation>
    <dataValidation type="decimal" operator="greaterThanOrEqual" allowBlank="1" showInputMessage="1" showErrorMessage="1" promptTitle="Premissa do cenário" prompt="Número não negativo. O modelo recalcula." sqref="X60">
      <formula1>0</formula1>
    </dataValidation>
    <dataValidation type="decimal" operator="greaterThanOrEqual" allowBlank="1" showInputMessage="1" showErrorMessage="1" promptTitle="Premissa do cenário" prompt="Número não negativo. O modelo recalcula." sqref="Y60">
      <formula1>0</formula1>
    </dataValidation>
    <dataValidation type="decimal" operator="greaterThanOrEqual" allowBlank="1" showInputMessage="1" showErrorMessage="1" promptTitle="Premissa do cenário" prompt="Número não negativo. O modelo recalcula." sqref="C61">
      <formula1>0</formula1>
    </dataValidation>
    <dataValidation type="decimal" operator="greaterThanOrEqual" allowBlank="1" showInputMessage="1" showErrorMessage="1" promptTitle="Premissa do cenário" prompt="Número não negativo. O modelo recalcula." sqref="D61">
      <formula1>0</formula1>
    </dataValidation>
    <dataValidation type="decimal" operator="greaterThanOrEqual" allowBlank="1" showInputMessage="1" showErrorMessage="1" promptTitle="Premissa do cenário" prompt="Número não negativo. O modelo recalcula." sqref="E61">
      <formula1>0</formula1>
    </dataValidation>
    <dataValidation type="decimal" operator="greaterThanOrEqual" allowBlank="1" showInputMessage="1" showErrorMessage="1" promptTitle="Premissa do cenário" prompt="Número não negativo. O modelo recalcula." sqref="F61">
      <formula1>0</formula1>
    </dataValidation>
    <dataValidation type="decimal" operator="greaterThanOrEqual" allowBlank="1" showInputMessage="1" showErrorMessage="1" promptTitle="Premissa do cenário" prompt="Número não negativo. O modelo recalcula." sqref="G61">
      <formula1>0</formula1>
    </dataValidation>
    <dataValidation type="decimal" operator="greaterThanOrEqual" allowBlank="1" showInputMessage="1" showErrorMessage="1" promptTitle="Premissa do cenário" prompt="Número não negativo. O modelo recalcula." sqref="O61">
      <formula1>0</formula1>
    </dataValidation>
    <dataValidation type="decimal" operator="greaterThanOrEqual" allowBlank="1" showInputMessage="1" showErrorMessage="1" promptTitle="Premissa do cenário" prompt="Número não negativo. O modelo recalcula." sqref="P61">
      <formula1>0</formula1>
    </dataValidation>
    <dataValidation type="decimal" operator="greaterThanOrEqual" allowBlank="1" showInputMessage="1" showErrorMessage="1" promptTitle="Premissa do cenário" prompt="Número não negativo. O modelo recalcula." sqref="Q61">
      <formula1>0</formula1>
    </dataValidation>
    <dataValidation type="decimal" operator="greaterThanOrEqual" allowBlank="1" showInputMessage="1" showErrorMessage="1" promptTitle="Premissa do cenário" prompt="Número não negativo. O modelo recalcula." sqref="R61">
      <formula1>0</formula1>
    </dataValidation>
    <dataValidation type="decimal" operator="greaterThanOrEqual" allowBlank="1" showInputMessage="1" showErrorMessage="1" promptTitle="Premissa do cenário" prompt="Número não negativo. O modelo recalcula." sqref="S61">
      <formula1>0</formula1>
    </dataValidation>
    <dataValidation type="decimal" operator="greaterThanOrEqual" allowBlank="1" showInputMessage="1" showErrorMessage="1" promptTitle="Premissa do cenário" prompt="Número não negativo. O modelo recalcula." sqref="T61">
      <formula1>0</formula1>
    </dataValidation>
    <dataValidation type="decimal" operator="greaterThanOrEqual" allowBlank="1" showInputMessage="1" showErrorMessage="1" promptTitle="Premissa do cenário" prompt="Número não negativo. O modelo recalcula." sqref="U61">
      <formula1>0</formula1>
    </dataValidation>
    <dataValidation type="decimal" operator="greaterThanOrEqual" allowBlank="1" showInputMessage="1" showErrorMessage="1" promptTitle="Premissa do cenário" prompt="Número não negativo. O modelo recalcula." sqref="V61">
      <formula1>0</formula1>
    </dataValidation>
    <dataValidation type="decimal" operator="greaterThanOrEqual" allowBlank="1" showInputMessage="1" showErrorMessage="1" promptTitle="Premissa do cenário" prompt="Número não negativo. O modelo recalcula." sqref="W61">
      <formula1>0</formula1>
    </dataValidation>
    <dataValidation type="decimal" operator="greaterThanOrEqual" allowBlank="1" showInputMessage="1" showErrorMessage="1" promptTitle="Premissa do cenário" prompt="Número não negativo. O modelo recalcula." sqref="X61">
      <formula1>0</formula1>
    </dataValidation>
    <dataValidation type="decimal" operator="greaterThanOrEqual" allowBlank="1" showInputMessage="1" showErrorMessage="1" promptTitle="Premissa do cenário" prompt="Número não negativo. O modelo recalcula." sqref="Y61">
      <formula1>0</formula1>
    </dataValidation>
    <dataValidation type="decimal" operator="greaterThanOrEqual" allowBlank="1" showInputMessage="1" showErrorMessage="1" promptTitle="Premissa do cenário" prompt="Número não negativo. O modelo recalcula." sqref="C62">
      <formula1>0</formula1>
    </dataValidation>
    <dataValidation type="decimal" operator="greaterThanOrEqual" allowBlank="1" showInputMessage="1" showErrorMessage="1" promptTitle="Premissa do cenário" prompt="Número não negativo. O modelo recalcula." sqref="D62">
      <formula1>0</formula1>
    </dataValidation>
    <dataValidation type="decimal" operator="greaterThanOrEqual" allowBlank="1" showInputMessage="1" showErrorMessage="1" promptTitle="Premissa do cenário" prompt="Número não negativo. O modelo recalcula." sqref="E62">
      <formula1>0</formula1>
    </dataValidation>
    <dataValidation type="decimal" operator="greaterThanOrEqual" allowBlank="1" showInputMessage="1" showErrorMessage="1" promptTitle="Premissa do cenário" prompt="Número não negativo. O modelo recalcula." sqref="F62">
      <formula1>0</formula1>
    </dataValidation>
    <dataValidation type="decimal" operator="greaterThanOrEqual" allowBlank="1" showInputMessage="1" showErrorMessage="1" promptTitle="Premissa do cenário" prompt="Número não negativo. O modelo recalcula." sqref="G62">
      <formula1>0</formula1>
    </dataValidation>
    <dataValidation type="decimal" operator="greaterThanOrEqual" allowBlank="1" showInputMessage="1" showErrorMessage="1" promptTitle="Premissa do cenário" prompt="Número não negativo. O modelo recalcula." sqref="O62">
      <formula1>0</formula1>
    </dataValidation>
    <dataValidation type="decimal" operator="greaterThanOrEqual" allowBlank="1" showInputMessage="1" showErrorMessage="1" promptTitle="Premissa do cenário" prompt="Número não negativo. O modelo recalcula." sqref="P62">
      <formula1>0</formula1>
    </dataValidation>
    <dataValidation type="decimal" operator="greaterThanOrEqual" allowBlank="1" showInputMessage="1" showErrorMessage="1" promptTitle="Premissa do cenário" prompt="Número não negativo. O modelo recalcula." sqref="Q62">
      <formula1>0</formula1>
    </dataValidation>
    <dataValidation type="decimal" operator="greaterThanOrEqual" allowBlank="1" showInputMessage="1" showErrorMessage="1" promptTitle="Premissa do cenário" prompt="Número não negativo. O modelo recalcula." sqref="R62">
      <formula1>0</formula1>
    </dataValidation>
    <dataValidation type="decimal" operator="greaterThanOrEqual" allowBlank="1" showInputMessage="1" showErrorMessage="1" promptTitle="Premissa do cenário" prompt="Número não negativo. O modelo recalcula." sqref="S62">
      <formula1>0</formula1>
    </dataValidation>
    <dataValidation type="decimal" operator="greaterThanOrEqual" allowBlank="1" showInputMessage="1" showErrorMessage="1" promptTitle="Premissa do cenário" prompt="Número não negativo. O modelo recalcula." sqref="T62">
      <formula1>0</formula1>
    </dataValidation>
    <dataValidation type="decimal" operator="greaterThanOrEqual" allowBlank="1" showInputMessage="1" showErrorMessage="1" promptTitle="Premissa do cenário" prompt="Número não negativo. O modelo recalcula." sqref="U62">
      <formula1>0</formula1>
    </dataValidation>
    <dataValidation type="decimal" operator="greaterThanOrEqual" allowBlank="1" showInputMessage="1" showErrorMessage="1" promptTitle="Premissa do cenário" prompt="Número não negativo. O modelo recalcula." sqref="V62">
      <formula1>0</formula1>
    </dataValidation>
    <dataValidation type="decimal" operator="greaterThanOrEqual" allowBlank="1" showInputMessage="1" showErrorMessage="1" promptTitle="Premissa do cenário" prompt="Número não negativo. O modelo recalcula." sqref="W62">
      <formula1>0</formula1>
    </dataValidation>
    <dataValidation type="decimal" operator="greaterThanOrEqual" allowBlank="1" showInputMessage="1" showErrorMessage="1" promptTitle="Premissa do cenário" prompt="Número não negativo. O modelo recalcula." sqref="X62">
      <formula1>0</formula1>
    </dataValidation>
    <dataValidation type="decimal" operator="greaterThanOrEqual" allowBlank="1" showInputMessage="1" showErrorMessage="1" promptTitle="Premissa do cenário" prompt="Número não negativo. O modelo recalcula." sqref="Y62">
      <formula1>0</formula1>
    </dataValidation>
    <dataValidation type="decimal" operator="greaterThanOrEqual" allowBlank="1" showInputMessage="1" showErrorMessage="1" promptTitle="Premissa do cenário" prompt="Número não negativo. O modelo recalcula." sqref="C63">
      <formula1>0</formula1>
    </dataValidation>
    <dataValidation type="decimal" operator="greaterThanOrEqual" allowBlank="1" showInputMessage="1" showErrorMessage="1" promptTitle="Premissa do cenário" prompt="Número não negativo. O modelo recalcula." sqref="D63">
      <formula1>0</formula1>
    </dataValidation>
    <dataValidation type="decimal" operator="greaterThanOrEqual" allowBlank="1" showInputMessage="1" showErrorMessage="1" promptTitle="Premissa do cenário" prompt="Número não negativo. O modelo recalcula." sqref="E63">
      <formula1>0</formula1>
    </dataValidation>
    <dataValidation type="decimal" operator="greaterThanOrEqual" allowBlank="1" showInputMessage="1" showErrorMessage="1" promptTitle="Premissa do cenário" prompt="Número não negativo. O modelo recalcula." sqref="F63">
      <formula1>0</formula1>
    </dataValidation>
    <dataValidation type="decimal" operator="greaterThanOrEqual" allowBlank="1" showInputMessage="1" showErrorMessage="1" promptTitle="Premissa do cenário" prompt="Número não negativo. O modelo recalcula." sqref="G63">
      <formula1>0</formula1>
    </dataValidation>
    <dataValidation type="decimal" operator="greaterThanOrEqual" allowBlank="1" showInputMessage="1" showErrorMessage="1" promptTitle="Premissa do cenário" prompt="Número não negativo. O modelo recalcula." sqref="O63">
      <formula1>0</formula1>
    </dataValidation>
    <dataValidation type="decimal" operator="greaterThanOrEqual" allowBlank="1" showInputMessage="1" showErrorMessage="1" promptTitle="Premissa do cenário" prompt="Número não negativo. O modelo recalcula." sqref="P63">
      <formula1>0</formula1>
    </dataValidation>
    <dataValidation type="decimal" operator="greaterThanOrEqual" allowBlank="1" showInputMessage="1" showErrorMessage="1" promptTitle="Premissa do cenário" prompt="Número não negativo. O modelo recalcula." sqref="Q63">
      <formula1>0</formula1>
    </dataValidation>
    <dataValidation type="decimal" operator="greaterThanOrEqual" allowBlank="1" showInputMessage="1" showErrorMessage="1" promptTitle="Premissa do cenário" prompt="Número não negativo. O modelo recalcula." sqref="R63">
      <formula1>0</formula1>
    </dataValidation>
    <dataValidation type="decimal" operator="greaterThanOrEqual" allowBlank="1" showInputMessage="1" showErrorMessage="1" promptTitle="Premissa do cenário" prompt="Número não negativo. O modelo recalcula." sqref="S63">
      <formula1>0</formula1>
    </dataValidation>
    <dataValidation type="decimal" operator="greaterThanOrEqual" allowBlank="1" showInputMessage="1" showErrorMessage="1" promptTitle="Premissa do cenário" prompt="Número não negativo. O modelo recalcula." sqref="T63">
      <formula1>0</formula1>
    </dataValidation>
    <dataValidation type="decimal" operator="greaterThanOrEqual" allowBlank="1" showInputMessage="1" showErrorMessage="1" promptTitle="Premissa do cenário" prompt="Número não negativo. O modelo recalcula." sqref="U63">
      <formula1>0</formula1>
    </dataValidation>
    <dataValidation type="decimal" operator="greaterThanOrEqual" allowBlank="1" showInputMessage="1" showErrorMessage="1" promptTitle="Premissa do cenário" prompt="Número não negativo. O modelo recalcula." sqref="V63">
      <formula1>0</formula1>
    </dataValidation>
    <dataValidation type="decimal" operator="greaterThanOrEqual" allowBlank="1" showInputMessage="1" showErrorMessage="1" promptTitle="Premissa do cenário" prompt="Número não negativo. O modelo recalcula." sqref="W63">
      <formula1>0</formula1>
    </dataValidation>
    <dataValidation type="decimal" operator="greaterThanOrEqual" allowBlank="1" showInputMessage="1" showErrorMessage="1" promptTitle="Premissa do cenário" prompt="Número não negativo. O modelo recalcula." sqref="X63">
      <formula1>0</formula1>
    </dataValidation>
    <dataValidation type="decimal" operator="greaterThanOrEqual" allowBlank="1" showInputMessage="1" showErrorMessage="1" promptTitle="Premissa do cenário" prompt="Número não negativo. O modelo recalcula." sqref="Y63">
      <formula1>0</formula1>
    </dataValidation>
    <dataValidation type="decimal" operator="greaterThanOrEqual" allowBlank="1" showInputMessage="1" showErrorMessage="1" promptTitle="Premissa do cenário" prompt="Número não negativo. O modelo recalcula." sqref="C64">
      <formula1>0</formula1>
    </dataValidation>
    <dataValidation type="decimal" operator="greaterThanOrEqual" allowBlank="1" showInputMessage="1" showErrorMessage="1" promptTitle="Premissa do cenário" prompt="Número não negativo. O modelo recalcula." sqref="D64">
      <formula1>0</formula1>
    </dataValidation>
    <dataValidation type="decimal" operator="greaterThanOrEqual" allowBlank="1" showInputMessage="1" showErrorMessage="1" promptTitle="Premissa do cenário" prompt="Número não negativo. O modelo recalcula." sqref="E64">
      <formula1>0</formula1>
    </dataValidation>
    <dataValidation type="decimal" operator="greaterThanOrEqual" allowBlank="1" showInputMessage="1" showErrorMessage="1" promptTitle="Premissa do cenário" prompt="Número não negativo. O modelo recalcula." sqref="F64">
      <formula1>0</formula1>
    </dataValidation>
    <dataValidation type="decimal" operator="greaterThanOrEqual" allowBlank="1" showInputMessage="1" showErrorMessage="1" promptTitle="Premissa do cenário" prompt="Número não negativo. O modelo recalcula." sqref="G64">
      <formula1>0</formula1>
    </dataValidation>
    <dataValidation type="decimal" operator="greaterThanOrEqual" allowBlank="1" showInputMessage="1" showErrorMessage="1" promptTitle="Premissa do cenário" prompt="Número não negativo. O modelo recalcula." sqref="O64">
      <formula1>0</formula1>
    </dataValidation>
    <dataValidation type="decimal" operator="greaterThanOrEqual" allowBlank="1" showInputMessage="1" showErrorMessage="1" promptTitle="Premissa do cenário" prompt="Número não negativo. O modelo recalcula." sqref="P64">
      <formula1>0</formula1>
    </dataValidation>
    <dataValidation type="decimal" operator="greaterThanOrEqual" allowBlank="1" showInputMessage="1" showErrorMessage="1" promptTitle="Premissa do cenário" prompt="Número não negativo. O modelo recalcula." sqref="Q64">
      <formula1>0</formula1>
    </dataValidation>
    <dataValidation type="decimal" operator="greaterThanOrEqual" allowBlank="1" showInputMessage="1" showErrorMessage="1" promptTitle="Premissa do cenário" prompt="Número não negativo. O modelo recalcula." sqref="R64">
      <formula1>0</formula1>
    </dataValidation>
    <dataValidation type="decimal" operator="greaterThanOrEqual" allowBlank="1" showInputMessage="1" showErrorMessage="1" promptTitle="Premissa do cenário" prompt="Número não negativo. O modelo recalcula." sqref="S64">
      <formula1>0</formula1>
    </dataValidation>
    <dataValidation type="decimal" operator="greaterThanOrEqual" allowBlank="1" showInputMessage="1" showErrorMessage="1" promptTitle="Premissa do cenário" prompt="Número não negativo. O modelo recalcula." sqref="T64">
      <formula1>0</formula1>
    </dataValidation>
    <dataValidation type="decimal" operator="greaterThanOrEqual" allowBlank="1" showInputMessage="1" showErrorMessage="1" promptTitle="Premissa do cenário" prompt="Número não negativo. O modelo recalcula." sqref="U64">
      <formula1>0</formula1>
    </dataValidation>
    <dataValidation type="decimal" operator="greaterThanOrEqual" allowBlank="1" showInputMessage="1" showErrorMessage="1" promptTitle="Premissa do cenário" prompt="Número não negativo. O modelo recalcula." sqref="V64">
      <formula1>0</formula1>
    </dataValidation>
    <dataValidation type="decimal" operator="greaterThanOrEqual" allowBlank="1" showInputMessage="1" showErrorMessage="1" promptTitle="Premissa do cenário" prompt="Número não negativo. O modelo recalcula." sqref="W64">
      <formula1>0</formula1>
    </dataValidation>
    <dataValidation type="decimal" operator="greaterThanOrEqual" allowBlank="1" showInputMessage="1" showErrorMessage="1" promptTitle="Premissa do cenário" prompt="Número não negativo. O modelo recalcula." sqref="X64">
      <formula1>0</formula1>
    </dataValidation>
    <dataValidation type="decimal" operator="greaterThanOrEqual" allowBlank="1" showInputMessage="1" showErrorMessage="1" promptTitle="Premissa do cenário" prompt="Número não negativo. O modelo recalcula." sqref="Y64">
      <formula1>0</formula1>
    </dataValidation>
    <dataValidation type="decimal" operator="greaterThanOrEqual" allowBlank="1" showInputMessage="1" showErrorMessage="1" promptTitle="Premissa do cenário" prompt="Número não negativo. O modelo recalcula." sqref="C65">
      <formula1>0</formula1>
    </dataValidation>
    <dataValidation type="decimal" operator="greaterThanOrEqual" allowBlank="1" showInputMessage="1" showErrorMessage="1" promptTitle="Premissa do cenário" prompt="Número não negativo. O modelo recalcula." sqref="D65">
      <formula1>0</formula1>
    </dataValidation>
    <dataValidation type="decimal" operator="greaterThanOrEqual" allowBlank="1" showInputMessage="1" showErrorMessage="1" promptTitle="Premissa do cenário" prompt="Número não negativo. O modelo recalcula." sqref="E65">
      <formula1>0</formula1>
    </dataValidation>
    <dataValidation type="decimal" operator="greaterThanOrEqual" allowBlank="1" showInputMessage="1" showErrorMessage="1" promptTitle="Premissa do cenário" prompt="Número não negativo. O modelo recalcula." sqref="F65">
      <formula1>0</formula1>
    </dataValidation>
    <dataValidation type="decimal" operator="greaterThanOrEqual" allowBlank="1" showInputMessage="1" showErrorMessage="1" promptTitle="Premissa do cenário" prompt="Número não negativo. O modelo recalcula." sqref="G65">
      <formula1>0</formula1>
    </dataValidation>
    <dataValidation type="decimal" operator="greaterThanOrEqual" allowBlank="1" showInputMessage="1" showErrorMessage="1" promptTitle="Premissa do cenário" prompt="Número não negativo. O modelo recalcula." sqref="O65">
      <formula1>0</formula1>
    </dataValidation>
    <dataValidation type="decimal" operator="greaterThanOrEqual" allowBlank="1" showInputMessage="1" showErrorMessage="1" promptTitle="Premissa do cenário" prompt="Número não negativo. O modelo recalcula." sqref="P65">
      <formula1>0</formula1>
    </dataValidation>
    <dataValidation type="decimal" operator="greaterThanOrEqual" allowBlank="1" showInputMessage="1" showErrorMessage="1" promptTitle="Premissa do cenário" prompt="Número não negativo. O modelo recalcula." sqref="Q65">
      <formula1>0</formula1>
    </dataValidation>
    <dataValidation type="decimal" operator="greaterThanOrEqual" allowBlank="1" showInputMessage="1" showErrorMessage="1" promptTitle="Premissa do cenário" prompt="Número não negativo. O modelo recalcula." sqref="R65">
      <formula1>0</formula1>
    </dataValidation>
    <dataValidation type="decimal" operator="greaterThanOrEqual" allowBlank="1" showInputMessage="1" showErrorMessage="1" promptTitle="Premissa do cenário" prompt="Número não negativo. O modelo recalcula." sqref="S65">
      <formula1>0</formula1>
    </dataValidation>
    <dataValidation type="decimal" operator="greaterThanOrEqual" allowBlank="1" showInputMessage="1" showErrorMessage="1" promptTitle="Premissa do cenário" prompt="Número não negativo. O modelo recalcula." sqref="T65">
      <formula1>0</formula1>
    </dataValidation>
    <dataValidation type="decimal" operator="greaterThanOrEqual" allowBlank="1" showInputMessage="1" showErrorMessage="1" promptTitle="Premissa do cenário" prompt="Número não negativo. O modelo recalcula." sqref="U65">
      <formula1>0</formula1>
    </dataValidation>
    <dataValidation type="decimal" operator="greaterThanOrEqual" allowBlank="1" showInputMessage="1" showErrorMessage="1" promptTitle="Premissa do cenário" prompt="Número não negativo. O modelo recalcula." sqref="V65">
      <formula1>0</formula1>
    </dataValidation>
    <dataValidation type="decimal" operator="greaterThanOrEqual" allowBlank="1" showInputMessage="1" showErrorMessage="1" promptTitle="Premissa do cenário" prompt="Número não negativo. O modelo recalcula." sqref="W65">
      <formula1>0</formula1>
    </dataValidation>
    <dataValidation type="decimal" operator="greaterThanOrEqual" allowBlank="1" showInputMessage="1" showErrorMessage="1" promptTitle="Premissa do cenário" prompt="Número não negativo. O modelo recalcula." sqref="X65">
      <formula1>0</formula1>
    </dataValidation>
    <dataValidation type="decimal" operator="greaterThanOrEqual" allowBlank="1" showInputMessage="1" showErrorMessage="1" promptTitle="Premissa do cenário" prompt="Número não negativo. O modelo recalcula." sqref="Y65">
      <formula1>0</formula1>
    </dataValidation>
    <dataValidation type="decimal" operator="greaterThanOrEqual" allowBlank="1" showInputMessage="1" showErrorMessage="1" promptTitle="Premissa do cenário" prompt="Número não negativo. O modelo recalcula." sqref="C66">
      <formula1>0</formula1>
    </dataValidation>
    <dataValidation type="decimal" operator="greaterThanOrEqual" allowBlank="1" showInputMessage="1" showErrorMessage="1" promptTitle="Premissa do cenário" prompt="Número não negativo. O modelo recalcula." sqref="D66">
      <formula1>0</formula1>
    </dataValidation>
    <dataValidation type="decimal" operator="greaterThanOrEqual" allowBlank="1" showInputMessage="1" showErrorMessage="1" promptTitle="Premissa do cenário" prompt="Número não negativo. O modelo recalcula." sqref="E66">
      <formula1>0</formula1>
    </dataValidation>
    <dataValidation type="decimal" operator="greaterThanOrEqual" allowBlank="1" showInputMessage="1" showErrorMessage="1" promptTitle="Premissa do cenário" prompt="Número não negativo. O modelo recalcula." sqref="F66">
      <formula1>0</formula1>
    </dataValidation>
    <dataValidation type="decimal" operator="greaterThanOrEqual" allowBlank="1" showInputMessage="1" showErrorMessage="1" promptTitle="Premissa do cenário" prompt="Número não negativo. O modelo recalcula." sqref="G66">
      <formula1>0</formula1>
    </dataValidation>
    <dataValidation type="decimal" operator="greaterThanOrEqual" allowBlank="1" showInputMessage="1" showErrorMessage="1" promptTitle="Premissa do cenário" prompt="Número não negativo. O modelo recalcula." sqref="O66">
      <formula1>0</formula1>
    </dataValidation>
    <dataValidation type="decimal" operator="greaterThanOrEqual" allowBlank="1" showInputMessage="1" showErrorMessage="1" promptTitle="Premissa do cenário" prompt="Número não negativo. O modelo recalcula." sqref="P66">
      <formula1>0</formula1>
    </dataValidation>
    <dataValidation type="decimal" operator="greaterThanOrEqual" allowBlank="1" showInputMessage="1" showErrorMessage="1" promptTitle="Premissa do cenário" prompt="Número não negativo. O modelo recalcula." sqref="Q66">
      <formula1>0</formula1>
    </dataValidation>
    <dataValidation type="decimal" operator="greaterThanOrEqual" allowBlank="1" showInputMessage="1" showErrorMessage="1" promptTitle="Premissa do cenário" prompt="Número não negativo. O modelo recalcula." sqref="R66">
      <formula1>0</formula1>
    </dataValidation>
    <dataValidation type="decimal" operator="greaterThanOrEqual" allowBlank="1" showInputMessage="1" showErrorMessage="1" promptTitle="Premissa do cenário" prompt="Número não negativo. O modelo recalcula." sqref="S66">
      <formula1>0</formula1>
    </dataValidation>
    <dataValidation type="decimal" operator="greaterThanOrEqual" allowBlank="1" showInputMessage="1" showErrorMessage="1" promptTitle="Premissa do cenário" prompt="Número não negativo. O modelo recalcula." sqref="T66">
      <formula1>0</formula1>
    </dataValidation>
    <dataValidation type="decimal" operator="greaterThanOrEqual" allowBlank="1" showInputMessage="1" showErrorMessage="1" promptTitle="Premissa do cenário" prompt="Número não negativo. O modelo recalcula." sqref="U66">
      <formula1>0</formula1>
    </dataValidation>
    <dataValidation type="decimal" operator="greaterThanOrEqual" allowBlank="1" showInputMessage="1" showErrorMessage="1" promptTitle="Premissa do cenário" prompt="Número não negativo. O modelo recalcula." sqref="V66">
      <formula1>0</formula1>
    </dataValidation>
    <dataValidation type="decimal" operator="greaterThanOrEqual" allowBlank="1" showInputMessage="1" showErrorMessage="1" promptTitle="Premissa do cenário" prompt="Número não negativo. O modelo recalcula." sqref="W66">
      <formula1>0</formula1>
    </dataValidation>
    <dataValidation type="decimal" operator="greaterThanOrEqual" allowBlank="1" showInputMessage="1" showErrorMessage="1" promptTitle="Premissa do cenário" prompt="Número não negativo. O modelo recalcula." sqref="X66">
      <formula1>0</formula1>
    </dataValidation>
    <dataValidation type="decimal" operator="greaterThanOrEqual" allowBlank="1" showInputMessage="1" showErrorMessage="1" promptTitle="Premissa do cenário" prompt="Número não negativo. O modelo recalcula." sqref="Y66">
      <formula1>0</formula1>
    </dataValidation>
    <dataValidation type="decimal" operator="greaterThanOrEqual" allowBlank="1" showInputMessage="1" showErrorMessage="1" promptTitle="Premissa do cenário" prompt="Número não negativo. O modelo recalcula." sqref="C67">
      <formula1>0</formula1>
    </dataValidation>
    <dataValidation type="decimal" operator="greaterThanOrEqual" allowBlank="1" showInputMessage="1" showErrorMessage="1" promptTitle="Premissa do cenário" prompt="Número não negativo. O modelo recalcula." sqref="D67">
      <formula1>0</formula1>
    </dataValidation>
    <dataValidation type="decimal" operator="greaterThanOrEqual" allowBlank="1" showInputMessage="1" showErrorMessage="1" promptTitle="Premissa do cenário" prompt="Número não negativo. O modelo recalcula." sqref="E67">
      <formula1>0</formula1>
    </dataValidation>
    <dataValidation type="decimal" operator="greaterThanOrEqual" allowBlank="1" showInputMessage="1" showErrorMessage="1" promptTitle="Premissa do cenário" prompt="Número não negativo. O modelo recalcula." sqref="F67">
      <formula1>0</formula1>
    </dataValidation>
    <dataValidation type="decimal" operator="greaterThanOrEqual" allowBlank="1" showInputMessage="1" showErrorMessage="1" promptTitle="Premissa do cenário" prompt="Número não negativo. O modelo recalcula." sqref="G67">
      <formula1>0</formula1>
    </dataValidation>
    <dataValidation type="decimal" operator="greaterThanOrEqual" allowBlank="1" showInputMessage="1" showErrorMessage="1" promptTitle="Premissa do cenário" prompt="Número não negativo. O modelo recalcula." sqref="O67">
      <formula1>0</formula1>
    </dataValidation>
    <dataValidation type="decimal" operator="greaterThanOrEqual" allowBlank="1" showInputMessage="1" showErrorMessage="1" promptTitle="Premissa do cenário" prompt="Número não negativo. O modelo recalcula." sqref="P67">
      <formula1>0</formula1>
    </dataValidation>
    <dataValidation type="decimal" operator="greaterThanOrEqual" allowBlank="1" showInputMessage="1" showErrorMessage="1" promptTitle="Premissa do cenário" prompt="Número não negativo. O modelo recalcula." sqref="Q67">
      <formula1>0</formula1>
    </dataValidation>
    <dataValidation type="decimal" operator="greaterThanOrEqual" allowBlank="1" showInputMessage="1" showErrorMessage="1" promptTitle="Premissa do cenário" prompt="Número não negativo. O modelo recalcula." sqref="R67">
      <formula1>0</formula1>
    </dataValidation>
    <dataValidation type="decimal" operator="greaterThanOrEqual" allowBlank="1" showInputMessage="1" showErrorMessage="1" promptTitle="Premissa do cenário" prompt="Número não negativo. O modelo recalcula." sqref="S67">
      <formula1>0</formula1>
    </dataValidation>
    <dataValidation type="decimal" operator="greaterThanOrEqual" allowBlank="1" showInputMessage="1" showErrorMessage="1" promptTitle="Premissa do cenário" prompt="Número não negativo. O modelo recalcula." sqref="T67">
      <formula1>0</formula1>
    </dataValidation>
    <dataValidation type="decimal" operator="greaterThanOrEqual" allowBlank="1" showInputMessage="1" showErrorMessage="1" promptTitle="Premissa do cenário" prompt="Número não negativo. O modelo recalcula." sqref="U67">
      <formula1>0</formula1>
    </dataValidation>
    <dataValidation type="decimal" operator="greaterThanOrEqual" allowBlank="1" showInputMessage="1" showErrorMessage="1" promptTitle="Premissa do cenário" prompt="Número não negativo. O modelo recalcula." sqref="V67">
      <formula1>0</formula1>
    </dataValidation>
    <dataValidation type="decimal" operator="greaterThanOrEqual" allowBlank="1" showInputMessage="1" showErrorMessage="1" promptTitle="Premissa do cenário" prompt="Número não negativo. O modelo recalcula." sqref="W67">
      <formula1>0</formula1>
    </dataValidation>
    <dataValidation type="decimal" operator="greaterThanOrEqual" allowBlank="1" showInputMessage="1" showErrorMessage="1" promptTitle="Premissa do cenário" prompt="Número não negativo. O modelo recalcula." sqref="X67">
      <formula1>0</formula1>
    </dataValidation>
    <dataValidation type="decimal" operator="greaterThanOrEqual" allowBlank="1" showInputMessage="1" showErrorMessage="1" promptTitle="Premissa do cenário" prompt="Número não negativo. O modelo recalcula." sqref="Y67">
      <formula1>0</formula1>
    </dataValidation>
    <dataValidation type="decimal" operator="greaterThanOrEqual" allowBlank="1" showInputMessage="1" showErrorMessage="1" promptTitle="Premissa do cenário" prompt="Número não negativo. O modelo recalcula." sqref="C68">
      <formula1>0</formula1>
    </dataValidation>
    <dataValidation type="decimal" operator="greaterThanOrEqual" allowBlank="1" showInputMessage="1" showErrorMessage="1" promptTitle="Premissa do cenário" prompt="Número não negativo. O modelo recalcula." sqref="D68">
      <formula1>0</formula1>
    </dataValidation>
    <dataValidation type="decimal" operator="greaterThanOrEqual" allowBlank="1" showInputMessage="1" showErrorMessage="1" promptTitle="Premissa do cenário" prompt="Número não negativo. O modelo recalcula." sqref="E68">
      <formula1>0</formula1>
    </dataValidation>
    <dataValidation type="decimal" operator="greaterThanOrEqual" allowBlank="1" showInputMessage="1" showErrorMessage="1" promptTitle="Premissa do cenário" prompt="Número não negativo. O modelo recalcula." sqref="F68">
      <formula1>0</formula1>
    </dataValidation>
    <dataValidation type="decimal" operator="greaterThanOrEqual" allowBlank="1" showInputMessage="1" showErrorMessage="1" promptTitle="Premissa do cenário" prompt="Número não negativo. O modelo recalcula." sqref="G68">
      <formula1>0</formula1>
    </dataValidation>
    <dataValidation type="decimal" operator="greaterThanOrEqual" allowBlank="1" showInputMessage="1" showErrorMessage="1" promptTitle="Premissa do cenário" prompt="Número não negativo. O modelo recalcula." sqref="O68">
      <formula1>0</formula1>
    </dataValidation>
    <dataValidation type="decimal" operator="greaterThanOrEqual" allowBlank="1" showInputMessage="1" showErrorMessage="1" promptTitle="Premissa do cenário" prompt="Número não negativo. O modelo recalcula." sqref="P68">
      <formula1>0</formula1>
    </dataValidation>
    <dataValidation type="decimal" operator="greaterThanOrEqual" allowBlank="1" showInputMessage="1" showErrorMessage="1" promptTitle="Premissa do cenário" prompt="Número não negativo. O modelo recalcula." sqref="Q68">
      <formula1>0</formula1>
    </dataValidation>
    <dataValidation type="decimal" operator="greaterThanOrEqual" allowBlank="1" showInputMessage="1" showErrorMessage="1" promptTitle="Premissa do cenário" prompt="Número não negativo. O modelo recalcula." sqref="R68">
      <formula1>0</formula1>
    </dataValidation>
    <dataValidation type="decimal" operator="greaterThanOrEqual" allowBlank="1" showInputMessage="1" showErrorMessage="1" promptTitle="Premissa do cenário" prompt="Número não negativo. O modelo recalcula." sqref="S68">
      <formula1>0</formula1>
    </dataValidation>
    <dataValidation type="decimal" operator="greaterThanOrEqual" allowBlank="1" showInputMessage="1" showErrorMessage="1" promptTitle="Premissa do cenário" prompt="Número não negativo. O modelo recalcula." sqref="T68">
      <formula1>0</formula1>
    </dataValidation>
    <dataValidation type="decimal" operator="greaterThanOrEqual" allowBlank="1" showInputMessage="1" showErrorMessage="1" promptTitle="Premissa do cenário" prompt="Número não negativo. O modelo recalcula." sqref="U68">
      <formula1>0</formula1>
    </dataValidation>
    <dataValidation type="decimal" operator="greaterThanOrEqual" allowBlank="1" showInputMessage="1" showErrorMessage="1" promptTitle="Premissa do cenário" prompt="Número não negativo. O modelo recalcula." sqref="V68">
      <formula1>0</formula1>
    </dataValidation>
    <dataValidation type="decimal" operator="greaterThanOrEqual" allowBlank="1" showInputMessage="1" showErrorMessage="1" promptTitle="Premissa do cenário" prompt="Número não negativo. O modelo recalcula." sqref="W68">
      <formula1>0</formula1>
    </dataValidation>
    <dataValidation type="decimal" operator="greaterThanOrEqual" allowBlank="1" showInputMessage="1" showErrorMessage="1" promptTitle="Premissa do cenário" prompt="Número não negativo. O modelo recalcula." sqref="X68">
      <formula1>0</formula1>
    </dataValidation>
    <dataValidation type="decimal" operator="greaterThanOrEqual" allowBlank="1" showInputMessage="1" showErrorMessage="1" promptTitle="Premissa do cenário" prompt="Número não negativo. O modelo recalcula." sqref="Y68">
      <formula1>0</formula1>
    </dataValidation>
    <dataValidation type="decimal" operator="greaterThanOrEqual" allowBlank="1" showInputMessage="1" showErrorMessage="1" promptTitle="Premissa do cenário" prompt="Número não negativo. O modelo recalcula." sqref="C69">
      <formula1>0</formula1>
    </dataValidation>
    <dataValidation type="decimal" operator="greaterThanOrEqual" allowBlank="1" showInputMessage="1" showErrorMessage="1" promptTitle="Premissa do cenário" prompt="Número não negativo. O modelo recalcula." sqref="D69">
      <formula1>0</formula1>
    </dataValidation>
    <dataValidation type="decimal" operator="greaterThanOrEqual" allowBlank="1" showInputMessage="1" showErrorMessage="1" promptTitle="Premissa do cenário" prompt="Número não negativo. O modelo recalcula." sqref="E69">
      <formula1>0</formula1>
    </dataValidation>
    <dataValidation type="decimal" operator="greaterThanOrEqual" allowBlank="1" showInputMessage="1" showErrorMessage="1" promptTitle="Premissa do cenário" prompt="Número não negativo. O modelo recalcula." sqref="F69">
      <formula1>0</formula1>
    </dataValidation>
    <dataValidation type="decimal" operator="greaterThanOrEqual" allowBlank="1" showInputMessage="1" showErrorMessage="1" promptTitle="Premissa do cenário" prompt="Número não negativo. O modelo recalcula." sqref="G69">
      <formula1>0</formula1>
    </dataValidation>
    <dataValidation type="decimal" operator="greaterThanOrEqual" allowBlank="1" showInputMessage="1" showErrorMessage="1" promptTitle="Premissa do cenário" prompt="Número não negativo. O modelo recalcula." sqref="O69">
      <formula1>0</formula1>
    </dataValidation>
    <dataValidation type="decimal" operator="greaterThanOrEqual" allowBlank="1" showInputMessage="1" showErrorMessage="1" promptTitle="Premissa do cenário" prompt="Número não negativo. O modelo recalcula." sqref="P69">
      <formula1>0</formula1>
    </dataValidation>
    <dataValidation type="decimal" operator="greaterThanOrEqual" allowBlank="1" showInputMessage="1" showErrorMessage="1" promptTitle="Premissa do cenário" prompt="Número não negativo. O modelo recalcula." sqref="Q69">
      <formula1>0</formula1>
    </dataValidation>
    <dataValidation type="decimal" operator="greaterThanOrEqual" allowBlank="1" showInputMessage="1" showErrorMessage="1" promptTitle="Premissa do cenário" prompt="Número não negativo. O modelo recalcula." sqref="R69">
      <formula1>0</formula1>
    </dataValidation>
    <dataValidation type="decimal" operator="greaterThanOrEqual" allowBlank="1" showInputMessage="1" showErrorMessage="1" promptTitle="Premissa do cenário" prompt="Número não negativo. O modelo recalcula." sqref="S69">
      <formula1>0</formula1>
    </dataValidation>
    <dataValidation type="decimal" operator="greaterThanOrEqual" allowBlank="1" showInputMessage="1" showErrorMessage="1" promptTitle="Premissa do cenário" prompt="Número não negativo. O modelo recalcula." sqref="T69">
      <formula1>0</formula1>
    </dataValidation>
    <dataValidation type="decimal" operator="greaterThanOrEqual" allowBlank="1" showInputMessage="1" showErrorMessage="1" promptTitle="Premissa do cenário" prompt="Número não negativo. O modelo recalcula." sqref="U69">
      <formula1>0</formula1>
    </dataValidation>
    <dataValidation type="decimal" operator="greaterThanOrEqual" allowBlank="1" showInputMessage="1" showErrorMessage="1" promptTitle="Premissa do cenário" prompt="Número não negativo. O modelo recalcula." sqref="V69">
      <formula1>0</formula1>
    </dataValidation>
    <dataValidation type="decimal" operator="greaterThanOrEqual" allowBlank="1" showInputMessage="1" showErrorMessage="1" promptTitle="Premissa do cenário" prompt="Número não negativo. O modelo recalcula." sqref="W69">
      <formula1>0</formula1>
    </dataValidation>
    <dataValidation type="decimal" operator="greaterThanOrEqual" allowBlank="1" showInputMessage="1" showErrorMessage="1" promptTitle="Premissa do cenário" prompt="Número não negativo. O modelo recalcula." sqref="X69">
      <formula1>0</formula1>
    </dataValidation>
    <dataValidation type="decimal" operator="greaterThanOrEqual" allowBlank="1" showInputMessage="1" showErrorMessage="1" promptTitle="Premissa do cenário" prompt="Número não negativo. O modelo recalcula." sqref="Y69">
      <formula1>0</formula1>
    </dataValidation>
    <dataValidation type="decimal" operator="greaterThanOrEqual" allowBlank="1" showInputMessage="1" showErrorMessage="1" promptTitle="Premissa do cenário" prompt="Número não negativo. O modelo recalcula." sqref="C70">
      <formula1>0</formula1>
    </dataValidation>
    <dataValidation type="decimal" operator="greaterThanOrEqual" allowBlank="1" showInputMessage="1" showErrorMessage="1" promptTitle="Premissa do cenário" prompt="Número não negativo. O modelo recalcula." sqref="D70">
      <formula1>0</formula1>
    </dataValidation>
    <dataValidation type="decimal" operator="greaterThanOrEqual" allowBlank="1" showInputMessage="1" showErrorMessage="1" promptTitle="Premissa do cenário" prompt="Número não negativo. O modelo recalcula." sqref="E70">
      <formula1>0</formula1>
    </dataValidation>
    <dataValidation type="decimal" operator="greaterThanOrEqual" allowBlank="1" showInputMessage="1" showErrorMessage="1" promptTitle="Premissa do cenário" prompt="Número não negativo. O modelo recalcula." sqref="F70">
      <formula1>0</formula1>
    </dataValidation>
    <dataValidation type="decimal" operator="greaterThanOrEqual" allowBlank="1" showInputMessage="1" showErrorMessage="1" promptTitle="Premissa do cenário" prompt="Número não negativo. O modelo recalcula." sqref="G70">
      <formula1>0</formula1>
    </dataValidation>
    <dataValidation type="decimal" operator="greaterThanOrEqual" allowBlank="1" showInputMessage="1" showErrorMessage="1" promptTitle="Premissa do cenário" prompt="Número não negativo. O modelo recalcula." sqref="O70">
      <formula1>0</formula1>
    </dataValidation>
    <dataValidation type="decimal" operator="greaterThanOrEqual" allowBlank="1" showInputMessage="1" showErrorMessage="1" promptTitle="Premissa do cenário" prompt="Número não negativo. O modelo recalcula." sqref="P70">
      <formula1>0</formula1>
    </dataValidation>
    <dataValidation type="decimal" operator="greaterThanOrEqual" allowBlank="1" showInputMessage="1" showErrorMessage="1" promptTitle="Premissa do cenário" prompt="Número não negativo. O modelo recalcula." sqref="Q70">
      <formula1>0</formula1>
    </dataValidation>
    <dataValidation type="decimal" operator="greaterThanOrEqual" allowBlank="1" showInputMessage="1" showErrorMessage="1" promptTitle="Premissa do cenário" prompt="Número não negativo. O modelo recalcula." sqref="R70">
      <formula1>0</formula1>
    </dataValidation>
    <dataValidation type="decimal" operator="greaterThanOrEqual" allowBlank="1" showInputMessage="1" showErrorMessage="1" promptTitle="Premissa do cenário" prompt="Número não negativo. O modelo recalcula." sqref="S70">
      <formula1>0</formula1>
    </dataValidation>
    <dataValidation type="decimal" operator="greaterThanOrEqual" allowBlank="1" showInputMessage="1" showErrorMessage="1" promptTitle="Premissa do cenário" prompt="Número não negativo. O modelo recalcula." sqref="T70">
      <formula1>0</formula1>
    </dataValidation>
    <dataValidation type="decimal" operator="greaterThanOrEqual" allowBlank="1" showInputMessage="1" showErrorMessage="1" promptTitle="Premissa do cenário" prompt="Número não negativo. O modelo recalcula." sqref="U70">
      <formula1>0</formula1>
    </dataValidation>
    <dataValidation type="decimal" operator="greaterThanOrEqual" allowBlank="1" showInputMessage="1" showErrorMessage="1" promptTitle="Premissa do cenário" prompt="Número não negativo. O modelo recalcula." sqref="V70">
      <formula1>0</formula1>
    </dataValidation>
    <dataValidation type="decimal" operator="greaterThanOrEqual" allowBlank="1" showInputMessage="1" showErrorMessage="1" promptTitle="Premissa do cenário" prompt="Número não negativo. O modelo recalcula." sqref="W70">
      <formula1>0</formula1>
    </dataValidation>
    <dataValidation type="decimal" operator="greaterThanOrEqual" allowBlank="1" showInputMessage="1" showErrorMessage="1" promptTitle="Premissa do cenário" prompt="Número não negativo. O modelo recalcula." sqref="X70">
      <formula1>0</formula1>
    </dataValidation>
    <dataValidation type="decimal" operator="greaterThanOrEqual" allowBlank="1" showInputMessage="1" showErrorMessage="1" promptTitle="Premissa do cenário" prompt="Número não negativo. O modelo recalcula." sqref="Y70">
      <formula1>0</formula1>
    </dataValidation>
    <dataValidation type="decimal" operator="greaterThanOrEqual" allowBlank="1" showInputMessage="1" showErrorMessage="1" promptTitle="Premissa do cenário" prompt="Número não negativo. O modelo recalcula." sqref="C71">
      <formula1>0</formula1>
    </dataValidation>
    <dataValidation type="decimal" operator="greaterThanOrEqual" allowBlank="1" showInputMessage="1" showErrorMessage="1" promptTitle="Premissa do cenário" prompt="Número não negativo. O modelo recalcula." sqref="D71">
      <formula1>0</formula1>
    </dataValidation>
    <dataValidation type="decimal" operator="greaterThanOrEqual" allowBlank="1" showInputMessage="1" showErrorMessage="1" promptTitle="Premissa do cenário" prompt="Número não negativo. O modelo recalcula." sqref="E71">
      <formula1>0</formula1>
    </dataValidation>
    <dataValidation type="decimal" operator="greaterThanOrEqual" allowBlank="1" showInputMessage="1" showErrorMessage="1" promptTitle="Premissa do cenário" prompt="Número não negativo. O modelo recalcula." sqref="F71">
      <formula1>0</formula1>
    </dataValidation>
    <dataValidation type="decimal" operator="greaterThanOrEqual" allowBlank="1" showInputMessage="1" showErrorMessage="1" promptTitle="Premissa do cenário" prompt="Número não negativo. O modelo recalcula." sqref="G71">
      <formula1>0</formula1>
    </dataValidation>
    <dataValidation type="decimal" operator="greaterThanOrEqual" allowBlank="1" showInputMessage="1" showErrorMessage="1" promptTitle="Premissa do cenário" prompt="Número não negativo. O modelo recalcula." sqref="O71">
      <formula1>0</formula1>
    </dataValidation>
    <dataValidation type="decimal" operator="greaterThanOrEqual" allowBlank="1" showInputMessage="1" showErrorMessage="1" promptTitle="Premissa do cenário" prompt="Número não negativo. O modelo recalcula." sqref="P71">
      <formula1>0</formula1>
    </dataValidation>
    <dataValidation type="decimal" operator="greaterThanOrEqual" allowBlank="1" showInputMessage="1" showErrorMessage="1" promptTitle="Premissa do cenário" prompt="Número não negativo. O modelo recalcula." sqref="Q71">
      <formula1>0</formula1>
    </dataValidation>
    <dataValidation type="decimal" operator="greaterThanOrEqual" allowBlank="1" showInputMessage="1" showErrorMessage="1" promptTitle="Premissa do cenário" prompt="Número não negativo. O modelo recalcula." sqref="R71">
      <formula1>0</formula1>
    </dataValidation>
    <dataValidation type="decimal" operator="greaterThanOrEqual" allowBlank="1" showInputMessage="1" showErrorMessage="1" promptTitle="Premissa do cenário" prompt="Número não negativo. O modelo recalcula." sqref="S71">
      <formula1>0</formula1>
    </dataValidation>
    <dataValidation type="decimal" operator="greaterThanOrEqual" allowBlank="1" showInputMessage="1" showErrorMessage="1" promptTitle="Premissa do cenário" prompt="Número não negativo. O modelo recalcula." sqref="T71">
      <formula1>0</formula1>
    </dataValidation>
    <dataValidation type="decimal" operator="greaterThanOrEqual" allowBlank="1" showInputMessage="1" showErrorMessage="1" promptTitle="Premissa do cenário" prompt="Número não negativo. O modelo recalcula." sqref="U71">
      <formula1>0</formula1>
    </dataValidation>
    <dataValidation type="decimal" operator="greaterThanOrEqual" allowBlank="1" showInputMessage="1" showErrorMessage="1" promptTitle="Premissa do cenário" prompt="Número não negativo. O modelo recalcula." sqref="V71">
      <formula1>0</formula1>
    </dataValidation>
    <dataValidation type="decimal" operator="greaterThanOrEqual" allowBlank="1" showInputMessage="1" showErrorMessage="1" promptTitle="Premissa do cenário" prompt="Número não negativo. O modelo recalcula." sqref="W71">
      <formula1>0</formula1>
    </dataValidation>
    <dataValidation type="decimal" operator="greaterThanOrEqual" allowBlank="1" showInputMessage="1" showErrorMessage="1" promptTitle="Premissa do cenário" prompt="Número não negativo. O modelo recalcula." sqref="X71">
      <formula1>0</formula1>
    </dataValidation>
    <dataValidation type="decimal" operator="greaterThanOrEqual" allowBlank="1" showInputMessage="1" showErrorMessage="1" promptTitle="Premissa do cenário" prompt="Número não negativo. O modelo recalcula." sqref="Y71">
      <formula1>0</formula1>
    </dataValidation>
    <dataValidation type="decimal" operator="greaterThanOrEqual" allowBlank="1" showInputMessage="1" showErrorMessage="1" promptTitle="Premissa do cenário" prompt="Número não negativo. O modelo recalcula." sqref="C72">
      <formula1>0</formula1>
    </dataValidation>
    <dataValidation type="decimal" operator="greaterThanOrEqual" allowBlank="1" showInputMessage="1" showErrorMessage="1" promptTitle="Premissa do cenário" prompt="Número não negativo. O modelo recalcula." sqref="D72">
      <formula1>0</formula1>
    </dataValidation>
    <dataValidation type="decimal" operator="greaterThanOrEqual" allowBlank="1" showInputMessage="1" showErrorMessage="1" promptTitle="Premissa do cenário" prompt="Número não negativo. O modelo recalcula." sqref="E72">
      <formula1>0</formula1>
    </dataValidation>
    <dataValidation type="decimal" operator="greaterThanOrEqual" allowBlank="1" showInputMessage="1" showErrorMessage="1" promptTitle="Premissa do cenário" prompt="Número não negativo. O modelo recalcula." sqref="F72">
      <formula1>0</formula1>
    </dataValidation>
    <dataValidation type="decimal" operator="greaterThanOrEqual" allowBlank="1" showInputMessage="1" showErrorMessage="1" promptTitle="Premissa do cenário" prompt="Número não negativo. O modelo recalcula." sqref="G72">
      <formula1>0</formula1>
    </dataValidation>
    <dataValidation type="decimal" operator="greaterThanOrEqual" allowBlank="1" showInputMessage="1" showErrorMessage="1" promptTitle="Premissa do cenário" prompt="Número não negativo. O modelo recalcula." sqref="O72">
      <formula1>0</formula1>
    </dataValidation>
    <dataValidation type="decimal" operator="greaterThanOrEqual" allowBlank="1" showInputMessage="1" showErrorMessage="1" promptTitle="Premissa do cenário" prompt="Número não negativo. O modelo recalcula." sqref="P72">
      <formula1>0</formula1>
    </dataValidation>
    <dataValidation type="decimal" operator="greaterThanOrEqual" allowBlank="1" showInputMessage="1" showErrorMessage="1" promptTitle="Premissa do cenário" prompt="Número não negativo. O modelo recalcula." sqref="Q72">
      <formula1>0</formula1>
    </dataValidation>
    <dataValidation type="decimal" operator="greaterThanOrEqual" allowBlank="1" showInputMessage="1" showErrorMessage="1" promptTitle="Premissa do cenário" prompt="Número não negativo. O modelo recalcula." sqref="R72">
      <formula1>0</formula1>
    </dataValidation>
    <dataValidation type="decimal" operator="greaterThanOrEqual" allowBlank="1" showInputMessage="1" showErrorMessage="1" promptTitle="Premissa do cenário" prompt="Número não negativo. O modelo recalcula." sqref="S72">
      <formula1>0</formula1>
    </dataValidation>
    <dataValidation type="decimal" operator="greaterThanOrEqual" allowBlank="1" showInputMessage="1" showErrorMessage="1" promptTitle="Premissa do cenário" prompt="Número não negativo. O modelo recalcula." sqref="T72">
      <formula1>0</formula1>
    </dataValidation>
    <dataValidation type="decimal" operator="greaterThanOrEqual" allowBlank="1" showInputMessage="1" showErrorMessage="1" promptTitle="Premissa do cenário" prompt="Número não negativo. O modelo recalcula." sqref="U72">
      <formula1>0</formula1>
    </dataValidation>
    <dataValidation type="decimal" operator="greaterThanOrEqual" allowBlank="1" showInputMessage="1" showErrorMessage="1" promptTitle="Premissa do cenário" prompt="Número não negativo. O modelo recalcula." sqref="V72">
      <formula1>0</formula1>
    </dataValidation>
    <dataValidation type="decimal" operator="greaterThanOrEqual" allowBlank="1" showInputMessage="1" showErrorMessage="1" promptTitle="Premissa do cenário" prompt="Número não negativo. O modelo recalcula." sqref="W72">
      <formula1>0</formula1>
    </dataValidation>
    <dataValidation type="decimal" operator="greaterThanOrEqual" allowBlank="1" showInputMessage="1" showErrorMessage="1" promptTitle="Premissa do cenário" prompt="Número não negativo. O modelo recalcula." sqref="X72">
      <formula1>0</formula1>
    </dataValidation>
    <dataValidation type="decimal" operator="greaterThanOrEqual" allowBlank="1" showInputMessage="1" showErrorMessage="1" promptTitle="Premissa do cenário" prompt="Número não negativo. O modelo recalcula." sqref="Y72">
      <formula1>0</formula1>
    </dataValidation>
    <dataValidation type="decimal" operator="greaterThanOrEqual" allowBlank="1" showInputMessage="1" showErrorMessage="1" promptTitle="Premissa do cenário" prompt="Número não negativo. O modelo recalcula." sqref="C73">
      <formula1>0</formula1>
    </dataValidation>
    <dataValidation type="decimal" operator="greaterThanOrEqual" allowBlank="1" showInputMessage="1" showErrorMessage="1" promptTitle="Premissa do cenário" prompt="Número não negativo. O modelo recalcula." sqref="D73">
      <formula1>0</formula1>
    </dataValidation>
    <dataValidation type="decimal" operator="greaterThanOrEqual" allowBlank="1" showInputMessage="1" showErrorMessage="1" promptTitle="Premissa do cenário" prompt="Número não negativo. O modelo recalcula." sqref="E73">
      <formula1>0</formula1>
    </dataValidation>
    <dataValidation type="decimal" operator="greaterThanOrEqual" allowBlank="1" showInputMessage="1" showErrorMessage="1" promptTitle="Premissa do cenário" prompt="Número não negativo. O modelo recalcula." sqref="F73">
      <formula1>0</formula1>
    </dataValidation>
    <dataValidation type="decimal" operator="greaterThanOrEqual" allowBlank="1" showInputMessage="1" showErrorMessage="1" promptTitle="Premissa do cenário" prompt="Número não negativo. O modelo recalcula." sqref="G73">
      <formula1>0</formula1>
    </dataValidation>
    <dataValidation type="decimal" operator="greaterThanOrEqual" allowBlank="1" showInputMessage="1" showErrorMessage="1" promptTitle="Premissa do cenário" prompt="Número não negativo. O modelo recalcula." sqref="O73">
      <formula1>0</formula1>
    </dataValidation>
    <dataValidation type="decimal" operator="greaterThanOrEqual" allowBlank="1" showInputMessage="1" showErrorMessage="1" promptTitle="Premissa do cenário" prompt="Número não negativo. O modelo recalcula." sqref="P73">
      <formula1>0</formula1>
    </dataValidation>
    <dataValidation type="decimal" operator="greaterThanOrEqual" allowBlank="1" showInputMessage="1" showErrorMessage="1" promptTitle="Premissa do cenário" prompt="Número não negativo. O modelo recalcula." sqref="Q73">
      <formula1>0</formula1>
    </dataValidation>
    <dataValidation type="decimal" operator="greaterThanOrEqual" allowBlank="1" showInputMessage="1" showErrorMessage="1" promptTitle="Premissa do cenário" prompt="Número não negativo. O modelo recalcula." sqref="R73">
      <formula1>0</formula1>
    </dataValidation>
    <dataValidation type="decimal" operator="greaterThanOrEqual" allowBlank="1" showInputMessage="1" showErrorMessage="1" promptTitle="Premissa do cenário" prompt="Número não negativo. O modelo recalcula." sqref="S73">
      <formula1>0</formula1>
    </dataValidation>
    <dataValidation type="decimal" operator="greaterThanOrEqual" allowBlank="1" showInputMessage="1" showErrorMessage="1" promptTitle="Premissa do cenário" prompt="Número não negativo. O modelo recalcula." sqref="T73">
      <formula1>0</formula1>
    </dataValidation>
    <dataValidation type="decimal" operator="greaterThanOrEqual" allowBlank="1" showInputMessage="1" showErrorMessage="1" promptTitle="Premissa do cenário" prompt="Número não negativo. O modelo recalcula." sqref="U73">
      <formula1>0</formula1>
    </dataValidation>
    <dataValidation type="decimal" operator="greaterThanOrEqual" allowBlank="1" showInputMessage="1" showErrorMessage="1" promptTitle="Premissa do cenário" prompt="Número não negativo. O modelo recalcula." sqref="V73">
      <formula1>0</formula1>
    </dataValidation>
    <dataValidation type="decimal" operator="greaterThanOrEqual" allowBlank="1" showInputMessage="1" showErrorMessage="1" promptTitle="Premissa do cenário" prompt="Número não negativo. O modelo recalcula." sqref="W73">
      <formula1>0</formula1>
    </dataValidation>
    <dataValidation type="decimal" operator="greaterThanOrEqual" allowBlank="1" showInputMessage="1" showErrorMessage="1" promptTitle="Premissa do cenário" prompt="Número não negativo. O modelo recalcula." sqref="X73">
      <formula1>0</formula1>
    </dataValidation>
    <dataValidation type="decimal" operator="greaterThanOrEqual" allowBlank="1" showInputMessage="1" showErrorMessage="1" promptTitle="Premissa do cenário" prompt="Número não negativo. O modelo recalcula." sqref="Y73">
      <formula1>0</formula1>
    </dataValidation>
    <dataValidation type="decimal" operator="greaterThanOrEqual" allowBlank="1" showInputMessage="1" showErrorMessage="1" promptTitle="Premissa do cenário" prompt="Número não negativo. O modelo recalcula." sqref="C74">
      <formula1>0</formula1>
    </dataValidation>
    <dataValidation type="decimal" operator="greaterThanOrEqual" allowBlank="1" showInputMessage="1" showErrorMessage="1" promptTitle="Premissa do cenário" prompt="Número não negativo. O modelo recalcula." sqref="D74">
      <formula1>0</formula1>
    </dataValidation>
    <dataValidation type="decimal" operator="greaterThanOrEqual" allowBlank="1" showInputMessage="1" showErrorMessage="1" promptTitle="Premissa do cenário" prompt="Número não negativo. O modelo recalcula." sqref="E74">
      <formula1>0</formula1>
    </dataValidation>
    <dataValidation type="decimal" operator="greaterThanOrEqual" allowBlank="1" showInputMessage="1" showErrorMessage="1" promptTitle="Premissa do cenário" prompt="Número não negativo. O modelo recalcula." sqref="F74">
      <formula1>0</formula1>
    </dataValidation>
    <dataValidation type="decimal" operator="greaterThanOrEqual" allowBlank="1" showInputMessage="1" showErrorMessage="1" promptTitle="Premissa do cenário" prompt="Número não negativo. O modelo recalcula." sqref="G74">
      <formula1>0</formula1>
    </dataValidation>
    <dataValidation type="decimal" operator="greaterThanOrEqual" allowBlank="1" showInputMessage="1" showErrorMessage="1" promptTitle="Premissa do cenário" prompt="Número não negativo. O modelo recalcula." sqref="O74">
      <formula1>0</formula1>
    </dataValidation>
    <dataValidation type="decimal" operator="greaterThanOrEqual" allowBlank="1" showInputMessage="1" showErrorMessage="1" promptTitle="Premissa do cenário" prompt="Número não negativo. O modelo recalcula." sqref="P74">
      <formula1>0</formula1>
    </dataValidation>
    <dataValidation type="decimal" operator="greaterThanOrEqual" allowBlank="1" showInputMessage="1" showErrorMessage="1" promptTitle="Premissa do cenário" prompt="Número não negativo. O modelo recalcula." sqref="Q74">
      <formula1>0</formula1>
    </dataValidation>
    <dataValidation type="decimal" operator="greaterThanOrEqual" allowBlank="1" showInputMessage="1" showErrorMessage="1" promptTitle="Premissa do cenário" prompt="Número não negativo. O modelo recalcula." sqref="R74">
      <formula1>0</formula1>
    </dataValidation>
    <dataValidation type="decimal" operator="greaterThanOrEqual" allowBlank="1" showInputMessage="1" showErrorMessage="1" promptTitle="Premissa do cenário" prompt="Número não negativo. O modelo recalcula." sqref="S74">
      <formula1>0</formula1>
    </dataValidation>
    <dataValidation type="decimal" operator="greaterThanOrEqual" allowBlank="1" showInputMessage="1" showErrorMessage="1" promptTitle="Premissa do cenário" prompt="Número não negativo. O modelo recalcula." sqref="T74">
      <formula1>0</formula1>
    </dataValidation>
    <dataValidation type="decimal" operator="greaterThanOrEqual" allowBlank="1" showInputMessage="1" showErrorMessage="1" promptTitle="Premissa do cenário" prompt="Número não negativo. O modelo recalcula." sqref="U74">
      <formula1>0</formula1>
    </dataValidation>
    <dataValidation type="decimal" operator="greaterThanOrEqual" allowBlank="1" showInputMessage="1" showErrorMessage="1" promptTitle="Premissa do cenário" prompt="Número não negativo. O modelo recalcula." sqref="V74">
      <formula1>0</formula1>
    </dataValidation>
    <dataValidation type="decimal" operator="greaterThanOrEqual" allowBlank="1" showInputMessage="1" showErrorMessage="1" promptTitle="Premissa do cenário" prompt="Número não negativo. O modelo recalcula." sqref="W74">
      <formula1>0</formula1>
    </dataValidation>
    <dataValidation type="decimal" operator="greaterThanOrEqual" allowBlank="1" showInputMessage="1" showErrorMessage="1" promptTitle="Premissa do cenário" prompt="Número não negativo. O modelo recalcula." sqref="X74">
      <formula1>0</formula1>
    </dataValidation>
    <dataValidation type="decimal" operator="greaterThanOrEqual" allowBlank="1" showInputMessage="1" showErrorMessage="1" promptTitle="Premissa do cenário" prompt="Número não negativo. O modelo recalcula." sqref="Y74">
      <formula1>0</formula1>
    </dataValidation>
    <dataValidation type="decimal" operator="greaterThanOrEqual" allowBlank="1" showInputMessage="1" showErrorMessage="1" promptTitle="Premissa do cenário" prompt="Número não negativo. O modelo recalcula." sqref="C75">
      <formula1>0</formula1>
    </dataValidation>
    <dataValidation type="decimal" operator="greaterThanOrEqual" allowBlank="1" showInputMessage="1" showErrorMessage="1" promptTitle="Premissa do cenário" prompt="Número não negativo. O modelo recalcula." sqref="D75">
      <formula1>0</formula1>
    </dataValidation>
    <dataValidation type="decimal" operator="greaterThanOrEqual" allowBlank="1" showInputMessage="1" showErrorMessage="1" promptTitle="Premissa do cenário" prompt="Número não negativo. O modelo recalcula." sqref="E75">
      <formula1>0</formula1>
    </dataValidation>
    <dataValidation type="decimal" operator="greaterThanOrEqual" allowBlank="1" showInputMessage="1" showErrorMessage="1" promptTitle="Premissa do cenário" prompt="Número não negativo. O modelo recalcula." sqref="F75">
      <formula1>0</formula1>
    </dataValidation>
    <dataValidation type="decimal" operator="greaterThanOrEqual" allowBlank="1" showInputMessage="1" showErrorMessage="1" promptTitle="Premissa do cenário" prompt="Número não negativo. O modelo recalcula." sqref="G75">
      <formula1>0</formula1>
    </dataValidation>
    <dataValidation type="decimal" operator="greaterThanOrEqual" allowBlank="1" showInputMessage="1" showErrorMessage="1" promptTitle="Premissa do cenário" prompt="Número não negativo. O modelo recalcula." sqref="O75">
      <formula1>0</formula1>
    </dataValidation>
    <dataValidation type="decimal" operator="greaterThanOrEqual" allowBlank="1" showInputMessage="1" showErrorMessage="1" promptTitle="Premissa do cenário" prompt="Número não negativo. O modelo recalcula." sqref="P75">
      <formula1>0</formula1>
    </dataValidation>
    <dataValidation type="decimal" operator="greaterThanOrEqual" allowBlank="1" showInputMessage="1" showErrorMessage="1" promptTitle="Premissa do cenário" prompt="Número não negativo. O modelo recalcula." sqref="Q75">
      <formula1>0</formula1>
    </dataValidation>
    <dataValidation type="decimal" operator="greaterThanOrEqual" allowBlank="1" showInputMessage="1" showErrorMessage="1" promptTitle="Premissa do cenário" prompt="Número não negativo. O modelo recalcula." sqref="R75">
      <formula1>0</formula1>
    </dataValidation>
    <dataValidation type="decimal" operator="greaterThanOrEqual" allowBlank="1" showInputMessage="1" showErrorMessage="1" promptTitle="Premissa do cenário" prompt="Número não negativo. O modelo recalcula." sqref="S75">
      <formula1>0</formula1>
    </dataValidation>
    <dataValidation type="decimal" operator="greaterThanOrEqual" allowBlank="1" showInputMessage="1" showErrorMessage="1" promptTitle="Premissa do cenário" prompt="Número não negativo. O modelo recalcula." sqref="T75">
      <formula1>0</formula1>
    </dataValidation>
    <dataValidation type="decimal" operator="greaterThanOrEqual" allowBlank="1" showInputMessage="1" showErrorMessage="1" promptTitle="Premissa do cenário" prompt="Número não negativo. O modelo recalcula." sqref="U75">
      <formula1>0</formula1>
    </dataValidation>
    <dataValidation type="decimal" operator="greaterThanOrEqual" allowBlank="1" showInputMessage="1" showErrorMessage="1" promptTitle="Premissa do cenário" prompt="Número não negativo. O modelo recalcula." sqref="V75">
      <formula1>0</formula1>
    </dataValidation>
    <dataValidation type="decimal" operator="greaterThanOrEqual" allowBlank="1" showInputMessage="1" showErrorMessage="1" promptTitle="Premissa do cenário" prompt="Número não negativo. O modelo recalcula." sqref="W75">
      <formula1>0</formula1>
    </dataValidation>
    <dataValidation type="decimal" operator="greaterThanOrEqual" allowBlank="1" showInputMessage="1" showErrorMessage="1" promptTitle="Premissa do cenário" prompt="Número não negativo. O modelo recalcula." sqref="X75">
      <formula1>0</formula1>
    </dataValidation>
    <dataValidation type="decimal" operator="greaterThanOrEqual" allowBlank="1" showInputMessage="1" showErrorMessage="1" promptTitle="Premissa do cenário" prompt="Número não negativo. O modelo recalcula." sqref="Y75">
      <formula1>0</formula1>
    </dataValidation>
    <dataValidation type="decimal" operator="greaterThanOrEqual" allowBlank="1" showInputMessage="1" showErrorMessage="1" promptTitle="Premissa do cenário" prompt="Número não negativo. O modelo recalcula." sqref="C76">
      <formula1>0</formula1>
    </dataValidation>
    <dataValidation type="decimal" operator="greaterThanOrEqual" allowBlank="1" showInputMessage="1" showErrorMessage="1" promptTitle="Premissa do cenário" prompt="Número não negativo. O modelo recalcula." sqref="D76">
      <formula1>0</formula1>
    </dataValidation>
    <dataValidation type="decimal" operator="greaterThanOrEqual" allowBlank="1" showInputMessage="1" showErrorMessage="1" promptTitle="Premissa do cenário" prompt="Número não negativo. O modelo recalcula." sqref="E76">
      <formula1>0</formula1>
    </dataValidation>
    <dataValidation type="decimal" operator="greaterThanOrEqual" allowBlank="1" showInputMessage="1" showErrorMessage="1" promptTitle="Premissa do cenário" prompt="Número não negativo. O modelo recalcula." sqref="F76">
      <formula1>0</formula1>
    </dataValidation>
    <dataValidation type="decimal" operator="greaterThanOrEqual" allowBlank="1" showInputMessage="1" showErrorMessage="1" promptTitle="Premissa do cenário" prompt="Número não negativo. O modelo recalcula." sqref="G76">
      <formula1>0</formula1>
    </dataValidation>
    <dataValidation type="decimal" operator="greaterThanOrEqual" allowBlank="1" showInputMessage="1" showErrorMessage="1" promptTitle="Premissa do cenário" prompt="Número não negativo. O modelo recalcula." sqref="O76">
      <formula1>0</formula1>
    </dataValidation>
    <dataValidation type="decimal" operator="greaterThanOrEqual" allowBlank="1" showInputMessage="1" showErrorMessage="1" promptTitle="Premissa do cenário" prompt="Número não negativo. O modelo recalcula." sqref="P76">
      <formula1>0</formula1>
    </dataValidation>
    <dataValidation type="decimal" operator="greaterThanOrEqual" allowBlank="1" showInputMessage="1" showErrorMessage="1" promptTitle="Premissa do cenário" prompt="Número não negativo. O modelo recalcula." sqref="Q76">
      <formula1>0</formula1>
    </dataValidation>
    <dataValidation type="decimal" operator="greaterThanOrEqual" allowBlank="1" showInputMessage="1" showErrorMessage="1" promptTitle="Premissa do cenário" prompt="Número não negativo. O modelo recalcula." sqref="R76">
      <formula1>0</formula1>
    </dataValidation>
    <dataValidation type="decimal" operator="greaterThanOrEqual" allowBlank="1" showInputMessage="1" showErrorMessage="1" promptTitle="Premissa do cenário" prompt="Número não negativo. O modelo recalcula." sqref="S76">
      <formula1>0</formula1>
    </dataValidation>
    <dataValidation type="decimal" operator="greaterThanOrEqual" allowBlank="1" showInputMessage="1" showErrorMessage="1" promptTitle="Premissa do cenário" prompt="Número não negativo. O modelo recalcula." sqref="T76">
      <formula1>0</formula1>
    </dataValidation>
    <dataValidation type="decimal" operator="greaterThanOrEqual" allowBlank="1" showInputMessage="1" showErrorMessage="1" promptTitle="Premissa do cenário" prompt="Número não negativo. O modelo recalcula." sqref="U76">
      <formula1>0</formula1>
    </dataValidation>
    <dataValidation type="decimal" operator="greaterThanOrEqual" allowBlank="1" showInputMessage="1" showErrorMessage="1" promptTitle="Premissa do cenário" prompt="Número não negativo. O modelo recalcula." sqref="V76">
      <formula1>0</formula1>
    </dataValidation>
    <dataValidation type="decimal" operator="greaterThanOrEqual" allowBlank="1" showInputMessage="1" showErrorMessage="1" promptTitle="Premissa do cenário" prompt="Número não negativo. O modelo recalcula." sqref="W76">
      <formula1>0</formula1>
    </dataValidation>
    <dataValidation type="decimal" operator="greaterThanOrEqual" allowBlank="1" showInputMessage="1" showErrorMessage="1" promptTitle="Premissa do cenário" prompt="Número não negativo. O modelo recalcula." sqref="X76">
      <formula1>0</formula1>
    </dataValidation>
    <dataValidation type="decimal" operator="greaterThanOrEqual" allowBlank="1" showInputMessage="1" showErrorMessage="1" promptTitle="Premissa do cenário" prompt="Número não negativo. O modelo recalcula." sqref="Y76">
      <formula1>0</formula1>
    </dataValidation>
    <dataValidation type="decimal" operator="greaterThanOrEqual" allowBlank="1" showInputMessage="1" showErrorMessage="1" promptTitle="Premissa do cenário" prompt="Número não negativo. O modelo recalcula." sqref="C77">
      <formula1>0</formula1>
    </dataValidation>
    <dataValidation type="decimal" operator="greaterThanOrEqual" allowBlank="1" showInputMessage="1" showErrorMessage="1" promptTitle="Premissa do cenário" prompt="Número não negativo. O modelo recalcula." sqref="D77">
      <formula1>0</formula1>
    </dataValidation>
    <dataValidation type="decimal" operator="greaterThanOrEqual" allowBlank="1" showInputMessage="1" showErrorMessage="1" promptTitle="Premissa do cenário" prompt="Número não negativo. O modelo recalcula." sqref="E77">
      <formula1>0</formula1>
    </dataValidation>
    <dataValidation type="decimal" operator="greaterThanOrEqual" allowBlank="1" showInputMessage="1" showErrorMessage="1" promptTitle="Premissa do cenário" prompt="Número não negativo. O modelo recalcula." sqref="F77">
      <formula1>0</formula1>
    </dataValidation>
    <dataValidation type="decimal" operator="greaterThanOrEqual" allowBlank="1" showInputMessage="1" showErrorMessage="1" promptTitle="Premissa do cenário" prompt="Número não negativo. O modelo recalcula." sqref="G77">
      <formula1>0</formula1>
    </dataValidation>
    <dataValidation type="decimal" operator="greaterThanOrEqual" allowBlank="1" showInputMessage="1" showErrorMessage="1" promptTitle="Premissa do cenário" prompt="Número não negativo. O modelo recalcula." sqref="O77">
      <formula1>0</formula1>
    </dataValidation>
    <dataValidation type="decimal" operator="greaterThanOrEqual" allowBlank="1" showInputMessage="1" showErrorMessage="1" promptTitle="Premissa do cenário" prompt="Número não negativo. O modelo recalcula." sqref="P77">
      <formula1>0</formula1>
    </dataValidation>
    <dataValidation type="decimal" operator="greaterThanOrEqual" allowBlank="1" showInputMessage="1" showErrorMessage="1" promptTitle="Premissa do cenário" prompt="Número não negativo. O modelo recalcula." sqref="Q77">
      <formula1>0</formula1>
    </dataValidation>
    <dataValidation type="decimal" operator="greaterThanOrEqual" allowBlank="1" showInputMessage="1" showErrorMessage="1" promptTitle="Premissa do cenário" prompt="Número não negativo. O modelo recalcula." sqref="R77">
      <formula1>0</formula1>
    </dataValidation>
    <dataValidation type="decimal" operator="greaterThanOrEqual" allowBlank="1" showInputMessage="1" showErrorMessage="1" promptTitle="Premissa do cenário" prompt="Número não negativo. O modelo recalcula." sqref="S77">
      <formula1>0</formula1>
    </dataValidation>
    <dataValidation type="decimal" operator="greaterThanOrEqual" allowBlank="1" showInputMessage="1" showErrorMessage="1" promptTitle="Premissa do cenário" prompt="Número não negativo. O modelo recalcula." sqref="T77">
      <formula1>0</formula1>
    </dataValidation>
    <dataValidation type="decimal" operator="greaterThanOrEqual" allowBlank="1" showInputMessage="1" showErrorMessage="1" promptTitle="Premissa do cenário" prompt="Número não negativo. O modelo recalcula." sqref="U77">
      <formula1>0</formula1>
    </dataValidation>
    <dataValidation type="decimal" operator="greaterThanOrEqual" allowBlank="1" showInputMessage="1" showErrorMessage="1" promptTitle="Premissa do cenário" prompt="Número não negativo. O modelo recalcula." sqref="V77">
      <formula1>0</formula1>
    </dataValidation>
    <dataValidation type="decimal" operator="greaterThanOrEqual" allowBlank="1" showInputMessage="1" showErrorMessage="1" promptTitle="Premissa do cenário" prompt="Número não negativo. O modelo recalcula." sqref="W77">
      <formula1>0</formula1>
    </dataValidation>
    <dataValidation type="decimal" operator="greaterThanOrEqual" allowBlank="1" showInputMessage="1" showErrorMessage="1" promptTitle="Premissa do cenário" prompt="Número não negativo. O modelo recalcula." sqref="X77">
      <formula1>0</formula1>
    </dataValidation>
    <dataValidation type="decimal" operator="greaterThanOrEqual" allowBlank="1" showInputMessage="1" showErrorMessage="1" promptTitle="Premissa do cenário" prompt="Número não negativo. O modelo recalcula." sqref="Y77">
      <formula1>0</formula1>
    </dataValidation>
    <dataValidation type="decimal" operator="greaterThanOrEqual" allowBlank="1" showInputMessage="1" showErrorMessage="1" promptTitle="Premissa do cenário" prompt="Número não negativo. O modelo recalcula." sqref="C78">
      <formula1>0</formula1>
    </dataValidation>
    <dataValidation type="decimal" operator="greaterThanOrEqual" allowBlank="1" showInputMessage="1" showErrorMessage="1" promptTitle="Premissa do cenário" prompt="Número não negativo. O modelo recalcula." sqref="D78">
      <formula1>0</formula1>
    </dataValidation>
    <dataValidation type="decimal" operator="greaterThanOrEqual" allowBlank="1" showInputMessage="1" showErrorMessage="1" promptTitle="Premissa do cenário" prompt="Número não negativo. O modelo recalcula." sqref="E78">
      <formula1>0</formula1>
    </dataValidation>
    <dataValidation type="decimal" operator="greaterThanOrEqual" allowBlank="1" showInputMessage="1" showErrorMessage="1" promptTitle="Premissa do cenário" prompt="Número não negativo. O modelo recalcula." sqref="F78">
      <formula1>0</formula1>
    </dataValidation>
    <dataValidation type="decimal" operator="greaterThanOrEqual" allowBlank="1" showInputMessage="1" showErrorMessage="1" promptTitle="Premissa do cenário" prompt="Número não negativo. O modelo recalcula." sqref="G78">
      <formula1>0</formula1>
    </dataValidation>
    <dataValidation type="decimal" operator="greaterThanOrEqual" allowBlank="1" showInputMessage="1" showErrorMessage="1" promptTitle="Premissa do cenário" prompt="Número não negativo. O modelo recalcula." sqref="O78">
      <formula1>0</formula1>
    </dataValidation>
    <dataValidation type="decimal" operator="greaterThanOrEqual" allowBlank="1" showInputMessage="1" showErrorMessage="1" promptTitle="Premissa do cenário" prompt="Número não negativo. O modelo recalcula." sqref="P78">
      <formula1>0</formula1>
    </dataValidation>
    <dataValidation type="decimal" operator="greaterThanOrEqual" allowBlank="1" showInputMessage="1" showErrorMessage="1" promptTitle="Premissa do cenário" prompt="Número não negativo. O modelo recalcula." sqref="Q78">
      <formula1>0</formula1>
    </dataValidation>
    <dataValidation type="decimal" operator="greaterThanOrEqual" allowBlank="1" showInputMessage="1" showErrorMessage="1" promptTitle="Premissa do cenário" prompt="Número não negativo. O modelo recalcula." sqref="R78">
      <formula1>0</formula1>
    </dataValidation>
    <dataValidation type="decimal" operator="greaterThanOrEqual" allowBlank="1" showInputMessage="1" showErrorMessage="1" promptTitle="Premissa do cenário" prompt="Número não negativo. O modelo recalcula." sqref="S78">
      <formula1>0</formula1>
    </dataValidation>
    <dataValidation type="decimal" operator="greaterThanOrEqual" allowBlank="1" showInputMessage="1" showErrorMessage="1" promptTitle="Premissa do cenário" prompt="Número não negativo. O modelo recalcula." sqref="T78">
      <formula1>0</formula1>
    </dataValidation>
    <dataValidation type="decimal" operator="greaterThanOrEqual" allowBlank="1" showInputMessage="1" showErrorMessage="1" promptTitle="Premissa do cenário" prompt="Número não negativo. O modelo recalcula." sqref="U78">
      <formula1>0</formula1>
    </dataValidation>
    <dataValidation type="decimal" operator="greaterThanOrEqual" allowBlank="1" showInputMessage="1" showErrorMessage="1" promptTitle="Premissa do cenário" prompt="Número não negativo. O modelo recalcula." sqref="V78">
      <formula1>0</formula1>
    </dataValidation>
    <dataValidation type="decimal" operator="greaterThanOrEqual" allowBlank="1" showInputMessage="1" showErrorMessage="1" promptTitle="Premissa do cenário" prompt="Número não negativo. O modelo recalcula." sqref="W78">
      <formula1>0</formula1>
    </dataValidation>
    <dataValidation type="decimal" operator="greaterThanOrEqual" allowBlank="1" showInputMessage="1" showErrorMessage="1" promptTitle="Premissa do cenário" prompt="Número não negativo. O modelo recalcula." sqref="X78">
      <formula1>0</formula1>
    </dataValidation>
    <dataValidation type="decimal" operator="greaterThanOrEqual" allowBlank="1" showInputMessage="1" showErrorMessage="1" promptTitle="Premissa do cenário" prompt="Número não negativo. O modelo recalcula." sqref="Y78">
      <formula1>0</formula1>
    </dataValidation>
    <dataValidation type="decimal" operator="greaterThanOrEqual" allowBlank="1" showInputMessage="1" showErrorMessage="1" promptTitle="Premissa do cenário" prompt="Número não negativo. O modelo recalcula." sqref="C79">
      <formula1>0</formula1>
    </dataValidation>
    <dataValidation type="decimal" operator="greaterThanOrEqual" allowBlank="1" showInputMessage="1" showErrorMessage="1" promptTitle="Premissa do cenário" prompt="Número não negativo. O modelo recalcula." sqref="D79">
      <formula1>0</formula1>
    </dataValidation>
    <dataValidation type="decimal" operator="greaterThanOrEqual" allowBlank="1" showInputMessage="1" showErrorMessage="1" promptTitle="Premissa do cenário" prompt="Número não negativo. O modelo recalcula." sqref="E79">
      <formula1>0</formula1>
    </dataValidation>
    <dataValidation type="decimal" operator="greaterThanOrEqual" allowBlank="1" showInputMessage="1" showErrorMessage="1" promptTitle="Premissa do cenário" prompt="Número não negativo. O modelo recalcula." sqref="F79">
      <formula1>0</formula1>
    </dataValidation>
    <dataValidation type="decimal" operator="greaterThanOrEqual" allowBlank="1" showInputMessage="1" showErrorMessage="1" promptTitle="Premissa do cenário" prompt="Número não negativo. O modelo recalcula." sqref="G79">
      <formula1>0</formula1>
    </dataValidation>
    <dataValidation type="decimal" operator="greaterThanOrEqual" allowBlank="1" showInputMessage="1" showErrorMessage="1" promptTitle="Premissa do cenário" prompt="Número não negativo. O modelo recalcula." sqref="O79">
      <formula1>0</formula1>
    </dataValidation>
    <dataValidation type="decimal" operator="greaterThanOrEqual" allowBlank="1" showInputMessage="1" showErrorMessage="1" promptTitle="Premissa do cenário" prompt="Número não negativo. O modelo recalcula." sqref="P79">
      <formula1>0</formula1>
    </dataValidation>
    <dataValidation type="decimal" operator="greaterThanOrEqual" allowBlank="1" showInputMessage="1" showErrorMessage="1" promptTitle="Premissa do cenário" prompt="Número não negativo. O modelo recalcula." sqref="Q79">
      <formula1>0</formula1>
    </dataValidation>
    <dataValidation type="decimal" operator="greaterThanOrEqual" allowBlank="1" showInputMessage="1" showErrorMessage="1" promptTitle="Premissa do cenário" prompt="Número não negativo. O modelo recalcula." sqref="R79">
      <formula1>0</formula1>
    </dataValidation>
    <dataValidation type="decimal" operator="greaterThanOrEqual" allowBlank="1" showInputMessage="1" showErrorMessage="1" promptTitle="Premissa do cenário" prompt="Número não negativo. O modelo recalcula." sqref="S79">
      <formula1>0</formula1>
    </dataValidation>
    <dataValidation type="decimal" operator="greaterThanOrEqual" allowBlank="1" showInputMessage="1" showErrorMessage="1" promptTitle="Premissa do cenário" prompt="Número não negativo. O modelo recalcula." sqref="T79">
      <formula1>0</formula1>
    </dataValidation>
    <dataValidation type="decimal" operator="greaterThanOrEqual" allowBlank="1" showInputMessage="1" showErrorMessage="1" promptTitle="Premissa do cenário" prompt="Número não negativo. O modelo recalcula." sqref="U79">
      <formula1>0</formula1>
    </dataValidation>
    <dataValidation type="decimal" operator="greaterThanOrEqual" allowBlank="1" showInputMessage="1" showErrorMessage="1" promptTitle="Premissa do cenário" prompt="Número não negativo. O modelo recalcula." sqref="V79">
      <formula1>0</formula1>
    </dataValidation>
    <dataValidation type="decimal" operator="greaterThanOrEqual" allowBlank="1" showInputMessage="1" showErrorMessage="1" promptTitle="Premissa do cenário" prompt="Número não negativo. O modelo recalcula." sqref="W79">
      <formula1>0</formula1>
    </dataValidation>
    <dataValidation type="decimal" operator="greaterThanOrEqual" allowBlank="1" showInputMessage="1" showErrorMessage="1" promptTitle="Premissa do cenário" prompt="Número não negativo. O modelo recalcula." sqref="X79">
      <formula1>0</formula1>
    </dataValidation>
    <dataValidation type="decimal" operator="greaterThanOrEqual" allowBlank="1" showInputMessage="1" showErrorMessage="1" promptTitle="Premissa do cenário" prompt="Número não negativo. O modelo recalcula." sqref="Y79">
      <formula1>0</formula1>
    </dataValidation>
    <dataValidation type="decimal" operator="greaterThanOrEqual" allowBlank="1" showInputMessage="1" showErrorMessage="1" promptTitle="Premissa do cenário" prompt="Número não negativo. O modelo recalcula." sqref="C80">
      <formula1>0</formula1>
    </dataValidation>
    <dataValidation type="decimal" operator="greaterThanOrEqual" allowBlank="1" showInputMessage="1" showErrorMessage="1" promptTitle="Premissa do cenário" prompt="Número não negativo. O modelo recalcula." sqref="D80">
      <formula1>0</formula1>
    </dataValidation>
    <dataValidation type="decimal" operator="greaterThanOrEqual" allowBlank="1" showInputMessage="1" showErrorMessage="1" promptTitle="Premissa do cenário" prompt="Número não negativo. O modelo recalcula." sqref="E80">
      <formula1>0</formula1>
    </dataValidation>
    <dataValidation type="decimal" operator="greaterThanOrEqual" allowBlank="1" showInputMessage="1" showErrorMessage="1" promptTitle="Premissa do cenário" prompt="Número não negativo. O modelo recalcula." sqref="F80">
      <formula1>0</formula1>
    </dataValidation>
    <dataValidation type="decimal" operator="greaterThanOrEqual" allowBlank="1" showInputMessage="1" showErrorMessage="1" promptTitle="Premissa do cenário" prompt="Número não negativo. O modelo recalcula." sqref="G80">
      <formula1>0</formula1>
    </dataValidation>
    <dataValidation type="decimal" operator="greaterThanOrEqual" allowBlank="1" showInputMessage="1" showErrorMessage="1" promptTitle="Premissa do cenário" prompt="Número não negativo. O modelo recalcula." sqref="O80">
      <formula1>0</formula1>
    </dataValidation>
    <dataValidation type="decimal" operator="greaterThanOrEqual" allowBlank="1" showInputMessage="1" showErrorMessage="1" promptTitle="Premissa do cenário" prompt="Número não negativo. O modelo recalcula." sqref="P80">
      <formula1>0</formula1>
    </dataValidation>
    <dataValidation type="decimal" operator="greaterThanOrEqual" allowBlank="1" showInputMessage="1" showErrorMessage="1" promptTitle="Premissa do cenário" prompt="Número não negativo. O modelo recalcula." sqref="Q80">
      <formula1>0</formula1>
    </dataValidation>
    <dataValidation type="decimal" operator="greaterThanOrEqual" allowBlank="1" showInputMessage="1" showErrorMessage="1" promptTitle="Premissa do cenário" prompt="Número não negativo. O modelo recalcula." sqref="R80">
      <formula1>0</formula1>
    </dataValidation>
    <dataValidation type="decimal" operator="greaterThanOrEqual" allowBlank="1" showInputMessage="1" showErrorMessage="1" promptTitle="Premissa do cenário" prompt="Número não negativo. O modelo recalcula." sqref="S80">
      <formula1>0</formula1>
    </dataValidation>
    <dataValidation type="decimal" operator="greaterThanOrEqual" allowBlank="1" showInputMessage="1" showErrorMessage="1" promptTitle="Premissa do cenário" prompt="Número não negativo. O modelo recalcula." sqref="T80">
      <formula1>0</formula1>
    </dataValidation>
    <dataValidation type="decimal" operator="greaterThanOrEqual" allowBlank="1" showInputMessage="1" showErrorMessage="1" promptTitle="Premissa do cenário" prompt="Número não negativo. O modelo recalcula." sqref="U80">
      <formula1>0</formula1>
    </dataValidation>
    <dataValidation type="decimal" operator="greaterThanOrEqual" allowBlank="1" showInputMessage="1" showErrorMessage="1" promptTitle="Premissa do cenário" prompt="Número não negativo. O modelo recalcula." sqref="V80">
      <formula1>0</formula1>
    </dataValidation>
    <dataValidation type="decimal" operator="greaterThanOrEqual" allowBlank="1" showInputMessage="1" showErrorMessage="1" promptTitle="Premissa do cenário" prompt="Número não negativo. O modelo recalcula." sqref="W80">
      <formula1>0</formula1>
    </dataValidation>
    <dataValidation type="decimal" operator="greaterThanOrEqual" allowBlank="1" showInputMessage="1" showErrorMessage="1" promptTitle="Premissa do cenário" prompt="Número não negativo. O modelo recalcula." sqref="X80">
      <formula1>0</formula1>
    </dataValidation>
    <dataValidation type="decimal" operator="greaterThanOrEqual" allowBlank="1" showInputMessage="1" showErrorMessage="1" promptTitle="Premissa do cenário" prompt="Número não negativo. O modelo recalcula." sqref="Y80">
      <formula1>0</formula1>
    </dataValidation>
    <dataValidation type="decimal" operator="greaterThanOrEqual" allowBlank="1" showInputMessage="1" showErrorMessage="1" promptTitle="Premissa do cenário" prompt="Número não negativo. O modelo recalcula." sqref="C81">
      <formula1>0</formula1>
    </dataValidation>
    <dataValidation type="decimal" operator="greaterThanOrEqual" allowBlank="1" showInputMessage="1" showErrorMessage="1" promptTitle="Premissa do cenário" prompt="Número não negativo. O modelo recalcula." sqref="D81">
      <formula1>0</formula1>
    </dataValidation>
    <dataValidation type="decimal" operator="greaterThanOrEqual" allowBlank="1" showInputMessage="1" showErrorMessage="1" promptTitle="Premissa do cenário" prompt="Número não negativo. O modelo recalcula." sqref="E81">
      <formula1>0</formula1>
    </dataValidation>
    <dataValidation type="decimal" operator="greaterThanOrEqual" allowBlank="1" showInputMessage="1" showErrorMessage="1" promptTitle="Premissa do cenário" prompt="Número não negativo. O modelo recalcula." sqref="F81">
      <formula1>0</formula1>
    </dataValidation>
    <dataValidation type="decimal" operator="greaterThanOrEqual" allowBlank="1" showInputMessage="1" showErrorMessage="1" promptTitle="Premissa do cenário" prompt="Número não negativo. O modelo recalcula." sqref="G81">
      <formula1>0</formula1>
    </dataValidation>
    <dataValidation type="decimal" operator="greaterThanOrEqual" allowBlank="1" showInputMessage="1" showErrorMessage="1" promptTitle="Premissa do cenário" prompt="Número não negativo. O modelo recalcula." sqref="O81">
      <formula1>0</formula1>
    </dataValidation>
    <dataValidation type="decimal" operator="greaterThanOrEqual" allowBlank="1" showInputMessage="1" showErrorMessage="1" promptTitle="Premissa do cenário" prompt="Número não negativo. O modelo recalcula." sqref="P81">
      <formula1>0</formula1>
    </dataValidation>
    <dataValidation type="decimal" operator="greaterThanOrEqual" allowBlank="1" showInputMessage="1" showErrorMessage="1" promptTitle="Premissa do cenário" prompt="Número não negativo. O modelo recalcula." sqref="Q81">
      <formula1>0</formula1>
    </dataValidation>
    <dataValidation type="decimal" operator="greaterThanOrEqual" allowBlank="1" showInputMessage="1" showErrorMessage="1" promptTitle="Premissa do cenário" prompt="Número não negativo. O modelo recalcula." sqref="R81">
      <formula1>0</formula1>
    </dataValidation>
    <dataValidation type="decimal" operator="greaterThanOrEqual" allowBlank="1" showInputMessage="1" showErrorMessage="1" promptTitle="Premissa do cenário" prompt="Número não negativo. O modelo recalcula." sqref="S81">
      <formula1>0</formula1>
    </dataValidation>
    <dataValidation type="decimal" operator="greaterThanOrEqual" allowBlank="1" showInputMessage="1" showErrorMessage="1" promptTitle="Premissa do cenário" prompt="Número não negativo. O modelo recalcula." sqref="T81">
      <formula1>0</formula1>
    </dataValidation>
    <dataValidation type="decimal" operator="greaterThanOrEqual" allowBlank="1" showInputMessage="1" showErrorMessage="1" promptTitle="Premissa do cenário" prompt="Número não negativo. O modelo recalcula." sqref="U81">
      <formula1>0</formula1>
    </dataValidation>
    <dataValidation type="decimal" operator="greaterThanOrEqual" allowBlank="1" showInputMessage="1" showErrorMessage="1" promptTitle="Premissa do cenário" prompt="Número não negativo. O modelo recalcula." sqref="V81">
      <formula1>0</formula1>
    </dataValidation>
    <dataValidation type="decimal" operator="greaterThanOrEqual" allowBlank="1" showInputMessage="1" showErrorMessage="1" promptTitle="Premissa do cenário" prompt="Número não negativo. O modelo recalcula." sqref="W81">
      <formula1>0</formula1>
    </dataValidation>
    <dataValidation type="decimal" operator="greaterThanOrEqual" allowBlank="1" showInputMessage="1" showErrorMessage="1" promptTitle="Premissa do cenário" prompt="Número não negativo. O modelo recalcula." sqref="X81">
      <formula1>0</formula1>
    </dataValidation>
    <dataValidation type="decimal" operator="greaterThanOrEqual" allowBlank="1" showInputMessage="1" showErrorMessage="1" promptTitle="Premissa do cenário" prompt="Número não negativo. O modelo recalcula." sqref="Y81">
      <formula1>0</formula1>
    </dataValidation>
    <dataValidation type="decimal" operator="greaterThanOrEqual" allowBlank="1" showInputMessage="1" showErrorMessage="1" promptTitle="Premissa do cenário" prompt="Número não negativo. O modelo recalcula." sqref="C82">
      <formula1>0</formula1>
    </dataValidation>
    <dataValidation type="decimal" operator="greaterThanOrEqual" allowBlank="1" showInputMessage="1" showErrorMessage="1" promptTitle="Premissa do cenário" prompt="Número não negativo. O modelo recalcula." sqref="D82">
      <formula1>0</formula1>
    </dataValidation>
    <dataValidation type="decimal" operator="greaterThanOrEqual" allowBlank="1" showInputMessage="1" showErrorMessage="1" promptTitle="Premissa do cenário" prompt="Número não negativo. O modelo recalcula." sqref="E82">
      <formula1>0</formula1>
    </dataValidation>
    <dataValidation type="decimal" operator="greaterThanOrEqual" allowBlank="1" showInputMessage="1" showErrorMessage="1" promptTitle="Premissa do cenário" prompt="Número não negativo. O modelo recalcula." sqref="F82">
      <formula1>0</formula1>
    </dataValidation>
    <dataValidation type="decimal" operator="greaterThanOrEqual" allowBlank="1" showInputMessage="1" showErrorMessage="1" promptTitle="Premissa do cenário" prompt="Número não negativo. O modelo recalcula." sqref="G82">
      <formula1>0</formula1>
    </dataValidation>
    <dataValidation type="decimal" operator="greaterThanOrEqual" allowBlank="1" showInputMessage="1" showErrorMessage="1" promptTitle="Premissa do cenário" prompt="Número não negativo. O modelo recalcula." sqref="O82">
      <formula1>0</formula1>
    </dataValidation>
    <dataValidation type="decimal" operator="greaterThanOrEqual" allowBlank="1" showInputMessage="1" showErrorMessage="1" promptTitle="Premissa do cenário" prompt="Número não negativo. O modelo recalcula." sqref="P82">
      <formula1>0</formula1>
    </dataValidation>
    <dataValidation type="decimal" operator="greaterThanOrEqual" allowBlank="1" showInputMessage="1" showErrorMessage="1" promptTitle="Premissa do cenário" prompt="Número não negativo. O modelo recalcula." sqref="Q82">
      <formula1>0</formula1>
    </dataValidation>
    <dataValidation type="decimal" operator="greaterThanOrEqual" allowBlank="1" showInputMessage="1" showErrorMessage="1" promptTitle="Premissa do cenário" prompt="Número não negativo. O modelo recalcula." sqref="R82">
      <formula1>0</formula1>
    </dataValidation>
    <dataValidation type="decimal" operator="greaterThanOrEqual" allowBlank="1" showInputMessage="1" showErrorMessage="1" promptTitle="Premissa do cenário" prompt="Número não negativo. O modelo recalcula." sqref="S82">
      <formula1>0</formula1>
    </dataValidation>
    <dataValidation type="decimal" operator="greaterThanOrEqual" allowBlank="1" showInputMessage="1" showErrorMessage="1" promptTitle="Premissa do cenário" prompt="Número não negativo. O modelo recalcula." sqref="T82">
      <formula1>0</formula1>
    </dataValidation>
    <dataValidation type="decimal" operator="greaterThanOrEqual" allowBlank="1" showInputMessage="1" showErrorMessage="1" promptTitle="Premissa do cenário" prompt="Número não negativo. O modelo recalcula." sqref="U82">
      <formula1>0</formula1>
    </dataValidation>
    <dataValidation type="decimal" operator="greaterThanOrEqual" allowBlank="1" showInputMessage="1" showErrorMessage="1" promptTitle="Premissa do cenário" prompt="Número não negativo. O modelo recalcula." sqref="V82">
      <formula1>0</formula1>
    </dataValidation>
    <dataValidation type="decimal" operator="greaterThanOrEqual" allowBlank="1" showInputMessage="1" showErrorMessage="1" promptTitle="Premissa do cenário" prompt="Número não negativo. O modelo recalcula." sqref="W82">
      <formula1>0</formula1>
    </dataValidation>
    <dataValidation type="decimal" operator="greaterThanOrEqual" allowBlank="1" showInputMessage="1" showErrorMessage="1" promptTitle="Premissa do cenário" prompt="Número não negativo. O modelo recalcula." sqref="X82">
      <formula1>0</formula1>
    </dataValidation>
    <dataValidation type="decimal" operator="greaterThanOrEqual" allowBlank="1" showInputMessage="1" showErrorMessage="1" promptTitle="Premissa do cenário" prompt="Número não negativo. O modelo recalcula." sqref="Y82">
      <formula1>0</formula1>
    </dataValidation>
    <dataValidation type="decimal" operator="greaterThanOrEqual" allowBlank="1" showInputMessage="1" showErrorMessage="1" promptTitle="Premissa do cenário" prompt="Número não negativo. O modelo recalcula." sqref="C83">
      <formula1>0</formula1>
    </dataValidation>
    <dataValidation type="decimal" operator="greaterThanOrEqual" allowBlank="1" showInputMessage="1" showErrorMessage="1" promptTitle="Premissa do cenário" prompt="Número não negativo. O modelo recalcula." sqref="D83">
      <formula1>0</formula1>
    </dataValidation>
    <dataValidation type="decimal" operator="greaterThanOrEqual" allowBlank="1" showInputMessage="1" showErrorMessage="1" promptTitle="Premissa do cenário" prompt="Número não negativo. O modelo recalcula." sqref="E83">
      <formula1>0</formula1>
    </dataValidation>
    <dataValidation type="decimal" operator="greaterThanOrEqual" allowBlank="1" showInputMessage="1" showErrorMessage="1" promptTitle="Premissa do cenário" prompt="Número não negativo. O modelo recalcula." sqref="F83">
      <formula1>0</formula1>
    </dataValidation>
    <dataValidation type="decimal" operator="greaterThanOrEqual" allowBlank="1" showInputMessage="1" showErrorMessage="1" promptTitle="Premissa do cenário" prompt="Número não negativo. O modelo recalcula." sqref="G83">
      <formula1>0</formula1>
    </dataValidation>
    <dataValidation type="decimal" operator="greaterThanOrEqual" allowBlank="1" showInputMessage="1" showErrorMessage="1" promptTitle="Premissa do cenário" prompt="Número não negativo. O modelo recalcula." sqref="O83">
      <formula1>0</formula1>
    </dataValidation>
    <dataValidation type="decimal" operator="greaterThanOrEqual" allowBlank="1" showInputMessage="1" showErrorMessage="1" promptTitle="Premissa do cenário" prompt="Número não negativo. O modelo recalcula." sqref="P83">
      <formula1>0</formula1>
    </dataValidation>
    <dataValidation type="decimal" operator="greaterThanOrEqual" allowBlank="1" showInputMessage="1" showErrorMessage="1" promptTitle="Premissa do cenário" prompt="Número não negativo. O modelo recalcula." sqref="Q83">
      <formula1>0</formula1>
    </dataValidation>
    <dataValidation type="decimal" operator="greaterThanOrEqual" allowBlank="1" showInputMessage="1" showErrorMessage="1" promptTitle="Premissa do cenário" prompt="Número não negativo. O modelo recalcula." sqref="R83">
      <formula1>0</formula1>
    </dataValidation>
    <dataValidation type="decimal" operator="greaterThanOrEqual" allowBlank="1" showInputMessage="1" showErrorMessage="1" promptTitle="Premissa do cenário" prompt="Número não negativo. O modelo recalcula." sqref="S83">
      <formula1>0</formula1>
    </dataValidation>
    <dataValidation type="decimal" operator="greaterThanOrEqual" allowBlank="1" showInputMessage="1" showErrorMessage="1" promptTitle="Premissa do cenário" prompt="Número não negativo. O modelo recalcula." sqref="T83">
      <formula1>0</formula1>
    </dataValidation>
    <dataValidation type="decimal" operator="greaterThanOrEqual" allowBlank="1" showInputMessage="1" showErrorMessage="1" promptTitle="Premissa do cenário" prompt="Número não negativo. O modelo recalcula." sqref="U83">
      <formula1>0</formula1>
    </dataValidation>
    <dataValidation type="decimal" operator="greaterThanOrEqual" allowBlank="1" showInputMessage="1" showErrorMessage="1" promptTitle="Premissa do cenário" prompt="Número não negativo. O modelo recalcula." sqref="V83">
      <formula1>0</formula1>
    </dataValidation>
    <dataValidation type="decimal" operator="greaterThanOrEqual" allowBlank="1" showInputMessage="1" showErrorMessage="1" promptTitle="Premissa do cenário" prompt="Número não negativo. O modelo recalcula." sqref="W83">
      <formula1>0</formula1>
    </dataValidation>
    <dataValidation type="decimal" operator="greaterThanOrEqual" allowBlank="1" showInputMessage="1" showErrorMessage="1" promptTitle="Premissa do cenário" prompt="Número não negativo. O modelo recalcula." sqref="X83">
      <formula1>0</formula1>
    </dataValidation>
    <dataValidation type="decimal" operator="greaterThanOrEqual" allowBlank="1" showInputMessage="1" showErrorMessage="1" promptTitle="Premissa do cenário" prompt="Número não negativo. O modelo recalcula." sqref="Y83">
      <formula1>0</formula1>
    </dataValidation>
    <dataValidation type="decimal" operator="greaterThanOrEqual" allowBlank="1" showInputMessage="1" showErrorMessage="1" promptTitle="Premissa do cenário" prompt="Número não negativo. O modelo recalcula." sqref="C84">
      <formula1>0</formula1>
    </dataValidation>
    <dataValidation type="decimal" operator="greaterThanOrEqual" allowBlank="1" showInputMessage="1" showErrorMessage="1" promptTitle="Premissa do cenário" prompt="Número não negativo. O modelo recalcula." sqref="D84">
      <formula1>0</formula1>
    </dataValidation>
    <dataValidation type="decimal" operator="greaterThanOrEqual" allowBlank="1" showInputMessage="1" showErrorMessage="1" promptTitle="Premissa do cenário" prompt="Número não negativo. O modelo recalcula." sqref="E84">
      <formula1>0</formula1>
    </dataValidation>
    <dataValidation type="decimal" operator="greaterThanOrEqual" allowBlank="1" showInputMessage="1" showErrorMessage="1" promptTitle="Premissa do cenário" prompt="Número não negativo. O modelo recalcula." sqref="F84">
      <formula1>0</formula1>
    </dataValidation>
    <dataValidation type="decimal" operator="greaterThanOrEqual" allowBlank="1" showInputMessage="1" showErrorMessage="1" promptTitle="Premissa do cenário" prompt="Número não negativo. O modelo recalcula." sqref="G84">
      <formula1>0</formula1>
    </dataValidation>
    <dataValidation type="decimal" operator="greaterThanOrEqual" allowBlank="1" showInputMessage="1" showErrorMessage="1" promptTitle="Premissa do cenário" prompt="Número não negativo. O modelo recalcula." sqref="O84">
      <formula1>0</formula1>
    </dataValidation>
    <dataValidation type="decimal" operator="greaterThanOrEqual" allowBlank="1" showInputMessage="1" showErrorMessage="1" promptTitle="Premissa do cenário" prompt="Número não negativo. O modelo recalcula." sqref="P84">
      <formula1>0</formula1>
    </dataValidation>
    <dataValidation type="decimal" operator="greaterThanOrEqual" allowBlank="1" showInputMessage="1" showErrorMessage="1" promptTitle="Premissa do cenário" prompt="Número não negativo. O modelo recalcula." sqref="Q84">
      <formula1>0</formula1>
    </dataValidation>
    <dataValidation type="decimal" operator="greaterThanOrEqual" allowBlank="1" showInputMessage="1" showErrorMessage="1" promptTitle="Premissa do cenário" prompt="Número não negativo. O modelo recalcula." sqref="R84">
      <formula1>0</formula1>
    </dataValidation>
    <dataValidation type="decimal" operator="greaterThanOrEqual" allowBlank="1" showInputMessage="1" showErrorMessage="1" promptTitle="Premissa do cenário" prompt="Número não negativo. O modelo recalcula." sqref="S84">
      <formula1>0</formula1>
    </dataValidation>
    <dataValidation type="decimal" operator="greaterThanOrEqual" allowBlank="1" showInputMessage="1" showErrorMessage="1" promptTitle="Premissa do cenário" prompt="Número não negativo. O modelo recalcula." sqref="T84">
      <formula1>0</formula1>
    </dataValidation>
    <dataValidation type="decimal" operator="greaterThanOrEqual" allowBlank="1" showInputMessage="1" showErrorMessage="1" promptTitle="Premissa do cenário" prompt="Número não negativo. O modelo recalcula." sqref="U84">
      <formula1>0</formula1>
    </dataValidation>
    <dataValidation type="decimal" operator="greaterThanOrEqual" allowBlank="1" showInputMessage="1" showErrorMessage="1" promptTitle="Premissa do cenário" prompt="Número não negativo. O modelo recalcula." sqref="V84">
      <formula1>0</formula1>
    </dataValidation>
    <dataValidation type="decimal" operator="greaterThanOrEqual" allowBlank="1" showInputMessage="1" showErrorMessage="1" promptTitle="Premissa do cenário" prompt="Número não negativo. O modelo recalcula." sqref="W84">
      <formula1>0</formula1>
    </dataValidation>
    <dataValidation type="decimal" operator="greaterThanOrEqual" allowBlank="1" showInputMessage="1" showErrorMessage="1" promptTitle="Premissa do cenário" prompt="Número não negativo. O modelo recalcula." sqref="X84">
      <formula1>0</formula1>
    </dataValidation>
    <dataValidation type="decimal" operator="greaterThanOrEqual" allowBlank="1" showInputMessage="1" showErrorMessage="1" promptTitle="Premissa do cenário" prompt="Número não negativo. O modelo recalcula." sqref="Y84">
      <formula1>0</formula1>
    </dataValidation>
    <dataValidation type="decimal" operator="greaterThanOrEqual" allowBlank="1" showInputMessage="1" showErrorMessage="1" promptTitle="Premissa do cenário" prompt="Número não negativo. O modelo recalcula." sqref="C85">
      <formula1>0</formula1>
    </dataValidation>
    <dataValidation type="decimal" operator="greaterThanOrEqual" allowBlank="1" showInputMessage="1" showErrorMessage="1" promptTitle="Premissa do cenário" prompt="Número não negativo. O modelo recalcula." sqref="D85">
      <formula1>0</formula1>
    </dataValidation>
    <dataValidation type="decimal" operator="greaterThanOrEqual" allowBlank="1" showInputMessage="1" showErrorMessage="1" promptTitle="Premissa do cenário" prompt="Número não negativo. O modelo recalcula." sqref="E85">
      <formula1>0</formula1>
    </dataValidation>
    <dataValidation type="decimal" operator="greaterThanOrEqual" allowBlank="1" showInputMessage="1" showErrorMessage="1" promptTitle="Premissa do cenário" prompt="Número não negativo. O modelo recalcula." sqref="F85">
      <formula1>0</formula1>
    </dataValidation>
    <dataValidation type="decimal" operator="greaterThanOrEqual" allowBlank="1" showInputMessage="1" showErrorMessage="1" promptTitle="Premissa do cenário" prompt="Número não negativo. O modelo recalcula." sqref="G85">
      <formula1>0</formula1>
    </dataValidation>
    <dataValidation type="decimal" operator="greaterThanOrEqual" allowBlank="1" showInputMessage="1" showErrorMessage="1" promptTitle="Premissa do cenário" prompt="Número não negativo. O modelo recalcula." sqref="O85">
      <formula1>0</formula1>
    </dataValidation>
    <dataValidation type="decimal" operator="greaterThanOrEqual" allowBlank="1" showInputMessage="1" showErrorMessage="1" promptTitle="Premissa do cenário" prompt="Número não negativo. O modelo recalcula." sqref="P85">
      <formula1>0</formula1>
    </dataValidation>
    <dataValidation type="decimal" operator="greaterThanOrEqual" allowBlank="1" showInputMessage="1" showErrorMessage="1" promptTitle="Premissa do cenário" prompt="Número não negativo. O modelo recalcula." sqref="Q85">
      <formula1>0</formula1>
    </dataValidation>
    <dataValidation type="decimal" operator="greaterThanOrEqual" allowBlank="1" showInputMessage="1" showErrorMessage="1" promptTitle="Premissa do cenário" prompt="Número não negativo. O modelo recalcula." sqref="R85">
      <formula1>0</formula1>
    </dataValidation>
    <dataValidation type="decimal" operator="greaterThanOrEqual" allowBlank="1" showInputMessage="1" showErrorMessage="1" promptTitle="Premissa do cenário" prompt="Número não negativo. O modelo recalcula." sqref="S85">
      <formula1>0</formula1>
    </dataValidation>
    <dataValidation type="decimal" operator="greaterThanOrEqual" allowBlank="1" showInputMessage="1" showErrorMessage="1" promptTitle="Premissa do cenário" prompt="Número não negativo. O modelo recalcula." sqref="T85">
      <formula1>0</formula1>
    </dataValidation>
    <dataValidation type="decimal" operator="greaterThanOrEqual" allowBlank="1" showInputMessage="1" showErrorMessage="1" promptTitle="Premissa do cenário" prompt="Número não negativo. O modelo recalcula." sqref="U85">
      <formula1>0</formula1>
    </dataValidation>
    <dataValidation type="decimal" operator="greaterThanOrEqual" allowBlank="1" showInputMessage="1" showErrorMessage="1" promptTitle="Premissa do cenário" prompt="Número não negativo. O modelo recalcula." sqref="V85">
      <formula1>0</formula1>
    </dataValidation>
    <dataValidation type="decimal" operator="greaterThanOrEqual" allowBlank="1" showInputMessage="1" showErrorMessage="1" promptTitle="Premissa do cenário" prompt="Número não negativo. O modelo recalcula." sqref="W85">
      <formula1>0</formula1>
    </dataValidation>
    <dataValidation type="decimal" operator="greaterThanOrEqual" allowBlank="1" showInputMessage="1" showErrorMessage="1" promptTitle="Premissa do cenário" prompt="Número não negativo. O modelo recalcula." sqref="X85">
      <formula1>0</formula1>
    </dataValidation>
    <dataValidation type="decimal" operator="greaterThanOrEqual" allowBlank="1" showInputMessage="1" showErrorMessage="1" promptTitle="Premissa do cenário" prompt="Número não negativo. O modelo recalcula." sqref="Y85">
      <formula1>0</formula1>
    </dataValidation>
    <dataValidation type="decimal" operator="greaterThanOrEqual" allowBlank="1" showInputMessage="1" showErrorMessage="1" promptTitle="Premissa do cenário" prompt="Número não negativo. O modelo recalcula." sqref="C86">
      <formula1>0</formula1>
    </dataValidation>
    <dataValidation type="decimal" operator="greaterThanOrEqual" allowBlank="1" showInputMessage="1" showErrorMessage="1" promptTitle="Premissa do cenário" prompt="Número não negativo. O modelo recalcula." sqref="D86">
      <formula1>0</formula1>
    </dataValidation>
    <dataValidation type="decimal" operator="greaterThanOrEqual" allowBlank="1" showInputMessage="1" showErrorMessage="1" promptTitle="Premissa do cenário" prompt="Número não negativo. O modelo recalcula." sqref="E86">
      <formula1>0</formula1>
    </dataValidation>
    <dataValidation type="decimal" operator="greaterThanOrEqual" allowBlank="1" showInputMessage="1" showErrorMessage="1" promptTitle="Premissa do cenário" prompt="Número não negativo. O modelo recalcula." sqref="F86">
      <formula1>0</formula1>
    </dataValidation>
    <dataValidation type="decimal" operator="greaterThanOrEqual" allowBlank="1" showInputMessage="1" showErrorMessage="1" promptTitle="Premissa do cenário" prompt="Número não negativo. O modelo recalcula." sqref="G86">
      <formula1>0</formula1>
    </dataValidation>
    <dataValidation type="decimal" operator="greaterThanOrEqual" allowBlank="1" showInputMessage="1" showErrorMessage="1" promptTitle="Premissa do cenário" prompt="Número não negativo. O modelo recalcula." sqref="O86">
      <formula1>0</formula1>
    </dataValidation>
    <dataValidation type="decimal" operator="greaterThanOrEqual" allowBlank="1" showInputMessage="1" showErrorMessage="1" promptTitle="Premissa do cenário" prompt="Número não negativo. O modelo recalcula." sqref="P86">
      <formula1>0</formula1>
    </dataValidation>
    <dataValidation type="decimal" operator="greaterThanOrEqual" allowBlank="1" showInputMessage="1" showErrorMessage="1" promptTitle="Premissa do cenário" prompt="Número não negativo. O modelo recalcula." sqref="Q86">
      <formula1>0</formula1>
    </dataValidation>
    <dataValidation type="decimal" operator="greaterThanOrEqual" allowBlank="1" showInputMessage="1" showErrorMessage="1" promptTitle="Premissa do cenário" prompt="Número não negativo. O modelo recalcula." sqref="R86">
      <formula1>0</formula1>
    </dataValidation>
    <dataValidation type="decimal" operator="greaterThanOrEqual" allowBlank="1" showInputMessage="1" showErrorMessage="1" promptTitle="Premissa do cenário" prompt="Número não negativo. O modelo recalcula." sqref="S86">
      <formula1>0</formula1>
    </dataValidation>
    <dataValidation type="decimal" operator="greaterThanOrEqual" allowBlank="1" showInputMessage="1" showErrorMessage="1" promptTitle="Premissa do cenário" prompt="Número não negativo. O modelo recalcula." sqref="T86">
      <formula1>0</formula1>
    </dataValidation>
    <dataValidation type="decimal" operator="greaterThanOrEqual" allowBlank="1" showInputMessage="1" showErrorMessage="1" promptTitle="Premissa do cenário" prompt="Número não negativo. O modelo recalcula." sqref="U86">
      <formula1>0</formula1>
    </dataValidation>
    <dataValidation type="decimal" operator="greaterThanOrEqual" allowBlank="1" showInputMessage="1" showErrorMessage="1" promptTitle="Premissa do cenário" prompt="Número não negativo. O modelo recalcula." sqref="V86">
      <formula1>0</formula1>
    </dataValidation>
    <dataValidation type="decimal" operator="greaterThanOrEqual" allowBlank="1" showInputMessage="1" showErrorMessage="1" promptTitle="Premissa do cenário" prompt="Número não negativo. O modelo recalcula." sqref="W86">
      <formula1>0</formula1>
    </dataValidation>
    <dataValidation type="decimal" operator="greaterThanOrEqual" allowBlank="1" showInputMessage="1" showErrorMessage="1" promptTitle="Premissa do cenário" prompt="Número não negativo. O modelo recalcula." sqref="X86">
      <formula1>0</formula1>
    </dataValidation>
    <dataValidation type="decimal" operator="greaterThanOrEqual" allowBlank="1" showInputMessage="1" showErrorMessage="1" promptTitle="Premissa do cenário" prompt="Número não negativo. O modelo recalcula." sqref="Y86">
      <formula1>0</formula1>
    </dataValidation>
    <dataValidation type="decimal" operator="greaterThanOrEqual" allowBlank="1" showInputMessage="1" showErrorMessage="1" promptTitle="Premissa do cenário" prompt="Número não negativo. O modelo recalcula." sqref="C87">
      <formula1>0</formula1>
    </dataValidation>
    <dataValidation type="decimal" operator="greaterThanOrEqual" allowBlank="1" showInputMessage="1" showErrorMessage="1" promptTitle="Premissa do cenário" prompt="Número não negativo. O modelo recalcula." sqref="D87">
      <formula1>0</formula1>
    </dataValidation>
    <dataValidation type="decimal" operator="greaterThanOrEqual" allowBlank="1" showInputMessage="1" showErrorMessage="1" promptTitle="Premissa do cenário" prompt="Número não negativo. O modelo recalcula." sqref="E87">
      <formula1>0</formula1>
    </dataValidation>
    <dataValidation type="decimal" operator="greaterThanOrEqual" allowBlank="1" showInputMessage="1" showErrorMessage="1" promptTitle="Premissa do cenário" prompt="Número não negativo. O modelo recalcula." sqref="F87">
      <formula1>0</formula1>
    </dataValidation>
    <dataValidation type="decimal" operator="greaterThanOrEqual" allowBlank="1" showInputMessage="1" showErrorMessage="1" promptTitle="Premissa do cenário" prompt="Número não negativo. O modelo recalcula." sqref="G87">
      <formula1>0</formula1>
    </dataValidation>
    <dataValidation type="decimal" operator="greaterThanOrEqual" allowBlank="1" showInputMessage="1" showErrorMessage="1" promptTitle="Premissa do cenário" prompt="Número não negativo. O modelo recalcula." sqref="O87">
      <formula1>0</formula1>
    </dataValidation>
    <dataValidation type="decimal" operator="greaterThanOrEqual" allowBlank="1" showInputMessage="1" showErrorMessage="1" promptTitle="Premissa do cenário" prompt="Número não negativo. O modelo recalcula." sqref="P87">
      <formula1>0</formula1>
    </dataValidation>
    <dataValidation type="decimal" operator="greaterThanOrEqual" allowBlank="1" showInputMessage="1" showErrorMessage="1" promptTitle="Premissa do cenário" prompt="Número não negativo. O modelo recalcula." sqref="Q87">
      <formula1>0</formula1>
    </dataValidation>
    <dataValidation type="decimal" operator="greaterThanOrEqual" allowBlank="1" showInputMessage="1" showErrorMessage="1" promptTitle="Premissa do cenário" prompt="Número não negativo. O modelo recalcula." sqref="R87">
      <formula1>0</formula1>
    </dataValidation>
    <dataValidation type="decimal" operator="greaterThanOrEqual" allowBlank="1" showInputMessage="1" showErrorMessage="1" promptTitle="Premissa do cenário" prompt="Número não negativo. O modelo recalcula." sqref="S87">
      <formula1>0</formula1>
    </dataValidation>
    <dataValidation type="decimal" operator="greaterThanOrEqual" allowBlank="1" showInputMessage="1" showErrorMessage="1" promptTitle="Premissa do cenário" prompt="Número não negativo. O modelo recalcula." sqref="T87">
      <formula1>0</formula1>
    </dataValidation>
    <dataValidation type="decimal" operator="greaterThanOrEqual" allowBlank="1" showInputMessage="1" showErrorMessage="1" promptTitle="Premissa do cenário" prompt="Número não negativo. O modelo recalcula." sqref="U87">
      <formula1>0</formula1>
    </dataValidation>
    <dataValidation type="decimal" operator="greaterThanOrEqual" allowBlank="1" showInputMessage="1" showErrorMessage="1" promptTitle="Premissa do cenário" prompt="Número não negativo. O modelo recalcula." sqref="V87">
      <formula1>0</formula1>
    </dataValidation>
    <dataValidation type="decimal" operator="greaterThanOrEqual" allowBlank="1" showInputMessage="1" showErrorMessage="1" promptTitle="Premissa do cenário" prompt="Número não negativo. O modelo recalcula." sqref="W87">
      <formula1>0</formula1>
    </dataValidation>
    <dataValidation type="decimal" operator="greaterThanOrEqual" allowBlank="1" showInputMessage="1" showErrorMessage="1" promptTitle="Premissa do cenário" prompt="Número não negativo. O modelo recalcula." sqref="X87">
      <formula1>0</formula1>
    </dataValidation>
    <dataValidation type="decimal" operator="greaterThanOrEqual" allowBlank="1" showInputMessage="1" showErrorMessage="1" promptTitle="Premissa do cenário" prompt="Número não negativo. O modelo recalcula." sqref="Y87">
      <formula1>0</formula1>
    </dataValidation>
    <dataValidation type="decimal" operator="greaterThanOrEqual" allowBlank="1" showInputMessage="1" showErrorMessage="1" promptTitle="Premissa do cenário" prompt="Número não negativo. O modelo recalcula." sqref="C88">
      <formula1>0</formula1>
    </dataValidation>
    <dataValidation type="decimal" operator="greaterThanOrEqual" allowBlank="1" showInputMessage="1" showErrorMessage="1" promptTitle="Premissa do cenário" prompt="Número não negativo. O modelo recalcula." sqref="D88">
      <formula1>0</formula1>
    </dataValidation>
    <dataValidation type="decimal" operator="greaterThanOrEqual" allowBlank="1" showInputMessage="1" showErrorMessage="1" promptTitle="Premissa do cenário" prompt="Número não negativo. O modelo recalcula." sqref="E88">
      <formula1>0</formula1>
    </dataValidation>
    <dataValidation type="decimal" operator="greaterThanOrEqual" allowBlank="1" showInputMessage="1" showErrorMessage="1" promptTitle="Premissa do cenário" prompt="Número não negativo. O modelo recalcula." sqref="F88">
      <formula1>0</formula1>
    </dataValidation>
    <dataValidation type="decimal" operator="greaterThanOrEqual" allowBlank="1" showInputMessage="1" showErrorMessage="1" promptTitle="Premissa do cenário" prompt="Número não negativo. O modelo recalcula." sqref="G88">
      <formula1>0</formula1>
    </dataValidation>
    <dataValidation type="decimal" operator="greaterThanOrEqual" allowBlank="1" showInputMessage="1" showErrorMessage="1" promptTitle="Premissa do cenário" prompt="Número não negativo. O modelo recalcula." sqref="O88">
      <formula1>0</formula1>
    </dataValidation>
    <dataValidation type="decimal" operator="greaterThanOrEqual" allowBlank="1" showInputMessage="1" showErrorMessage="1" promptTitle="Premissa do cenário" prompt="Número não negativo. O modelo recalcula." sqref="P88">
      <formula1>0</formula1>
    </dataValidation>
    <dataValidation type="decimal" operator="greaterThanOrEqual" allowBlank="1" showInputMessage="1" showErrorMessage="1" promptTitle="Premissa do cenário" prompt="Número não negativo. O modelo recalcula." sqref="Q88">
      <formula1>0</formula1>
    </dataValidation>
    <dataValidation type="decimal" operator="greaterThanOrEqual" allowBlank="1" showInputMessage="1" showErrorMessage="1" promptTitle="Premissa do cenário" prompt="Número não negativo. O modelo recalcula." sqref="R88">
      <formula1>0</formula1>
    </dataValidation>
    <dataValidation type="decimal" operator="greaterThanOrEqual" allowBlank="1" showInputMessage="1" showErrorMessage="1" promptTitle="Premissa do cenário" prompt="Número não negativo. O modelo recalcula." sqref="S88">
      <formula1>0</formula1>
    </dataValidation>
    <dataValidation type="decimal" operator="greaterThanOrEqual" allowBlank="1" showInputMessage="1" showErrorMessage="1" promptTitle="Premissa do cenário" prompt="Número não negativo. O modelo recalcula." sqref="T88">
      <formula1>0</formula1>
    </dataValidation>
    <dataValidation type="decimal" operator="greaterThanOrEqual" allowBlank="1" showInputMessage="1" showErrorMessage="1" promptTitle="Premissa do cenário" prompt="Número não negativo. O modelo recalcula." sqref="U88">
      <formula1>0</formula1>
    </dataValidation>
    <dataValidation type="decimal" operator="greaterThanOrEqual" allowBlank="1" showInputMessage="1" showErrorMessage="1" promptTitle="Premissa do cenário" prompt="Número não negativo. O modelo recalcula." sqref="V88">
      <formula1>0</formula1>
    </dataValidation>
    <dataValidation type="decimal" operator="greaterThanOrEqual" allowBlank="1" showInputMessage="1" showErrorMessage="1" promptTitle="Premissa do cenário" prompt="Número não negativo. O modelo recalcula." sqref="W88">
      <formula1>0</formula1>
    </dataValidation>
    <dataValidation type="decimal" operator="greaterThanOrEqual" allowBlank="1" showInputMessage="1" showErrorMessage="1" promptTitle="Premissa do cenário" prompt="Número não negativo. O modelo recalcula." sqref="X88">
      <formula1>0</formula1>
    </dataValidation>
    <dataValidation type="decimal" operator="greaterThanOrEqual" allowBlank="1" showInputMessage="1" showErrorMessage="1" promptTitle="Premissa do cenário" prompt="Número não negativo. O modelo recalcula." sqref="Y88">
      <formula1>0</formula1>
    </dataValidation>
    <dataValidation type="decimal" operator="greaterThanOrEqual" allowBlank="1" showInputMessage="1" showErrorMessage="1" promptTitle="Premissa do cenário" prompt="Número não negativo. O modelo recalcula." sqref="C89">
      <formula1>0</formula1>
    </dataValidation>
    <dataValidation type="decimal" operator="greaterThanOrEqual" allowBlank="1" showInputMessage="1" showErrorMessage="1" promptTitle="Premissa do cenário" prompt="Número não negativo. O modelo recalcula." sqref="D89">
      <formula1>0</formula1>
    </dataValidation>
    <dataValidation type="decimal" operator="greaterThanOrEqual" allowBlank="1" showInputMessage="1" showErrorMessage="1" promptTitle="Premissa do cenário" prompt="Número não negativo. O modelo recalcula." sqref="E89">
      <formula1>0</formula1>
    </dataValidation>
    <dataValidation type="decimal" operator="greaterThanOrEqual" allowBlank="1" showInputMessage="1" showErrorMessage="1" promptTitle="Premissa do cenário" prompt="Número não negativo. O modelo recalcula." sqref="F89">
      <formula1>0</formula1>
    </dataValidation>
    <dataValidation type="decimal" operator="greaterThanOrEqual" allowBlank="1" showInputMessage="1" showErrorMessage="1" promptTitle="Premissa do cenário" prompt="Número não negativo. O modelo recalcula." sqref="G89">
      <formula1>0</formula1>
    </dataValidation>
    <dataValidation type="decimal" operator="greaterThanOrEqual" allowBlank="1" showInputMessage="1" showErrorMessage="1" promptTitle="Premissa do cenário" prompt="Número não negativo. O modelo recalcula." sqref="O89">
      <formula1>0</formula1>
    </dataValidation>
    <dataValidation type="decimal" operator="greaterThanOrEqual" allowBlank="1" showInputMessage="1" showErrorMessage="1" promptTitle="Premissa do cenário" prompt="Número não negativo. O modelo recalcula." sqref="P89">
      <formula1>0</formula1>
    </dataValidation>
    <dataValidation type="decimal" operator="greaterThanOrEqual" allowBlank="1" showInputMessage="1" showErrorMessage="1" promptTitle="Premissa do cenário" prompt="Número não negativo. O modelo recalcula." sqref="Q89">
      <formula1>0</formula1>
    </dataValidation>
    <dataValidation type="decimal" operator="greaterThanOrEqual" allowBlank="1" showInputMessage="1" showErrorMessage="1" promptTitle="Premissa do cenário" prompt="Número não negativo. O modelo recalcula." sqref="R89">
      <formula1>0</formula1>
    </dataValidation>
    <dataValidation type="decimal" operator="greaterThanOrEqual" allowBlank="1" showInputMessage="1" showErrorMessage="1" promptTitle="Premissa do cenário" prompt="Número não negativo. O modelo recalcula." sqref="S89">
      <formula1>0</formula1>
    </dataValidation>
    <dataValidation type="decimal" operator="greaterThanOrEqual" allowBlank="1" showInputMessage="1" showErrorMessage="1" promptTitle="Premissa do cenário" prompt="Número não negativo. O modelo recalcula." sqref="T89">
      <formula1>0</formula1>
    </dataValidation>
    <dataValidation type="decimal" operator="greaterThanOrEqual" allowBlank="1" showInputMessage="1" showErrorMessage="1" promptTitle="Premissa do cenário" prompt="Número não negativo. O modelo recalcula." sqref="U89">
      <formula1>0</formula1>
    </dataValidation>
    <dataValidation type="decimal" operator="greaterThanOrEqual" allowBlank="1" showInputMessage="1" showErrorMessage="1" promptTitle="Premissa do cenário" prompt="Número não negativo. O modelo recalcula." sqref="V89">
      <formula1>0</formula1>
    </dataValidation>
    <dataValidation type="decimal" operator="greaterThanOrEqual" allowBlank="1" showInputMessage="1" showErrorMessage="1" promptTitle="Premissa do cenário" prompt="Número não negativo. O modelo recalcula." sqref="W89">
      <formula1>0</formula1>
    </dataValidation>
    <dataValidation type="decimal" operator="greaterThanOrEqual" allowBlank="1" showInputMessage="1" showErrorMessage="1" promptTitle="Premissa do cenário" prompt="Número não negativo. O modelo recalcula." sqref="X89">
      <formula1>0</formula1>
    </dataValidation>
    <dataValidation type="decimal" operator="greaterThanOrEqual" allowBlank="1" showInputMessage="1" showErrorMessage="1" promptTitle="Premissa do cenário" prompt="Número não negativo. O modelo recalcula." sqref="Y89">
      <formula1>0</formula1>
    </dataValidation>
    <dataValidation type="decimal" operator="greaterThanOrEqual" allowBlank="1" showInputMessage="1" showErrorMessage="1" promptTitle="Premissa do cenário" prompt="Número não negativo. O modelo recalcula." sqref="C90">
      <formula1>0</formula1>
    </dataValidation>
    <dataValidation type="decimal" operator="greaterThanOrEqual" allowBlank="1" showInputMessage="1" showErrorMessage="1" promptTitle="Premissa do cenário" prompt="Número não negativo. O modelo recalcula." sqref="D90">
      <formula1>0</formula1>
    </dataValidation>
    <dataValidation type="decimal" operator="greaterThanOrEqual" allowBlank="1" showInputMessage="1" showErrorMessage="1" promptTitle="Premissa do cenário" prompt="Número não negativo. O modelo recalcula." sqref="E90">
      <formula1>0</formula1>
    </dataValidation>
    <dataValidation type="decimal" operator="greaterThanOrEqual" allowBlank="1" showInputMessage="1" showErrorMessage="1" promptTitle="Premissa do cenário" prompt="Número não negativo. O modelo recalcula." sqref="F90">
      <formula1>0</formula1>
    </dataValidation>
    <dataValidation type="decimal" operator="greaterThanOrEqual" allowBlank="1" showInputMessage="1" showErrorMessage="1" promptTitle="Premissa do cenário" prompt="Número não negativo. O modelo recalcula." sqref="G90">
      <formula1>0</formula1>
    </dataValidation>
    <dataValidation type="decimal" operator="greaterThanOrEqual" allowBlank="1" showInputMessage="1" showErrorMessage="1" promptTitle="Premissa do cenário" prompt="Número não negativo. O modelo recalcula." sqref="O90">
      <formula1>0</formula1>
    </dataValidation>
    <dataValidation type="decimal" operator="greaterThanOrEqual" allowBlank="1" showInputMessage="1" showErrorMessage="1" promptTitle="Premissa do cenário" prompt="Número não negativo. O modelo recalcula." sqref="P90">
      <formula1>0</formula1>
    </dataValidation>
    <dataValidation type="decimal" operator="greaterThanOrEqual" allowBlank="1" showInputMessage="1" showErrorMessage="1" promptTitle="Premissa do cenário" prompt="Número não negativo. O modelo recalcula." sqref="Q90">
      <formula1>0</formula1>
    </dataValidation>
    <dataValidation type="decimal" operator="greaterThanOrEqual" allowBlank="1" showInputMessage="1" showErrorMessage="1" promptTitle="Premissa do cenário" prompt="Número não negativo. O modelo recalcula." sqref="R90">
      <formula1>0</formula1>
    </dataValidation>
    <dataValidation type="decimal" operator="greaterThanOrEqual" allowBlank="1" showInputMessage="1" showErrorMessage="1" promptTitle="Premissa do cenário" prompt="Número não negativo. O modelo recalcula." sqref="S90">
      <formula1>0</formula1>
    </dataValidation>
    <dataValidation type="decimal" operator="greaterThanOrEqual" allowBlank="1" showInputMessage="1" showErrorMessage="1" promptTitle="Premissa do cenário" prompt="Número não negativo. O modelo recalcula." sqref="T90">
      <formula1>0</formula1>
    </dataValidation>
    <dataValidation type="decimal" operator="greaterThanOrEqual" allowBlank="1" showInputMessage="1" showErrorMessage="1" promptTitle="Premissa do cenário" prompt="Número não negativo. O modelo recalcula." sqref="U90">
      <formula1>0</formula1>
    </dataValidation>
    <dataValidation type="decimal" operator="greaterThanOrEqual" allowBlank="1" showInputMessage="1" showErrorMessage="1" promptTitle="Premissa do cenário" prompt="Número não negativo. O modelo recalcula." sqref="V90">
      <formula1>0</formula1>
    </dataValidation>
    <dataValidation type="decimal" operator="greaterThanOrEqual" allowBlank="1" showInputMessage="1" showErrorMessage="1" promptTitle="Premissa do cenário" prompt="Número não negativo. O modelo recalcula." sqref="W90">
      <formula1>0</formula1>
    </dataValidation>
    <dataValidation type="decimal" operator="greaterThanOrEqual" allowBlank="1" showInputMessage="1" showErrorMessage="1" promptTitle="Premissa do cenário" prompt="Número não negativo. O modelo recalcula." sqref="X90">
      <formula1>0</formula1>
    </dataValidation>
    <dataValidation type="decimal" operator="greaterThanOrEqual" allowBlank="1" showInputMessage="1" showErrorMessage="1" promptTitle="Premissa do cenário" prompt="Número não negativo. O modelo recalcula." sqref="Y90">
      <formula1>0</formula1>
    </dataValidation>
    <dataValidation type="decimal" operator="greaterThanOrEqual" allowBlank="1" showInputMessage="1" showErrorMessage="1" promptTitle="Premissa do cenário" prompt="Número não negativo. O modelo recalcula." sqref="C91">
      <formula1>0</formula1>
    </dataValidation>
    <dataValidation type="decimal" operator="greaterThanOrEqual" allowBlank="1" showInputMessage="1" showErrorMessage="1" promptTitle="Premissa do cenário" prompt="Número não negativo. O modelo recalcula." sqref="D91">
      <formula1>0</formula1>
    </dataValidation>
    <dataValidation type="decimal" operator="greaterThanOrEqual" allowBlank="1" showInputMessage="1" showErrorMessage="1" promptTitle="Premissa do cenário" prompt="Número não negativo. O modelo recalcula." sqref="E91">
      <formula1>0</formula1>
    </dataValidation>
    <dataValidation type="decimal" operator="greaterThanOrEqual" allowBlank="1" showInputMessage="1" showErrorMessage="1" promptTitle="Premissa do cenário" prompt="Número não negativo. O modelo recalcula." sqref="F91">
      <formula1>0</formula1>
    </dataValidation>
    <dataValidation type="decimal" operator="greaterThanOrEqual" allowBlank="1" showInputMessage="1" showErrorMessage="1" promptTitle="Premissa do cenário" prompt="Número não negativo. O modelo recalcula." sqref="G91">
      <formula1>0</formula1>
    </dataValidation>
    <dataValidation type="decimal" operator="greaterThanOrEqual" allowBlank="1" showInputMessage="1" showErrorMessage="1" promptTitle="Premissa do cenário" prompt="Número não negativo. O modelo recalcula." sqref="O91">
      <formula1>0</formula1>
    </dataValidation>
    <dataValidation type="decimal" operator="greaterThanOrEqual" allowBlank="1" showInputMessage="1" showErrorMessage="1" promptTitle="Premissa do cenário" prompt="Número não negativo. O modelo recalcula." sqref="P91">
      <formula1>0</formula1>
    </dataValidation>
    <dataValidation type="decimal" operator="greaterThanOrEqual" allowBlank="1" showInputMessage="1" showErrorMessage="1" promptTitle="Premissa do cenário" prompt="Número não negativo. O modelo recalcula." sqref="Q91">
      <formula1>0</formula1>
    </dataValidation>
    <dataValidation type="decimal" operator="greaterThanOrEqual" allowBlank="1" showInputMessage="1" showErrorMessage="1" promptTitle="Premissa do cenário" prompt="Número não negativo. O modelo recalcula." sqref="R91">
      <formula1>0</formula1>
    </dataValidation>
    <dataValidation type="decimal" operator="greaterThanOrEqual" allowBlank="1" showInputMessage="1" showErrorMessage="1" promptTitle="Premissa do cenário" prompt="Número não negativo. O modelo recalcula." sqref="S91">
      <formula1>0</formula1>
    </dataValidation>
    <dataValidation type="decimal" operator="greaterThanOrEqual" allowBlank="1" showInputMessage="1" showErrorMessage="1" promptTitle="Premissa do cenário" prompt="Número não negativo. O modelo recalcula." sqref="T91">
      <formula1>0</formula1>
    </dataValidation>
    <dataValidation type="decimal" operator="greaterThanOrEqual" allowBlank="1" showInputMessage="1" showErrorMessage="1" promptTitle="Premissa do cenário" prompt="Número não negativo. O modelo recalcula." sqref="U91">
      <formula1>0</formula1>
    </dataValidation>
    <dataValidation type="decimal" operator="greaterThanOrEqual" allowBlank="1" showInputMessage="1" showErrorMessage="1" promptTitle="Premissa do cenário" prompt="Número não negativo. O modelo recalcula." sqref="V91">
      <formula1>0</formula1>
    </dataValidation>
    <dataValidation type="decimal" operator="greaterThanOrEqual" allowBlank="1" showInputMessage="1" showErrorMessage="1" promptTitle="Premissa do cenário" prompt="Número não negativo. O modelo recalcula." sqref="W91">
      <formula1>0</formula1>
    </dataValidation>
    <dataValidation type="decimal" operator="greaterThanOrEqual" allowBlank="1" showInputMessage="1" showErrorMessage="1" promptTitle="Premissa do cenário" prompt="Número não negativo. O modelo recalcula." sqref="X91">
      <formula1>0</formula1>
    </dataValidation>
    <dataValidation type="decimal" operator="greaterThanOrEqual" allowBlank="1" showInputMessage="1" showErrorMessage="1" promptTitle="Premissa do cenário" prompt="Número não negativo. O modelo recalcula." sqref="Y91">
      <formula1>0</formula1>
    </dataValidation>
    <dataValidation type="decimal" operator="greaterThanOrEqual" allowBlank="1" showInputMessage="1" showErrorMessage="1" promptTitle="Premissa do cenário" prompt="Número não negativo. O modelo recalcula." sqref="C92">
      <formula1>0</formula1>
    </dataValidation>
    <dataValidation type="decimal" operator="greaterThanOrEqual" allowBlank="1" showInputMessage="1" showErrorMessage="1" promptTitle="Premissa do cenário" prompt="Número não negativo. O modelo recalcula." sqref="D92">
      <formula1>0</formula1>
    </dataValidation>
    <dataValidation type="decimal" operator="greaterThanOrEqual" allowBlank="1" showInputMessage="1" showErrorMessage="1" promptTitle="Premissa do cenário" prompt="Número não negativo. O modelo recalcula." sqref="E92">
      <formula1>0</formula1>
    </dataValidation>
    <dataValidation type="decimal" operator="greaterThanOrEqual" allowBlank="1" showInputMessage="1" showErrorMessage="1" promptTitle="Premissa do cenário" prompt="Número não negativo. O modelo recalcula." sqref="F92">
      <formula1>0</formula1>
    </dataValidation>
    <dataValidation type="decimal" operator="greaterThanOrEqual" allowBlank="1" showInputMessage="1" showErrorMessage="1" promptTitle="Premissa do cenário" prompt="Número não negativo. O modelo recalcula." sqref="G92">
      <formula1>0</formula1>
    </dataValidation>
    <dataValidation type="decimal" operator="greaterThanOrEqual" allowBlank="1" showInputMessage="1" showErrorMessage="1" promptTitle="Premissa do cenário" prompt="Número não negativo. O modelo recalcula." sqref="O92">
      <formula1>0</formula1>
    </dataValidation>
    <dataValidation type="decimal" operator="greaterThanOrEqual" allowBlank="1" showInputMessage="1" showErrorMessage="1" promptTitle="Premissa do cenário" prompt="Número não negativo. O modelo recalcula." sqref="P92">
      <formula1>0</formula1>
    </dataValidation>
    <dataValidation type="decimal" operator="greaterThanOrEqual" allowBlank="1" showInputMessage="1" showErrorMessage="1" promptTitle="Premissa do cenário" prompt="Número não negativo. O modelo recalcula." sqref="Q92">
      <formula1>0</formula1>
    </dataValidation>
    <dataValidation type="decimal" operator="greaterThanOrEqual" allowBlank="1" showInputMessage="1" showErrorMessage="1" promptTitle="Premissa do cenário" prompt="Número não negativo. O modelo recalcula." sqref="R92">
      <formula1>0</formula1>
    </dataValidation>
    <dataValidation type="decimal" operator="greaterThanOrEqual" allowBlank="1" showInputMessage="1" showErrorMessage="1" promptTitle="Premissa do cenário" prompt="Número não negativo. O modelo recalcula." sqref="S92">
      <formula1>0</formula1>
    </dataValidation>
    <dataValidation type="decimal" operator="greaterThanOrEqual" allowBlank="1" showInputMessage="1" showErrorMessage="1" promptTitle="Premissa do cenário" prompt="Número não negativo. O modelo recalcula." sqref="T92">
      <formula1>0</formula1>
    </dataValidation>
    <dataValidation type="decimal" operator="greaterThanOrEqual" allowBlank="1" showInputMessage="1" showErrorMessage="1" promptTitle="Premissa do cenário" prompt="Número não negativo. O modelo recalcula." sqref="U92">
      <formula1>0</formula1>
    </dataValidation>
    <dataValidation type="decimal" operator="greaterThanOrEqual" allowBlank="1" showInputMessage="1" showErrorMessage="1" promptTitle="Premissa do cenário" prompt="Número não negativo. O modelo recalcula." sqref="V92">
      <formula1>0</formula1>
    </dataValidation>
    <dataValidation type="decimal" operator="greaterThanOrEqual" allowBlank="1" showInputMessage="1" showErrorMessage="1" promptTitle="Premissa do cenário" prompt="Número não negativo. O modelo recalcula." sqref="W92">
      <formula1>0</formula1>
    </dataValidation>
    <dataValidation type="decimal" operator="greaterThanOrEqual" allowBlank="1" showInputMessage="1" showErrorMessage="1" promptTitle="Premissa do cenário" prompt="Número não negativo. O modelo recalcula." sqref="X92">
      <formula1>0</formula1>
    </dataValidation>
    <dataValidation type="decimal" operator="greaterThanOrEqual" allowBlank="1" showInputMessage="1" showErrorMessage="1" promptTitle="Premissa do cenário" prompt="Número não negativo. O modelo recalcula." sqref="Y92">
      <formula1>0</formula1>
    </dataValidation>
    <dataValidation type="decimal" operator="greaterThanOrEqual" allowBlank="1" showInputMessage="1" showErrorMessage="1" promptTitle="Premissa do cenário" prompt="Número não negativo. O modelo recalcula." sqref="C93">
      <formula1>0</formula1>
    </dataValidation>
    <dataValidation type="decimal" operator="greaterThanOrEqual" allowBlank="1" showInputMessage="1" showErrorMessage="1" promptTitle="Premissa do cenário" prompt="Número não negativo. O modelo recalcula." sqref="D93">
      <formula1>0</formula1>
    </dataValidation>
    <dataValidation type="decimal" operator="greaterThanOrEqual" allowBlank="1" showInputMessage="1" showErrorMessage="1" promptTitle="Premissa do cenário" prompt="Número não negativo. O modelo recalcula." sqref="E93">
      <formula1>0</formula1>
    </dataValidation>
    <dataValidation type="decimal" operator="greaterThanOrEqual" allowBlank="1" showInputMessage="1" showErrorMessage="1" promptTitle="Premissa do cenário" prompt="Número não negativo. O modelo recalcula." sqref="F93">
      <formula1>0</formula1>
    </dataValidation>
    <dataValidation type="decimal" operator="greaterThanOrEqual" allowBlank="1" showInputMessage="1" showErrorMessage="1" promptTitle="Premissa do cenário" prompt="Número não negativo. O modelo recalcula." sqref="G93">
      <formula1>0</formula1>
    </dataValidation>
    <dataValidation type="decimal" operator="greaterThanOrEqual" allowBlank="1" showInputMessage="1" showErrorMessage="1" promptTitle="Premissa do cenário" prompt="Número não negativo. O modelo recalcula." sqref="O93">
      <formula1>0</formula1>
    </dataValidation>
    <dataValidation type="decimal" operator="greaterThanOrEqual" allowBlank="1" showInputMessage="1" showErrorMessage="1" promptTitle="Premissa do cenário" prompt="Número não negativo. O modelo recalcula." sqref="P93">
      <formula1>0</formula1>
    </dataValidation>
    <dataValidation type="decimal" operator="greaterThanOrEqual" allowBlank="1" showInputMessage="1" showErrorMessage="1" promptTitle="Premissa do cenário" prompt="Número não negativo. O modelo recalcula." sqref="Q93">
      <formula1>0</formula1>
    </dataValidation>
    <dataValidation type="decimal" operator="greaterThanOrEqual" allowBlank="1" showInputMessage="1" showErrorMessage="1" promptTitle="Premissa do cenário" prompt="Número não negativo. O modelo recalcula." sqref="R93">
      <formula1>0</formula1>
    </dataValidation>
    <dataValidation type="decimal" operator="greaterThanOrEqual" allowBlank="1" showInputMessage="1" showErrorMessage="1" promptTitle="Premissa do cenário" prompt="Número não negativo. O modelo recalcula." sqref="S93">
      <formula1>0</formula1>
    </dataValidation>
    <dataValidation type="decimal" operator="greaterThanOrEqual" allowBlank="1" showInputMessage="1" showErrorMessage="1" promptTitle="Premissa do cenário" prompt="Número não negativo. O modelo recalcula." sqref="T93">
      <formula1>0</formula1>
    </dataValidation>
    <dataValidation type="decimal" operator="greaterThanOrEqual" allowBlank="1" showInputMessage="1" showErrorMessage="1" promptTitle="Premissa do cenário" prompt="Número não negativo. O modelo recalcula." sqref="U93">
      <formula1>0</formula1>
    </dataValidation>
    <dataValidation type="decimal" operator="greaterThanOrEqual" allowBlank="1" showInputMessage="1" showErrorMessage="1" promptTitle="Premissa do cenário" prompt="Número não negativo. O modelo recalcula." sqref="V93">
      <formula1>0</formula1>
    </dataValidation>
    <dataValidation type="decimal" operator="greaterThanOrEqual" allowBlank="1" showInputMessage="1" showErrorMessage="1" promptTitle="Premissa do cenário" prompt="Número não negativo. O modelo recalcula." sqref="W93">
      <formula1>0</formula1>
    </dataValidation>
    <dataValidation type="decimal" operator="greaterThanOrEqual" allowBlank="1" showInputMessage="1" showErrorMessage="1" promptTitle="Premissa do cenário" prompt="Número não negativo. O modelo recalcula." sqref="X93">
      <formula1>0</formula1>
    </dataValidation>
    <dataValidation type="decimal" operator="greaterThanOrEqual" allowBlank="1" showInputMessage="1" showErrorMessage="1" promptTitle="Premissa do cenário" prompt="Número não negativo. O modelo recalcula." sqref="Y93">
      <formula1>0</formula1>
    </dataValidation>
    <dataValidation type="decimal" operator="greaterThanOrEqual" allowBlank="1" showInputMessage="1" showErrorMessage="1" promptTitle="Premissa do cenário" prompt="Número não negativo. O modelo recalcula." sqref="C94">
      <formula1>0</formula1>
    </dataValidation>
    <dataValidation type="decimal" operator="greaterThanOrEqual" allowBlank="1" showInputMessage="1" showErrorMessage="1" promptTitle="Premissa do cenário" prompt="Número não negativo. O modelo recalcula." sqref="D94">
      <formula1>0</formula1>
    </dataValidation>
    <dataValidation type="decimal" operator="greaterThanOrEqual" allowBlank="1" showInputMessage="1" showErrorMessage="1" promptTitle="Premissa do cenário" prompt="Número não negativo. O modelo recalcula." sqref="E94">
      <formula1>0</formula1>
    </dataValidation>
    <dataValidation type="decimal" operator="greaterThanOrEqual" allowBlank="1" showInputMessage="1" showErrorMessage="1" promptTitle="Premissa do cenário" prompt="Número não negativo. O modelo recalcula." sqref="F94">
      <formula1>0</formula1>
    </dataValidation>
    <dataValidation type="decimal" operator="greaterThanOrEqual" allowBlank="1" showInputMessage="1" showErrorMessage="1" promptTitle="Premissa do cenário" prompt="Número não negativo. O modelo recalcula." sqref="G94">
      <formula1>0</formula1>
    </dataValidation>
    <dataValidation type="decimal" operator="greaterThanOrEqual" allowBlank="1" showInputMessage="1" showErrorMessage="1" promptTitle="Premissa do cenário" prompt="Número não negativo. O modelo recalcula." sqref="O94">
      <formula1>0</formula1>
    </dataValidation>
    <dataValidation type="decimal" operator="greaterThanOrEqual" allowBlank="1" showInputMessage="1" showErrorMessage="1" promptTitle="Premissa do cenário" prompt="Número não negativo. O modelo recalcula." sqref="P94">
      <formula1>0</formula1>
    </dataValidation>
    <dataValidation type="decimal" operator="greaterThanOrEqual" allowBlank="1" showInputMessage="1" showErrorMessage="1" promptTitle="Premissa do cenário" prompt="Número não negativo. O modelo recalcula." sqref="Q94">
      <formula1>0</formula1>
    </dataValidation>
    <dataValidation type="decimal" operator="greaterThanOrEqual" allowBlank="1" showInputMessage="1" showErrorMessage="1" promptTitle="Premissa do cenário" prompt="Número não negativo. O modelo recalcula." sqref="R94">
      <formula1>0</formula1>
    </dataValidation>
    <dataValidation type="decimal" operator="greaterThanOrEqual" allowBlank="1" showInputMessage="1" showErrorMessage="1" promptTitle="Premissa do cenário" prompt="Número não negativo. O modelo recalcula." sqref="S94">
      <formula1>0</formula1>
    </dataValidation>
    <dataValidation type="decimal" operator="greaterThanOrEqual" allowBlank="1" showInputMessage="1" showErrorMessage="1" promptTitle="Premissa do cenário" prompt="Número não negativo. O modelo recalcula." sqref="T94">
      <formula1>0</formula1>
    </dataValidation>
    <dataValidation type="decimal" operator="greaterThanOrEqual" allowBlank="1" showInputMessage="1" showErrorMessage="1" promptTitle="Premissa do cenário" prompt="Número não negativo. O modelo recalcula." sqref="U94">
      <formula1>0</formula1>
    </dataValidation>
    <dataValidation type="decimal" operator="greaterThanOrEqual" allowBlank="1" showInputMessage="1" showErrorMessage="1" promptTitle="Premissa do cenário" prompt="Número não negativo. O modelo recalcula." sqref="V94">
      <formula1>0</formula1>
    </dataValidation>
    <dataValidation type="decimal" operator="greaterThanOrEqual" allowBlank="1" showInputMessage="1" showErrorMessage="1" promptTitle="Premissa do cenário" prompt="Número não negativo. O modelo recalcula." sqref="W94">
      <formula1>0</formula1>
    </dataValidation>
    <dataValidation type="decimal" operator="greaterThanOrEqual" allowBlank="1" showInputMessage="1" showErrorMessage="1" promptTitle="Premissa do cenário" prompt="Número não negativo. O modelo recalcula." sqref="X94">
      <formula1>0</formula1>
    </dataValidation>
    <dataValidation type="decimal" operator="greaterThanOrEqual" allowBlank="1" showInputMessage="1" showErrorMessage="1" promptTitle="Premissa do cenário" prompt="Número não negativo. O modelo recalcula." sqref="Y94">
      <formula1>0</formula1>
    </dataValidation>
    <dataValidation type="decimal" operator="greaterThanOrEqual" allowBlank="1" showInputMessage="1" showErrorMessage="1" promptTitle="Premissa do cenário" prompt="Número não negativo. O modelo recalcula." sqref="C95">
      <formula1>0</formula1>
    </dataValidation>
    <dataValidation type="decimal" operator="greaterThanOrEqual" allowBlank="1" showInputMessage="1" showErrorMessage="1" promptTitle="Premissa do cenário" prompt="Número não negativo. O modelo recalcula." sqref="D95">
      <formula1>0</formula1>
    </dataValidation>
    <dataValidation type="decimal" operator="greaterThanOrEqual" allowBlank="1" showInputMessage="1" showErrorMessage="1" promptTitle="Premissa do cenário" prompt="Número não negativo. O modelo recalcula." sqref="E95">
      <formula1>0</formula1>
    </dataValidation>
    <dataValidation type="decimal" operator="greaterThanOrEqual" allowBlank="1" showInputMessage="1" showErrorMessage="1" promptTitle="Premissa do cenário" prompt="Número não negativo. O modelo recalcula." sqref="F95">
      <formula1>0</formula1>
    </dataValidation>
    <dataValidation type="decimal" operator="greaterThanOrEqual" allowBlank="1" showInputMessage="1" showErrorMessage="1" promptTitle="Premissa do cenário" prompt="Número não negativo. O modelo recalcula." sqref="G95">
      <formula1>0</formula1>
    </dataValidation>
    <dataValidation type="decimal" operator="greaterThanOrEqual" allowBlank="1" showInputMessage="1" showErrorMessage="1" promptTitle="Premissa do cenário" prompt="Número não negativo. O modelo recalcula." sqref="O95">
      <formula1>0</formula1>
    </dataValidation>
    <dataValidation type="decimal" operator="greaterThanOrEqual" allowBlank="1" showInputMessage="1" showErrorMessage="1" promptTitle="Premissa do cenário" prompt="Número não negativo. O modelo recalcula." sqref="P95">
      <formula1>0</formula1>
    </dataValidation>
    <dataValidation type="decimal" operator="greaterThanOrEqual" allowBlank="1" showInputMessage="1" showErrorMessage="1" promptTitle="Premissa do cenário" prompt="Número não negativo. O modelo recalcula." sqref="Q95">
      <formula1>0</formula1>
    </dataValidation>
    <dataValidation type="decimal" operator="greaterThanOrEqual" allowBlank="1" showInputMessage="1" showErrorMessage="1" promptTitle="Premissa do cenário" prompt="Número não negativo. O modelo recalcula." sqref="R95">
      <formula1>0</formula1>
    </dataValidation>
    <dataValidation type="decimal" operator="greaterThanOrEqual" allowBlank="1" showInputMessage="1" showErrorMessage="1" promptTitle="Premissa do cenário" prompt="Número não negativo. O modelo recalcula." sqref="S95">
      <formula1>0</formula1>
    </dataValidation>
    <dataValidation type="decimal" operator="greaterThanOrEqual" allowBlank="1" showInputMessage="1" showErrorMessage="1" promptTitle="Premissa do cenário" prompt="Número não negativo. O modelo recalcula." sqref="T95">
      <formula1>0</formula1>
    </dataValidation>
    <dataValidation type="decimal" operator="greaterThanOrEqual" allowBlank="1" showInputMessage="1" showErrorMessage="1" promptTitle="Premissa do cenário" prompt="Número não negativo. O modelo recalcula." sqref="U95">
      <formula1>0</formula1>
    </dataValidation>
    <dataValidation type="decimal" operator="greaterThanOrEqual" allowBlank="1" showInputMessage="1" showErrorMessage="1" promptTitle="Premissa do cenário" prompt="Número não negativo. O modelo recalcula." sqref="V95">
      <formula1>0</formula1>
    </dataValidation>
    <dataValidation type="decimal" operator="greaterThanOrEqual" allowBlank="1" showInputMessage="1" showErrorMessage="1" promptTitle="Premissa do cenário" prompt="Número não negativo. O modelo recalcula." sqref="W95">
      <formula1>0</formula1>
    </dataValidation>
    <dataValidation type="decimal" operator="greaterThanOrEqual" allowBlank="1" showInputMessage="1" showErrorMessage="1" promptTitle="Premissa do cenário" prompt="Número não negativo. O modelo recalcula." sqref="X95">
      <formula1>0</formula1>
    </dataValidation>
    <dataValidation type="decimal" operator="greaterThanOrEqual" allowBlank="1" showInputMessage="1" showErrorMessage="1" promptTitle="Premissa do cenário" prompt="Número não negativo. O modelo recalcula." sqref="Y95">
      <formula1>0</formula1>
    </dataValidation>
    <dataValidation type="decimal" operator="greaterThanOrEqual" allowBlank="1" showInputMessage="1" showErrorMessage="1" promptTitle="Premissa do cenário" prompt="Número não negativo. O modelo recalcula." sqref="C96">
      <formula1>0</formula1>
    </dataValidation>
    <dataValidation type="decimal" operator="greaterThanOrEqual" allowBlank="1" showInputMessage="1" showErrorMessage="1" promptTitle="Premissa do cenário" prompt="Número não negativo. O modelo recalcula." sqref="D96">
      <formula1>0</formula1>
    </dataValidation>
    <dataValidation type="decimal" operator="greaterThanOrEqual" allowBlank="1" showInputMessage="1" showErrorMessage="1" promptTitle="Premissa do cenário" prompt="Número não negativo. O modelo recalcula." sqref="E96">
      <formula1>0</formula1>
    </dataValidation>
    <dataValidation type="decimal" operator="greaterThanOrEqual" allowBlank="1" showInputMessage="1" showErrorMessage="1" promptTitle="Premissa do cenário" prompt="Número não negativo. O modelo recalcula." sqref="F96">
      <formula1>0</formula1>
    </dataValidation>
    <dataValidation type="decimal" operator="greaterThanOrEqual" allowBlank="1" showInputMessage="1" showErrorMessage="1" promptTitle="Premissa do cenário" prompt="Número não negativo. O modelo recalcula." sqref="G96">
      <formula1>0</formula1>
    </dataValidation>
    <dataValidation type="decimal" operator="greaterThanOrEqual" allowBlank="1" showInputMessage="1" showErrorMessage="1" promptTitle="Premissa do cenário" prompt="Número não negativo. O modelo recalcula." sqref="O96">
      <formula1>0</formula1>
    </dataValidation>
    <dataValidation type="decimal" operator="greaterThanOrEqual" allowBlank="1" showInputMessage="1" showErrorMessage="1" promptTitle="Premissa do cenário" prompt="Número não negativo. O modelo recalcula." sqref="P96">
      <formula1>0</formula1>
    </dataValidation>
    <dataValidation type="decimal" operator="greaterThanOrEqual" allowBlank="1" showInputMessage="1" showErrorMessage="1" promptTitle="Premissa do cenário" prompt="Número não negativo. O modelo recalcula." sqref="Q96">
      <formula1>0</formula1>
    </dataValidation>
    <dataValidation type="decimal" operator="greaterThanOrEqual" allowBlank="1" showInputMessage="1" showErrorMessage="1" promptTitle="Premissa do cenário" prompt="Número não negativo. O modelo recalcula." sqref="R96">
      <formula1>0</formula1>
    </dataValidation>
    <dataValidation type="decimal" operator="greaterThanOrEqual" allowBlank="1" showInputMessage="1" showErrorMessage="1" promptTitle="Premissa do cenário" prompt="Número não negativo. O modelo recalcula." sqref="S96">
      <formula1>0</formula1>
    </dataValidation>
    <dataValidation type="decimal" operator="greaterThanOrEqual" allowBlank="1" showInputMessage="1" showErrorMessage="1" promptTitle="Premissa do cenário" prompt="Número não negativo. O modelo recalcula." sqref="T96">
      <formula1>0</formula1>
    </dataValidation>
    <dataValidation type="decimal" operator="greaterThanOrEqual" allowBlank="1" showInputMessage="1" showErrorMessage="1" promptTitle="Premissa do cenário" prompt="Número não negativo. O modelo recalcula." sqref="U96">
      <formula1>0</formula1>
    </dataValidation>
    <dataValidation type="decimal" operator="greaterThanOrEqual" allowBlank="1" showInputMessage="1" showErrorMessage="1" promptTitle="Premissa do cenário" prompt="Número não negativo. O modelo recalcula." sqref="V96">
      <formula1>0</formula1>
    </dataValidation>
    <dataValidation type="decimal" operator="greaterThanOrEqual" allowBlank="1" showInputMessage="1" showErrorMessage="1" promptTitle="Premissa do cenário" prompt="Número não negativo. O modelo recalcula." sqref="W96">
      <formula1>0</formula1>
    </dataValidation>
    <dataValidation type="decimal" operator="greaterThanOrEqual" allowBlank="1" showInputMessage="1" showErrorMessage="1" promptTitle="Premissa do cenário" prompt="Número não negativo. O modelo recalcula." sqref="X96">
      <formula1>0</formula1>
    </dataValidation>
    <dataValidation type="decimal" operator="greaterThanOrEqual" allowBlank="1" showInputMessage="1" showErrorMessage="1" promptTitle="Premissa do cenário" prompt="Número não negativo. O modelo recalcula." sqref="Y96">
      <formula1>0</formula1>
    </dataValidation>
    <dataValidation type="decimal" operator="greaterThanOrEqual" allowBlank="1" showInputMessage="1" showErrorMessage="1" promptTitle="Premissa do cenário" prompt="Número não negativo. O modelo recalcula." sqref="C97">
      <formula1>0</formula1>
    </dataValidation>
    <dataValidation type="decimal" operator="greaterThanOrEqual" allowBlank="1" showInputMessage="1" showErrorMessage="1" promptTitle="Premissa do cenário" prompt="Número não negativo. O modelo recalcula." sqref="D97">
      <formula1>0</formula1>
    </dataValidation>
    <dataValidation type="decimal" operator="greaterThanOrEqual" allowBlank="1" showInputMessage="1" showErrorMessage="1" promptTitle="Premissa do cenário" prompt="Número não negativo. O modelo recalcula." sqref="E97">
      <formula1>0</formula1>
    </dataValidation>
    <dataValidation type="decimal" operator="greaterThanOrEqual" allowBlank="1" showInputMessage="1" showErrorMessage="1" promptTitle="Premissa do cenário" prompt="Número não negativo. O modelo recalcula." sqref="F97">
      <formula1>0</formula1>
    </dataValidation>
    <dataValidation type="decimal" operator="greaterThanOrEqual" allowBlank="1" showInputMessage="1" showErrorMessage="1" promptTitle="Premissa do cenário" prompt="Número não negativo. O modelo recalcula." sqref="G97">
      <formula1>0</formula1>
    </dataValidation>
    <dataValidation type="decimal" operator="greaterThanOrEqual" allowBlank="1" showInputMessage="1" showErrorMessage="1" promptTitle="Premissa do cenário" prompt="Número não negativo. O modelo recalcula." sqref="O97">
      <formula1>0</formula1>
    </dataValidation>
    <dataValidation type="decimal" operator="greaterThanOrEqual" allowBlank="1" showInputMessage="1" showErrorMessage="1" promptTitle="Premissa do cenário" prompt="Número não negativo. O modelo recalcula." sqref="P97">
      <formula1>0</formula1>
    </dataValidation>
    <dataValidation type="decimal" operator="greaterThanOrEqual" allowBlank="1" showInputMessage="1" showErrorMessage="1" promptTitle="Premissa do cenário" prompt="Número não negativo. O modelo recalcula." sqref="Q97">
      <formula1>0</formula1>
    </dataValidation>
    <dataValidation type="decimal" operator="greaterThanOrEqual" allowBlank="1" showInputMessage="1" showErrorMessage="1" promptTitle="Premissa do cenário" prompt="Número não negativo. O modelo recalcula." sqref="R97">
      <formula1>0</formula1>
    </dataValidation>
    <dataValidation type="decimal" operator="greaterThanOrEqual" allowBlank="1" showInputMessage="1" showErrorMessage="1" promptTitle="Premissa do cenário" prompt="Número não negativo. O modelo recalcula." sqref="S97">
      <formula1>0</formula1>
    </dataValidation>
    <dataValidation type="decimal" operator="greaterThanOrEqual" allowBlank="1" showInputMessage="1" showErrorMessage="1" promptTitle="Premissa do cenário" prompt="Número não negativo. O modelo recalcula." sqref="T97">
      <formula1>0</formula1>
    </dataValidation>
    <dataValidation type="decimal" operator="greaterThanOrEqual" allowBlank="1" showInputMessage="1" showErrorMessage="1" promptTitle="Premissa do cenário" prompt="Número não negativo. O modelo recalcula." sqref="U97">
      <formula1>0</formula1>
    </dataValidation>
    <dataValidation type="decimal" operator="greaterThanOrEqual" allowBlank="1" showInputMessage="1" showErrorMessage="1" promptTitle="Premissa do cenário" prompt="Número não negativo. O modelo recalcula." sqref="V97">
      <formula1>0</formula1>
    </dataValidation>
    <dataValidation type="decimal" operator="greaterThanOrEqual" allowBlank="1" showInputMessage="1" showErrorMessage="1" promptTitle="Premissa do cenário" prompt="Número não negativo. O modelo recalcula." sqref="W97">
      <formula1>0</formula1>
    </dataValidation>
    <dataValidation type="decimal" operator="greaterThanOrEqual" allowBlank="1" showInputMessage="1" showErrorMessage="1" promptTitle="Premissa do cenário" prompt="Número não negativo. O modelo recalcula." sqref="X97">
      <formula1>0</formula1>
    </dataValidation>
    <dataValidation type="decimal" operator="greaterThanOrEqual" allowBlank="1" showInputMessage="1" showErrorMessage="1" promptTitle="Premissa do cenário" prompt="Número não negativo. O modelo recalcula." sqref="Y97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A899"/>
  </sheetPr>
  <dimension ref="A1:B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8.7109375" customWidth="1"/>
  </cols>
  <sheetData>
    <row r="1" spans="1:2" ht="34" customHeight="1">
      <c r="A1" s="4" t="s">
        <v>49</v>
      </c>
      <c r="B1" s="4" t="s">
        <v>84</v>
      </c>
    </row>
    <row r="2" spans="1:2">
      <c r="A2" t="s">
        <v>85</v>
      </c>
      <c r="B2" s="6">
        <v>3000000</v>
      </c>
    </row>
    <row r="3" spans="1:2">
      <c r="A3" t="s">
        <v>86</v>
      </c>
      <c r="B3" s="6">
        <v>900000</v>
      </c>
    </row>
    <row r="4" spans="1:2">
      <c r="A4" t="s">
        <v>87</v>
      </c>
      <c r="B4" s="6">
        <v>700000</v>
      </c>
    </row>
    <row r="5" spans="1:2">
      <c r="A5" t="s">
        <v>88</v>
      </c>
      <c r="B5" s="6">
        <v>550000</v>
      </c>
    </row>
    <row r="6" spans="1:2">
      <c r="A6" t="s">
        <v>89</v>
      </c>
      <c r="B6" s="6">
        <v>40000</v>
      </c>
    </row>
    <row r="7" spans="1:2">
      <c r="A7" t="s">
        <v>90</v>
      </c>
      <c r="B7" s="6">
        <v>80000</v>
      </c>
    </row>
    <row r="8" spans="1:2">
      <c r="A8" t="s">
        <v>91</v>
      </c>
      <c r="B8" s="6">
        <v>50000</v>
      </c>
    </row>
    <row r="9" spans="1:2">
      <c r="A9" t="s">
        <v>92</v>
      </c>
      <c r="B9" s="6">
        <v>1500000</v>
      </c>
    </row>
    <row r="10" spans="1:2">
      <c r="A10" t="s">
        <v>93</v>
      </c>
      <c r="B10" s="6">
        <v>300000</v>
      </c>
    </row>
    <row r="11" spans="1:2">
      <c r="A11" t="s">
        <v>94</v>
      </c>
      <c r="B11" s="6">
        <v>800000</v>
      </c>
    </row>
    <row r="12" spans="1:2">
      <c r="A12" t="s">
        <v>95</v>
      </c>
      <c r="B12" s="6">
        <v>3900000</v>
      </c>
    </row>
    <row r="13" spans="1:2">
      <c r="A13" t="s">
        <v>96</v>
      </c>
      <c r="B13" s="6">
        <v>380000</v>
      </c>
    </row>
  </sheetData>
  <autoFilter ref="A1:B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A899"/>
  </sheetPr>
  <dimension ref="A1:BU9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73" width="18.7109375" customWidth="1"/>
  </cols>
  <sheetData>
    <row r="1" spans="1:73" ht="40" customHeight="1">
      <c r="A1" s="4" t="s">
        <v>27</v>
      </c>
      <c r="B1" s="4" t="s">
        <v>61</v>
      </c>
      <c r="C1" s="4" t="s">
        <v>35</v>
      </c>
      <c r="D1" s="4" t="s">
        <v>97</v>
      </c>
      <c r="E1" s="4" t="s">
        <v>98</v>
      </c>
      <c r="F1" s="4" t="s">
        <v>36</v>
      </c>
      <c r="G1" s="4" t="s">
        <v>99</v>
      </c>
      <c r="H1" s="4" t="s">
        <v>51</v>
      </c>
      <c r="I1" s="4" t="s">
        <v>52</v>
      </c>
      <c r="J1" s="4" t="s">
        <v>54</v>
      </c>
      <c r="K1" s="4" t="s">
        <v>56</v>
      </c>
      <c r="L1" s="4" t="s">
        <v>66</v>
      </c>
      <c r="M1" s="4" t="s">
        <v>100</v>
      </c>
      <c r="N1" s="4" t="s">
        <v>101</v>
      </c>
      <c r="O1" s="4" t="s">
        <v>102</v>
      </c>
      <c r="P1" s="4" t="s">
        <v>103</v>
      </c>
      <c r="Q1" s="4" t="s">
        <v>104</v>
      </c>
      <c r="R1" s="4" t="s">
        <v>105</v>
      </c>
      <c r="S1" s="4" t="s">
        <v>106</v>
      </c>
      <c r="T1" s="4" t="s">
        <v>107</v>
      </c>
      <c r="U1" s="4" t="s">
        <v>86</v>
      </c>
      <c r="V1" s="4" t="s">
        <v>87</v>
      </c>
      <c r="W1" s="4" t="s">
        <v>108</v>
      </c>
      <c r="X1" s="4" t="s">
        <v>88</v>
      </c>
      <c r="Y1" s="4" t="s">
        <v>89</v>
      </c>
      <c r="Z1" s="4" t="s">
        <v>90</v>
      </c>
      <c r="AA1" s="4" t="s">
        <v>91</v>
      </c>
      <c r="AB1" s="4" t="s">
        <v>74</v>
      </c>
      <c r="AC1" s="4" t="s">
        <v>92</v>
      </c>
      <c r="AD1" s="4" t="s">
        <v>93</v>
      </c>
      <c r="AE1" s="4" t="s">
        <v>75</v>
      </c>
      <c r="AF1" s="4" t="s">
        <v>76</v>
      </c>
      <c r="AG1" s="4" t="s">
        <v>94</v>
      </c>
      <c r="AH1" s="4" t="s">
        <v>77</v>
      </c>
      <c r="AI1" s="4" t="s">
        <v>95</v>
      </c>
      <c r="AJ1" s="4" t="s">
        <v>96</v>
      </c>
      <c r="AK1" s="4" t="s">
        <v>109</v>
      </c>
      <c r="AL1" s="4" t="s">
        <v>110</v>
      </c>
      <c r="AM1" s="4" t="s">
        <v>111</v>
      </c>
      <c r="AN1" s="4" t="s">
        <v>112</v>
      </c>
      <c r="AO1" s="4" t="s">
        <v>113</v>
      </c>
      <c r="AP1" s="4" t="s">
        <v>114</v>
      </c>
      <c r="AQ1" s="4" t="s">
        <v>115</v>
      </c>
      <c r="AR1" s="4" t="s">
        <v>116</v>
      </c>
      <c r="AS1" s="4" t="s">
        <v>117</v>
      </c>
      <c r="AT1" s="4" t="s">
        <v>118</v>
      </c>
      <c r="AU1" s="4" t="s">
        <v>119</v>
      </c>
      <c r="AV1" s="4" t="s">
        <v>85</v>
      </c>
      <c r="AW1" s="4" t="s">
        <v>120</v>
      </c>
      <c r="AX1" s="4" t="s">
        <v>121</v>
      </c>
      <c r="AY1" s="4" t="s">
        <v>122</v>
      </c>
      <c r="AZ1" s="4" t="s">
        <v>123</v>
      </c>
      <c r="BA1" s="4" t="s">
        <v>124</v>
      </c>
      <c r="BB1" s="4" t="s">
        <v>67</v>
      </c>
      <c r="BC1" s="4" t="s">
        <v>68</v>
      </c>
      <c r="BD1" s="4" t="s">
        <v>69</v>
      </c>
      <c r="BE1" s="4" t="s">
        <v>70</v>
      </c>
      <c r="BF1" s="4" t="s">
        <v>71</v>
      </c>
      <c r="BG1" s="4" t="s">
        <v>72</v>
      </c>
      <c r="BH1" s="4" t="s">
        <v>73</v>
      </c>
      <c r="BI1" s="4" t="s">
        <v>125</v>
      </c>
      <c r="BJ1" s="4" t="s">
        <v>126</v>
      </c>
      <c r="BK1" s="4" t="s">
        <v>127</v>
      </c>
      <c r="BL1" s="4" t="s">
        <v>128</v>
      </c>
      <c r="BM1" s="4" t="s">
        <v>129</v>
      </c>
      <c r="BN1" s="4" t="s">
        <v>130</v>
      </c>
      <c r="BO1" s="4" t="s">
        <v>131</v>
      </c>
      <c r="BP1" s="4" t="s">
        <v>132</v>
      </c>
      <c r="BQ1" s="4" t="s">
        <v>133</v>
      </c>
      <c r="BR1" s="4" t="s">
        <v>134</v>
      </c>
      <c r="BS1" s="4" t="s">
        <v>135</v>
      </c>
      <c r="BT1" s="4" t="s">
        <v>136</v>
      </c>
      <c r="BU1" s="4" t="s">
        <v>137</v>
      </c>
    </row>
    <row r="2" spans="1:73">
      <c r="A2" s="5">
        <v>45292</v>
      </c>
      <c r="B2" t="s">
        <v>78</v>
      </c>
      <c r="C2" s="6">
        <f>SUMIFS('09_VENDAS'!I$2:I$433,'09_VENDAS'!A$2:A$433,'12_MODELO'!A2)</f>
        <v>930104.38</v>
      </c>
      <c r="D2" s="6">
        <f>'12_MODELO'!C2*'12_MODELO'!BE2</f>
        <v>79058.8723</v>
      </c>
      <c r="E2" s="6">
        <f>'12_MODELO'!C2-'12_MODELO'!D2</f>
        <v>851045.5077</v>
      </c>
      <c r="F2" s="6">
        <f>SUMIFS('09_VENDAS'!J$2:J$433,'09_VENDAS'!A$2:A$433,'12_MODELO'!A2)</f>
        <v>615320.0</v>
      </c>
      <c r="G2" s="6">
        <f>'12_MODELO'!E2-'12_MODELO'!F2</f>
        <v>235725.50769999996</v>
      </c>
      <c r="H2" s="6">
        <f>SUMIFS('10_DESPESAS'!D$2:D$123,'10_DESPESAS'!A$2:A$123,'12_MODELO'!A2,'10_DESPESAS'!B$2:B$123,"Pessoal")</f>
        <v>95000.0</v>
      </c>
      <c r="I2" s="6">
        <f>SUMIFS('10_DESPESAS'!D$2:D$123,'10_DESPESAS'!A$2:A$123,'12_MODELO'!A2,'10_DESPESAS'!B$2:B$123,"Comercial")</f>
        <v>33483.76</v>
      </c>
      <c r="J2" s="6">
        <f>SUMIFS('10_DESPESAS'!D$2:D$123,'10_DESPESAS'!A$2:A$123,'12_MODELO'!A2,'10_DESPESAS'!B$2:B$123,"Administrativo")</f>
        <v>32000.0</v>
      </c>
      <c r="K2" s="6">
        <f>SUMIFS('10_DESPESAS'!D$2:D$123,'10_DESPESAS'!A$2:A$123,'12_MODELO'!A2,'10_DESPESAS'!B$2:B$123,"Tecnologia")</f>
        <v>18000.0</v>
      </c>
      <c r="L2" s="6">
        <f>SUMIFS('10_DESPESAS'!D$2:D$123,'10_DESPESAS'!A$2:A$123,'12_MODELO'!A2,'10_DESPESAS'!B$2:B$123,"Operações")</f>
        <v>20462.3</v>
      </c>
      <c r="M2" s="6">
        <f>SUM('12_MODELO'!H2:'12_MODELO'!L2)</f>
        <v>198946.06</v>
      </c>
      <c r="N2" s="6">
        <f>'12_MODELO'!G2-'12_MODELO'!M2</f>
        <v>36779.44769999996</v>
      </c>
      <c r="O2" s="6">
        <f>MIN('11_SALDO_INICIAL'!B9*'12_MODELO'!BH2,'11_SALDO_INICIAL'!B9-'11_SALDO_INICIAL'!B10+'12_MODELO'!AB2)</f>
        <v>15000.0</v>
      </c>
      <c r="P2" s="6">
        <f>'12_MODELO'!N2-'12_MODELO'!O2</f>
        <v>21779.44769999996</v>
      </c>
      <c r="Q2" s="6">
        <f>'11_SALDO_INICIAL'!B11*'12_MODELO'!BG2</f>
        <v>9600.0</v>
      </c>
      <c r="R2" s="6">
        <f>'12_MODELO'!P2-'12_MODELO'!Q2</f>
        <v>12179.44769999996</v>
      </c>
      <c r="S2" s="6">
        <f>MAX(0,'12_MODELO'!R2)*'12_MODELO'!BF2</f>
        <v>4141.012217999987</v>
      </c>
      <c r="T2" s="6">
        <f>'12_MODELO'!R2-'12_MODELO'!S2</f>
        <v>8038.4354819999735</v>
      </c>
      <c r="U2" s="6">
        <f>'12_MODELO'!C2*'12_MODELO'!BB2/30</f>
        <v>1240139.1733333333</v>
      </c>
      <c r="V2" s="6">
        <f>'12_MODELO'!F2*'12_MODELO'!BC2/30</f>
        <v>943490.6666666666</v>
      </c>
      <c r="W2" s="6">
        <f>'12_MODELO'!F2+'12_MODELO'!V2-'11_SALDO_INICIAL'!B4</f>
        <v>858810.6666666665</v>
      </c>
      <c r="X2" s="6">
        <f>'12_MODELO'!F2*'12_MODELO'!BD2/30</f>
        <v>717873.3333333334</v>
      </c>
      <c r="Y2" s="6">
        <f>'12_MODELO'!H2*20%</f>
        <v>19000.0</v>
      </c>
      <c r="Z2" s="6">
        <f>'12_MODELO'!D2</f>
        <v>79058.8723</v>
      </c>
      <c r="AA2" s="6">
        <f>'12_MODELO'!S2</f>
        <v>4141.012217999987</v>
      </c>
      <c r="AB2" s="6">
        <f>'08_PREMISSAS'!V2</f>
        <v>18000.0</v>
      </c>
      <c r="AC2" s="6">
        <f>'11_SALDO_INICIAL'!B9+'12_MODELO'!AB2</f>
        <v>1518000.0</v>
      </c>
      <c r="AD2" s="6">
        <f>'11_SALDO_INICIAL'!B10+'12_MODELO'!O2</f>
        <v>315000.0</v>
      </c>
      <c r="AE2" s="6">
        <f>'08_PREMISSAS'!W2</f>
        <v>0.0</v>
      </c>
      <c r="AF2" s="6">
        <f>'08_PREMISSAS'!X2</f>
        <v>18000.0</v>
      </c>
      <c r="AG2" s="6">
        <f>'11_SALDO_INICIAL'!B11+'12_MODELO'!AE2-'12_MODELO'!AF2</f>
        <v>782000.0</v>
      </c>
      <c r="AH2" s="6">
        <f>'08_PREMISSAS'!Y2</f>
        <v>0.0</v>
      </c>
      <c r="AI2" s="6">
        <f>'11_SALDO_INICIAL'!B12</f>
        <v>3900000.0</v>
      </c>
      <c r="AJ2" s="6">
        <f>'11_SALDO_INICIAL'!B13+'12_MODELO'!T2-'12_MODELO'!AH2</f>
        <v>388038.435482</v>
      </c>
      <c r="AK2" s="6">
        <f>'11_SALDO_INICIAL'!B3+'12_MODELO'!C2-'12_MODELO'!U2</f>
        <v>589965.2066666665</v>
      </c>
      <c r="AL2" s="6">
        <f>'11_SALDO_INICIAL'!B5+'12_MODELO'!W2-'12_MODELO'!X2</f>
        <v>690937.3333333331</v>
      </c>
      <c r="AM2" s="6">
        <f>'12_MODELO'!M2+'11_SALDO_INICIAL'!B6-'12_MODELO'!Y2</f>
        <v>219946.06</v>
      </c>
      <c r="AN2" s="6">
        <f>'11_SALDO_INICIAL'!B7+'12_MODELO'!D2-'12_MODELO'!Z2</f>
        <v>79999.99999999999</v>
      </c>
      <c r="AO2" s="6">
        <f>'11_SALDO_INICIAL'!B8+'12_MODELO'!S2-'12_MODELO'!AA2</f>
        <v>50000.0</v>
      </c>
      <c r="AP2" s="6">
        <f>'12_MODELO'!AK2-'12_MODELO'!AL2-'12_MODELO'!AM2-'12_MODELO'!AN2-'12_MODELO'!Q2-'12_MODELO'!AO2</f>
        <v>-460518.1866666666</v>
      </c>
      <c r="AQ2" s="6">
        <f>'12_MODELO'!T2+'12_MODELO'!O2-('12_MODELO'!U2-'11_SALDO_INICIAL'!B3)-('12_MODELO'!V2-'11_SALDO_INICIAL'!B4)+('12_MODELO'!X2-'11_SALDO_INICIAL'!B5)+('12_MODELO'!Y2-'11_SALDO_INICIAL'!B6)+('12_MODELO'!Z2-'11_SALDO_INICIAL'!B7)+('12_MODELO'!AA2-'11_SALDO_INICIAL'!B8)</f>
        <v>-460518.1866666666</v>
      </c>
      <c r="AR2" s="6">
        <f>-'12_MODELO'!AB2</f>
        <v>-18000.0</v>
      </c>
      <c r="AS2" s="6">
        <f>'12_MODELO'!AE2-'12_MODELO'!AF2-'12_MODELO'!AH2</f>
        <v>-18000.0</v>
      </c>
      <c r="AT2" s="6">
        <f>'12_MODELO'!AQ2+'12_MODELO'!AR2+'12_MODELO'!AS2</f>
        <v>-496518.1866666666</v>
      </c>
      <c r="AU2" s="6">
        <f>'11_SALDO_INICIAL'!B2</f>
        <v>3000000.0</v>
      </c>
      <c r="AV2" s="6">
        <f>'12_MODELO'!AU2+'12_MODELO'!AT2</f>
        <v>2503481.8133333335</v>
      </c>
      <c r="AW2" s="6">
        <f>'12_MODELO'!AV2+'12_MODELO'!U2+'12_MODELO'!V2+'12_MODELO'!AC2-'12_MODELO'!AD2</f>
        <v>5890111.653333333</v>
      </c>
      <c r="AX2" s="6">
        <f>'12_MODELO'!X2+'12_MODELO'!Y2+'12_MODELO'!Z2+'12_MODELO'!AA2+'12_MODELO'!AG2</f>
        <v>1602073.2178513333</v>
      </c>
      <c r="AY2" s="6">
        <f>'12_MODELO'!AI2+'12_MODELO'!AJ2</f>
        <v>4288038.435482</v>
      </c>
      <c r="AZ2" s="6">
        <f>'12_MODELO'!AW2-'12_MODELO'!AX2-'12_MODELO'!AY2</f>
        <v>0.0</v>
      </c>
      <c r="BA2" s="6">
        <f>'12_MODELO'!AP2-'12_MODELO'!AQ2</f>
        <v>0.0</v>
      </c>
      <c r="BB2" s="6">
        <f>'08_PREMISSAS'!O2</f>
        <v>40.0</v>
      </c>
      <c r="BC2" s="6">
        <f>'08_PREMISSAS'!P2</f>
        <v>46.0</v>
      </c>
      <c r="BD2" s="6">
        <f>'08_PREMISSAS'!Q2</f>
        <v>35.0</v>
      </c>
      <c r="BE2" s="9">
        <f>'08_PREMISSAS'!R2</f>
        <v>0.085</v>
      </c>
      <c r="BF2" s="9">
        <f>'08_PREMISSAS'!S2</f>
        <v>0.34</v>
      </c>
      <c r="BG2" s="9">
        <f>'08_PREMISSAS'!T2</f>
        <v>0.012</v>
      </c>
      <c r="BH2" s="9">
        <f>'08_PREMISSAS'!U2</f>
        <v>0.01</v>
      </c>
      <c r="BI2" s="9">
        <f>IFERROR('12_MODELO'!N2/'12_MODELO'!E2,0)</f>
        <v>0.043216781437926344</v>
      </c>
      <c r="BJ2" s="9">
        <f>IFERROR('12_MODELO'!T2/'12_MODELO'!E2,0)</f>
        <v>0.00944536503544248</v>
      </c>
      <c r="BK2" s="6">
        <f>'12_MODELO'!AQ2+'12_MODELO'!AR2</f>
        <v>-478518.1866666666</v>
      </c>
      <c r="BL2" s="6">
        <f>'12_MODELO'!U2+'12_MODELO'!V2-'12_MODELO'!X2-'12_MODELO'!Y2-'12_MODELO'!Z2-'12_MODELO'!AA2</f>
        <v>1363556.6221486665</v>
      </c>
      <c r="BM2" s="6">
        <f>'12_MODELO'!AG2-'12_MODELO'!AV2</f>
        <v>-1721481.8133333335</v>
      </c>
      <c r="BN2" s="6">
        <f>MAX(ABS('15_CONCILIACAO'!F2),ABS('15_CONCILIACAO'!F3),ABS('15_CONCILIACAO'!F4),ABS('15_CONCILIACAO'!F5),ABS('15_CONCILIACAO'!F6),ABS('15_CONCILIACAO'!F7),ABS('15_CONCILIACAO'!F8),ABS('15_CONCILIACAO'!F9),ABS('15_CONCILIACAO'!F10),ABS('15_CONCILIACAO'!F11),ABS('15_CONCILIACAO'!F12),ABS('15_CONCILIACAO'!F13))</f>
        <v>4.656612873077393e-10</v>
      </c>
      <c r="BO2" s="6">
        <f>'12_MODELO'!AV2+'12_MODELO'!U2+'12_MODELO'!V2</f>
        <v>4687111.653333333</v>
      </c>
      <c r="BP2" s="6">
        <f>'12_MODELO'!AC2-'12_MODELO'!AD2</f>
        <v>1203000.0</v>
      </c>
      <c r="BQ2" s="6">
        <f>MIN('12_MODELO'!AG2,'12_MODELO'!AF2*12)</f>
        <v>216000.0</v>
      </c>
      <c r="BR2" s="6">
        <f>'12_MODELO'!AG2-'12_MODELO'!BQ2</f>
        <v>566000.0</v>
      </c>
      <c r="BS2" s="6">
        <f>'12_MODELO'!AX2-'12_MODELO'!BR2</f>
        <v>1036073.2178513333</v>
      </c>
      <c r="BT2" s="6">
        <f>'12_MODELO'!BR2</f>
        <v>566000.0</v>
      </c>
      <c r="BU2" s="6">
        <f>IFERROR('12_MODELO'!BO2/'12_MODELO'!BS2,0)</f>
        <v>4.523919325946604</v>
      </c>
    </row>
    <row r="3" spans="1:73">
      <c r="A3" s="5">
        <v>45323</v>
      </c>
      <c r="B3" t="s">
        <v>78</v>
      </c>
      <c r="C3" s="6">
        <f>SUMIFS('09_VENDAS'!I$2:I$433,'09_VENDAS'!A$2:A$433,'12_MODELO'!A3)</f>
        <v>973056.48</v>
      </c>
      <c r="D3" s="6">
        <f>'12_MODELO'!C3*'12_MODELO'!BE3</f>
        <v>82709.8008</v>
      </c>
      <c r="E3" s="6">
        <f>'12_MODELO'!C3-'12_MODELO'!D3</f>
        <v>890346.6792</v>
      </c>
      <c r="F3" s="6">
        <f>SUMIFS('09_VENDAS'!J$2:J$433,'09_VENDAS'!A$2:A$433,'12_MODELO'!A3)</f>
        <v>643110.0</v>
      </c>
      <c r="G3" s="6">
        <f>'12_MODELO'!E3-'12_MODELO'!F3</f>
        <v>247236.6792</v>
      </c>
      <c r="H3" s="6">
        <f>SUMIFS('10_DESPESAS'!D$2:D$123,'10_DESPESAS'!A$2:A$123,'12_MODELO'!A3,'10_DESPESAS'!B$2:B$123,"Pessoal")</f>
        <v>95000.0</v>
      </c>
      <c r="I3" s="6">
        <f>SUMIFS('10_DESPESAS'!D$2:D$123,'10_DESPESAS'!A$2:A$123,'12_MODELO'!A3,'10_DESPESAS'!B$2:B$123,"Comercial")</f>
        <v>35030.03</v>
      </c>
      <c r="J3" s="6">
        <f>SUMIFS('10_DESPESAS'!D$2:D$123,'10_DESPESAS'!A$2:A$123,'12_MODELO'!A3,'10_DESPESAS'!B$2:B$123,"Administrativo")</f>
        <v>32000.0</v>
      </c>
      <c r="K3" s="6">
        <f>SUMIFS('10_DESPESAS'!D$2:D$123,'10_DESPESAS'!A$2:A$123,'12_MODELO'!A3,'10_DESPESAS'!B$2:B$123,"Tecnologia")</f>
        <v>18000.0</v>
      </c>
      <c r="L3" s="6">
        <f>SUMIFS('10_DESPESAS'!D$2:D$123,'10_DESPESAS'!A$2:A$123,'12_MODELO'!A3,'10_DESPESAS'!B$2:B$123,"Operações")</f>
        <v>21407.24</v>
      </c>
      <c r="M3" s="6">
        <f>SUM('12_MODELO'!H3:'12_MODELO'!L3)</f>
        <v>201437.27</v>
      </c>
      <c r="N3" s="6">
        <f>'12_MODELO'!G3-'12_MODELO'!M3</f>
        <v>45799.409200000024</v>
      </c>
      <c r="O3" s="6">
        <f>MIN('12_MODELO'!AC2*'12_MODELO'!BH3,'12_MODELO'!AC2-'12_MODELO'!AD2+'12_MODELO'!AB3)</f>
        <v>15180.0</v>
      </c>
      <c r="P3" s="6">
        <f>'12_MODELO'!N3-'12_MODELO'!O3</f>
        <v>30619.409200000024</v>
      </c>
      <c r="Q3" s="6">
        <f>'12_MODELO'!AG2*'12_MODELO'!BG3</f>
        <v>9384.0</v>
      </c>
      <c r="R3" s="6">
        <f>'12_MODELO'!P3-'12_MODELO'!Q3</f>
        <v>21235.409200000024</v>
      </c>
      <c r="S3" s="6">
        <f>MAX(0,'12_MODELO'!R3)*'12_MODELO'!BF3</f>
        <v>7220.0391280000085</v>
      </c>
      <c r="T3" s="6">
        <f>'12_MODELO'!R3-'12_MODELO'!S3</f>
        <v>14015.370072000016</v>
      </c>
      <c r="U3" s="6">
        <f>'12_MODELO'!C3*'12_MODELO'!BB3/30</f>
        <v>1297408.6400000001</v>
      </c>
      <c r="V3" s="6">
        <f>'12_MODELO'!F3*'12_MODELO'!BC3/30</f>
        <v>986102.0</v>
      </c>
      <c r="W3" s="6">
        <f>'12_MODELO'!F3+'12_MODELO'!V3-'12_MODELO'!V2</f>
        <v>685721.3333333334</v>
      </c>
      <c r="X3" s="6">
        <f>'12_MODELO'!F3*'12_MODELO'!BD3/30</f>
        <v>750295.0</v>
      </c>
      <c r="Y3" s="6">
        <f>'12_MODELO'!H3*20%</f>
        <v>19000.0</v>
      </c>
      <c r="Z3" s="6">
        <f>'12_MODELO'!D3</f>
        <v>82709.8008</v>
      </c>
      <c r="AA3" s="6">
        <f>'12_MODELO'!S3</f>
        <v>7220.0391280000085</v>
      </c>
      <c r="AB3" s="6">
        <f>'08_PREMISSAS'!V3</f>
        <v>18000.0</v>
      </c>
      <c r="AC3" s="6">
        <f>'12_MODELO'!AC2+'12_MODELO'!AB3</f>
        <v>1536000.0</v>
      </c>
      <c r="AD3" s="6">
        <f>'12_MODELO'!AD2+'12_MODELO'!O3</f>
        <v>330180.0</v>
      </c>
      <c r="AE3" s="6">
        <f>'08_PREMISSAS'!W3</f>
        <v>0.0</v>
      </c>
      <c r="AF3" s="6">
        <f>'08_PREMISSAS'!X3</f>
        <v>18000.0</v>
      </c>
      <c r="AG3" s="6">
        <f>'12_MODELO'!AG2+'12_MODELO'!AE3-'12_MODELO'!AF3</f>
        <v>764000.0</v>
      </c>
      <c r="AH3" s="6">
        <f>'08_PREMISSAS'!Y3</f>
        <v>0.0</v>
      </c>
      <c r="AI3" s="6">
        <f>'12_MODELO'!AI2</f>
        <v>3900000.0</v>
      </c>
      <c r="AJ3" s="6">
        <f>'12_MODELO'!AJ2+'12_MODELO'!T3-'12_MODELO'!AH3</f>
        <v>402053.805554</v>
      </c>
      <c r="AK3" s="6">
        <f>'12_MODELO'!U2+'12_MODELO'!C3-'12_MODELO'!U3</f>
        <v>915787.0133333332</v>
      </c>
      <c r="AL3" s="6">
        <f>'12_MODELO'!X2+'12_MODELO'!W3-'12_MODELO'!X3</f>
        <v>653299.6666666667</v>
      </c>
      <c r="AM3" s="6">
        <f>'12_MODELO'!M3+'12_MODELO'!Y2-'12_MODELO'!Y3</f>
        <v>201437.27</v>
      </c>
      <c r="AN3" s="6">
        <f>'12_MODELO'!Z2+'12_MODELO'!D3-'12_MODELO'!Z3</f>
        <v>79058.87230000002</v>
      </c>
      <c r="AO3" s="6">
        <f>'12_MODELO'!AA2+'12_MODELO'!S3-'12_MODELO'!AA3</f>
        <v>4141.012217999988</v>
      </c>
      <c r="AP3" s="6">
        <f>'12_MODELO'!AK3-'12_MODELO'!AL3-'12_MODELO'!AM3-'12_MODELO'!AN3-'12_MODELO'!Q3-'12_MODELO'!AO3</f>
        <v>-31533.80785133355</v>
      </c>
      <c r="AQ3" s="6">
        <f>'12_MODELO'!T3+'12_MODELO'!O3-('12_MODELO'!U3-'12_MODELO'!U2)-('12_MODELO'!V3-'12_MODELO'!V2)+('12_MODELO'!X3-'12_MODELO'!X2)+('12_MODELO'!Y3-'12_MODELO'!Y2)+('12_MODELO'!Z3-'12_MODELO'!Z2)+('12_MODELO'!AA3-'12_MODELO'!AA2)</f>
        <v>-31533.8078513335</v>
      </c>
      <c r="AR3" s="6">
        <f>-'12_MODELO'!AB3</f>
        <v>-18000.0</v>
      </c>
      <c r="AS3" s="6">
        <f>'12_MODELO'!AE3-'12_MODELO'!AF3-'12_MODELO'!AH3</f>
        <v>-18000.0</v>
      </c>
      <c r="AT3" s="6">
        <f>'12_MODELO'!AQ3+'12_MODELO'!AR3+'12_MODELO'!AS3</f>
        <v>-67533.80785133349</v>
      </c>
      <c r="AU3" s="6">
        <f>'12_MODELO'!AV2</f>
        <v>2503481.8133333335</v>
      </c>
      <c r="AV3" s="6">
        <f>'12_MODELO'!AU3+'12_MODELO'!AT3</f>
        <v>2435948.005482</v>
      </c>
      <c r="AW3" s="6">
        <f>'12_MODELO'!AV3+'12_MODELO'!U3+'12_MODELO'!V3+'12_MODELO'!AC3-'12_MODELO'!AD3</f>
        <v>5925278.645482</v>
      </c>
      <c r="AX3" s="6">
        <f>'12_MODELO'!X3+'12_MODELO'!Y3+'12_MODELO'!Z3+'12_MODELO'!AA3+'12_MODELO'!AG3</f>
        <v>1623224.839928</v>
      </c>
      <c r="AY3" s="6">
        <f>'12_MODELO'!AI3+'12_MODELO'!AJ3</f>
        <v>4302053.805554</v>
      </c>
      <c r="AZ3" s="6">
        <f>'12_MODELO'!AW3-'12_MODELO'!AX3-'12_MODELO'!AY3</f>
        <v>0.0</v>
      </c>
      <c r="BA3" s="6">
        <f>'12_MODELO'!AP3-'12_MODELO'!AQ3</f>
        <v>-5.093170329928398e-11</v>
      </c>
      <c r="BB3" s="6">
        <f>'08_PREMISSAS'!O3</f>
        <v>40.0</v>
      </c>
      <c r="BC3" s="6">
        <f>'08_PREMISSAS'!P3</f>
        <v>46.0</v>
      </c>
      <c r="BD3" s="6">
        <f>'08_PREMISSAS'!Q3</f>
        <v>35.0</v>
      </c>
      <c r="BE3" s="9">
        <f>'08_PREMISSAS'!R3</f>
        <v>0.085</v>
      </c>
      <c r="BF3" s="9">
        <f>'08_PREMISSAS'!S3</f>
        <v>0.34</v>
      </c>
      <c r="BG3" s="9">
        <f>'08_PREMISSAS'!T3</f>
        <v>0.012</v>
      </c>
      <c r="BH3" s="9">
        <f>'08_PREMISSAS'!U3</f>
        <v>0.01</v>
      </c>
      <c r="BI3" s="9">
        <f>IFERROR('12_MODELO'!N3/'12_MODELO'!E3,0)</f>
        <v>0.05143997306886347</v>
      </c>
      <c r="BJ3" s="9">
        <f>IFERROR('12_MODELO'!T3/'12_MODELO'!E3,0)</f>
        <v>0.01574147508989779</v>
      </c>
      <c r="BK3" s="6">
        <f>'12_MODELO'!AQ3+'12_MODELO'!AR3</f>
        <v>-49533.8078513335</v>
      </c>
      <c r="BL3" s="6">
        <f>'12_MODELO'!U3+'12_MODELO'!V3-'12_MODELO'!X3-'12_MODELO'!Y3-'12_MODELO'!Z3-'12_MODELO'!AA3</f>
        <v>1424285.8000720001</v>
      </c>
      <c r="BM3" s="6">
        <f>'12_MODELO'!AG3-'12_MODELO'!AV3</f>
        <v>-1671948.0054819998</v>
      </c>
      <c r="BN3" s="6">
        <f>MAX(ABS('15_CONCILIACAO'!F14),ABS('15_CONCILIACAO'!F15),ABS('15_CONCILIACAO'!F16),ABS('15_CONCILIACAO'!F17),ABS('15_CONCILIACAO'!F18),ABS('15_CONCILIACAO'!F19),ABS('15_CONCILIACAO'!F20),ABS('15_CONCILIACAO'!F21),ABS('15_CONCILIACAO'!F22),ABS('15_CONCILIACAO'!F23),ABS('15_CONCILIACAO'!F24),ABS('15_CONCILIACAO'!F25))</f>
        <v>9.313225746154785e-10</v>
      </c>
      <c r="BO3" s="6">
        <f>'12_MODELO'!AV3+'12_MODELO'!U3+'12_MODELO'!V3</f>
        <v>4719458.645482</v>
      </c>
      <c r="BP3" s="6">
        <f>'12_MODELO'!AC3-'12_MODELO'!AD3</f>
        <v>1205820.0</v>
      </c>
      <c r="BQ3" s="6">
        <f>MIN('12_MODELO'!AG3,'12_MODELO'!AF3*12)</f>
        <v>216000.0</v>
      </c>
      <c r="BR3" s="6">
        <f>'12_MODELO'!AG3-'12_MODELO'!BQ3</f>
        <v>548000.0</v>
      </c>
      <c r="BS3" s="6">
        <f>'12_MODELO'!AX3-'12_MODELO'!BR3</f>
        <v>1075224.839928</v>
      </c>
      <c r="BT3" s="6">
        <f>'12_MODELO'!BR3</f>
        <v>548000.0</v>
      </c>
      <c r="BU3" s="6">
        <f>IFERROR('12_MODELO'!BO3/'12_MODELO'!BS3,0)</f>
        <v>4.3892760567157545</v>
      </c>
    </row>
    <row r="4" spans="1:73">
      <c r="A4" s="5">
        <v>45352</v>
      </c>
      <c r="B4" t="s">
        <v>78</v>
      </c>
      <c r="C4" s="6">
        <f>SUMIFS('09_VENDAS'!I$2:I$433,'09_VENDAS'!A$2:A$433,'12_MODELO'!A4)</f>
        <v>1139151.54</v>
      </c>
      <c r="D4" s="6">
        <f>'12_MODELO'!C4*'12_MODELO'!BE4</f>
        <v>96827.8809</v>
      </c>
      <c r="E4" s="6">
        <f>'12_MODELO'!C4-'12_MODELO'!D4</f>
        <v>1042323.6591</v>
      </c>
      <c r="F4" s="6">
        <f>SUMIFS('09_VENDAS'!J$2:J$433,'09_VENDAS'!A$2:A$433,'12_MODELO'!A4)</f>
        <v>752830.0</v>
      </c>
      <c r="G4" s="6">
        <f>'12_MODELO'!E4-'12_MODELO'!F4</f>
        <v>289493.65910000005</v>
      </c>
      <c r="H4" s="6">
        <f>SUMIFS('10_DESPESAS'!D$2:D$123,'10_DESPESAS'!A$2:A$123,'12_MODELO'!A4,'10_DESPESAS'!B$2:B$123,"Pessoal")</f>
        <v>95000.0</v>
      </c>
      <c r="I4" s="6">
        <f>SUMIFS('10_DESPESAS'!D$2:D$123,'10_DESPESAS'!A$2:A$123,'12_MODELO'!A4,'10_DESPESAS'!B$2:B$123,"Comercial")</f>
        <v>41009.46</v>
      </c>
      <c r="J4" s="6">
        <f>SUMIFS('10_DESPESAS'!D$2:D$123,'10_DESPESAS'!A$2:A$123,'12_MODELO'!A4,'10_DESPESAS'!B$2:B$123,"Administrativo")</f>
        <v>32000.0</v>
      </c>
      <c r="K4" s="6">
        <f>SUMIFS('10_DESPESAS'!D$2:D$123,'10_DESPESAS'!A$2:A$123,'12_MODELO'!A4,'10_DESPESAS'!B$2:B$123,"Tecnologia")</f>
        <v>18000.0</v>
      </c>
      <c r="L4" s="6">
        <f>SUMIFS('10_DESPESAS'!D$2:D$123,'10_DESPESAS'!A$2:A$123,'12_MODELO'!A4,'10_DESPESAS'!B$2:B$123,"Operações")</f>
        <v>25061.33</v>
      </c>
      <c r="M4" s="6">
        <f>SUM('12_MODELO'!H4:'12_MODELO'!L4)</f>
        <v>211070.79</v>
      </c>
      <c r="N4" s="6">
        <f>'12_MODELO'!G4-'12_MODELO'!M4</f>
        <v>78422.86910000004</v>
      </c>
      <c r="O4" s="6">
        <f>MIN('12_MODELO'!AC3*'12_MODELO'!BH4,'12_MODELO'!AC3-'12_MODELO'!AD3+'12_MODELO'!AB4)</f>
        <v>15360.0</v>
      </c>
      <c r="P4" s="6">
        <f>'12_MODELO'!N4-'12_MODELO'!O4</f>
        <v>63062.86910000004</v>
      </c>
      <c r="Q4" s="6">
        <f>'12_MODELO'!AG3*'12_MODELO'!BG4</f>
        <v>9168.0</v>
      </c>
      <c r="R4" s="6">
        <f>'12_MODELO'!P4-'12_MODELO'!Q4</f>
        <v>53894.86910000004</v>
      </c>
      <c r="S4" s="6">
        <f>MAX(0,'12_MODELO'!R4)*'12_MODELO'!BF4</f>
        <v>18324.255494000015</v>
      </c>
      <c r="T4" s="6">
        <f>'12_MODELO'!R4-'12_MODELO'!S4</f>
        <v>35570.61360600003</v>
      </c>
      <c r="U4" s="6">
        <f>'12_MODELO'!C4*'12_MODELO'!BB4/30</f>
        <v>1518868.72</v>
      </c>
      <c r="V4" s="6">
        <f>'12_MODELO'!F4*'12_MODELO'!BC4/30</f>
        <v>1154339.3333333333</v>
      </c>
      <c r="W4" s="6">
        <f>'12_MODELO'!F4+'12_MODELO'!V4-'12_MODELO'!V3</f>
        <v>921067.3333333333</v>
      </c>
      <c r="X4" s="6">
        <f>'12_MODELO'!F4*'12_MODELO'!BD4/30</f>
        <v>878301.6666666666</v>
      </c>
      <c r="Y4" s="6">
        <f>'12_MODELO'!H4*20%</f>
        <v>19000.0</v>
      </c>
      <c r="Z4" s="6">
        <f>'12_MODELO'!D4</f>
        <v>96827.8809</v>
      </c>
      <c r="AA4" s="6">
        <f>'12_MODELO'!S4</f>
        <v>18324.255494000015</v>
      </c>
      <c r="AB4" s="6">
        <f>'08_PREMISSAS'!V4</f>
        <v>90000.0</v>
      </c>
      <c r="AC4" s="6">
        <f>'12_MODELO'!AC3+'12_MODELO'!AB4</f>
        <v>1626000.0</v>
      </c>
      <c r="AD4" s="6">
        <f>'12_MODELO'!AD3+'12_MODELO'!O4</f>
        <v>345540.0</v>
      </c>
      <c r="AE4" s="6">
        <f>'08_PREMISSAS'!W4</f>
        <v>0.0</v>
      </c>
      <c r="AF4" s="6">
        <f>'08_PREMISSAS'!X4</f>
        <v>18000.0</v>
      </c>
      <c r="AG4" s="6">
        <f>'12_MODELO'!AG3+'12_MODELO'!AE4-'12_MODELO'!AF4</f>
        <v>746000.0</v>
      </c>
      <c r="AH4" s="6">
        <f>'08_PREMISSAS'!Y4</f>
        <v>0.0</v>
      </c>
      <c r="AI4" s="6">
        <f>'12_MODELO'!AI3</f>
        <v>3900000.0</v>
      </c>
      <c r="AJ4" s="6">
        <f>'12_MODELO'!AJ3+'12_MODELO'!T4-'12_MODELO'!AH4</f>
        <v>437624.41916000005</v>
      </c>
      <c r="AK4" s="6">
        <f>'12_MODELO'!U3+'12_MODELO'!C4-'12_MODELO'!U4</f>
        <v>917691.4600000002</v>
      </c>
      <c r="AL4" s="6">
        <f>'12_MODELO'!X3+'12_MODELO'!W4-'12_MODELO'!X4</f>
        <v>793060.6666666666</v>
      </c>
      <c r="AM4" s="6">
        <f>'12_MODELO'!M4+'12_MODELO'!Y3-'12_MODELO'!Y4</f>
        <v>211070.79</v>
      </c>
      <c r="AN4" s="6">
        <f>'12_MODELO'!Z3+'12_MODELO'!D4-'12_MODELO'!Z4</f>
        <v>82709.80080000001</v>
      </c>
      <c r="AO4" s="6">
        <f>'12_MODELO'!AA3+'12_MODELO'!S4-'12_MODELO'!AA4</f>
        <v>7220.039128000008</v>
      </c>
      <c r="AP4" s="6">
        <f>'12_MODELO'!AK4-'12_MODELO'!AL4-'12_MODELO'!AM4-'12_MODELO'!AN4-'12_MODELO'!Q4-'12_MODELO'!AO4</f>
        <v>-185537.83659466644</v>
      </c>
      <c r="AQ4" s="6">
        <f>'12_MODELO'!T4+'12_MODELO'!O4-('12_MODELO'!U4-'12_MODELO'!U3)-('12_MODELO'!V4-'12_MODELO'!V3)+('12_MODELO'!X4-'12_MODELO'!X3)+('12_MODELO'!Y4-'12_MODELO'!Y3)+('12_MODELO'!Z4-'12_MODELO'!Z3)+('12_MODELO'!AA4-'12_MODELO'!AA3)</f>
        <v>-185537.8365946664</v>
      </c>
      <c r="AR4" s="6">
        <f>-'12_MODELO'!AB4</f>
        <v>-90000.0</v>
      </c>
      <c r="AS4" s="6">
        <f>'12_MODELO'!AE4-'12_MODELO'!AF4-'12_MODELO'!AH4</f>
        <v>-18000.0</v>
      </c>
      <c r="AT4" s="6">
        <f>'12_MODELO'!AQ4+'12_MODELO'!AR4+'12_MODELO'!AS4</f>
        <v>-293537.8365946664</v>
      </c>
      <c r="AU4" s="6">
        <f>'12_MODELO'!AV3</f>
        <v>2435948.005482</v>
      </c>
      <c r="AV4" s="6">
        <f>'12_MODELO'!AU4+'12_MODELO'!AT4</f>
        <v>2142410.1688873335</v>
      </c>
      <c r="AW4" s="6">
        <f>'12_MODELO'!AV4+'12_MODELO'!U4+'12_MODELO'!V4+'12_MODELO'!AC4-'12_MODELO'!AD4</f>
        <v>6096078.222220667</v>
      </c>
      <c r="AX4" s="6">
        <f>'12_MODELO'!X4+'12_MODELO'!Y4+'12_MODELO'!Z4+'12_MODELO'!AA4+'12_MODELO'!AG4</f>
        <v>1758453.8030606667</v>
      </c>
      <c r="AY4" s="6">
        <f>'12_MODELO'!AI4+'12_MODELO'!AJ4</f>
        <v>4337624.41916</v>
      </c>
      <c r="AZ4" s="6">
        <f>'12_MODELO'!AW4-'12_MODELO'!AX4-'12_MODELO'!AY4</f>
        <v>0.0</v>
      </c>
      <c r="BA4" s="6">
        <f>'12_MODELO'!AP4-'12_MODELO'!AQ4</f>
        <v>-2.9103830456733704e-11</v>
      </c>
      <c r="BB4" s="6">
        <f>'08_PREMISSAS'!O4</f>
        <v>40.0</v>
      </c>
      <c r="BC4" s="6">
        <f>'08_PREMISSAS'!P4</f>
        <v>46.0</v>
      </c>
      <c r="BD4" s="6">
        <f>'08_PREMISSAS'!Q4</f>
        <v>35.0</v>
      </c>
      <c r="BE4" s="9">
        <f>'08_PREMISSAS'!R4</f>
        <v>0.085</v>
      </c>
      <c r="BF4" s="9">
        <f>'08_PREMISSAS'!S4</f>
        <v>0.34</v>
      </c>
      <c r="BG4" s="9">
        <f>'08_PREMISSAS'!T4</f>
        <v>0.012</v>
      </c>
      <c r="BH4" s="9">
        <f>'08_PREMISSAS'!U4</f>
        <v>0.01</v>
      </c>
      <c r="BI4" s="9">
        <f>IFERROR('12_MODELO'!N4/'12_MODELO'!E4,0)</f>
        <v>0.07523850045552519</v>
      </c>
      <c r="BJ4" s="9">
        <f>IFERROR('12_MODELO'!T4/'12_MODELO'!E4,0)</f>
        <v>0.03412626519167152</v>
      </c>
      <c r="BK4" s="6">
        <f>'12_MODELO'!AQ4+'12_MODELO'!AR4</f>
        <v>-275537.8365946664</v>
      </c>
      <c r="BL4" s="6">
        <f>'12_MODELO'!U4+'12_MODELO'!V4-'12_MODELO'!X4-'12_MODELO'!Y4-'12_MODELO'!Z4-'12_MODELO'!AA4</f>
        <v>1660754.2502726668</v>
      </c>
      <c r="BM4" s="6">
        <f>'12_MODELO'!AG4-'12_MODELO'!AV4</f>
        <v>-1396410.1688873335</v>
      </c>
      <c r="BN4" s="6">
        <f>MAX(ABS('15_CONCILIACAO'!F26),ABS('15_CONCILIACAO'!F27),ABS('15_CONCILIACAO'!F28),ABS('15_CONCILIACAO'!F29),ABS('15_CONCILIACAO'!F30),ABS('15_CONCILIACAO'!F31),ABS('15_CONCILIACAO'!F32),ABS('15_CONCILIACAO'!F33),ABS('15_CONCILIACAO'!F34),ABS('15_CONCILIACAO'!F35),ABS('15_CONCILIACAO'!F36),ABS('15_CONCILIACAO'!F37))</f>
        <v>1.3969838619232178e-09</v>
      </c>
      <c r="BO4" s="6">
        <f>'12_MODELO'!AV4+'12_MODELO'!U4+'12_MODELO'!V4</f>
        <v>4815618.222220667</v>
      </c>
      <c r="BP4" s="6">
        <f>'12_MODELO'!AC4-'12_MODELO'!AD4</f>
        <v>1280460.0</v>
      </c>
      <c r="BQ4" s="6">
        <f>MIN('12_MODELO'!AG4,'12_MODELO'!AF4*12)</f>
        <v>216000.0</v>
      </c>
      <c r="BR4" s="6">
        <f>'12_MODELO'!AG4-'12_MODELO'!BQ4</f>
        <v>530000.0</v>
      </c>
      <c r="BS4" s="6">
        <f>'12_MODELO'!AX4-'12_MODELO'!BR4</f>
        <v>1228453.8030606667</v>
      </c>
      <c r="BT4" s="6">
        <f>'12_MODELO'!BR4</f>
        <v>530000.0</v>
      </c>
      <c r="BU4" s="6">
        <f>IFERROR('12_MODELO'!BO4/'12_MODELO'!BS4,0)</f>
        <v>3.9200645642698615</v>
      </c>
    </row>
    <row r="5" spans="1:73">
      <c r="A5" s="5">
        <v>45383</v>
      </c>
      <c r="B5" t="s">
        <v>78</v>
      </c>
      <c r="C5" s="6">
        <f>SUMIFS('09_VENDAS'!I$2:I$433,'09_VENDAS'!A$2:A$433,'12_MODELO'!A5)</f>
        <v>1139818.88</v>
      </c>
      <c r="D5" s="6">
        <f>'12_MODELO'!C5*'12_MODELO'!BE5</f>
        <v>96884.6048</v>
      </c>
      <c r="E5" s="6">
        <f>'12_MODELO'!C5-'12_MODELO'!D5</f>
        <v>1042934.2751999999</v>
      </c>
      <c r="F5" s="6">
        <f>SUMIFS('09_VENDAS'!J$2:J$433,'09_VENDAS'!A$2:A$433,'12_MODELO'!A5)</f>
        <v>753940.0</v>
      </c>
      <c r="G5" s="6">
        <f>'12_MODELO'!E5-'12_MODELO'!F5</f>
        <v>288994.2751999999</v>
      </c>
      <c r="H5" s="6">
        <f>SUMIFS('10_DESPESAS'!D$2:D$123,'10_DESPESAS'!A$2:A$123,'12_MODELO'!A5,'10_DESPESAS'!B$2:B$123,"Pessoal")</f>
        <v>95000.0</v>
      </c>
      <c r="I5" s="6">
        <f>SUMIFS('10_DESPESAS'!D$2:D$123,'10_DESPESAS'!A$2:A$123,'12_MODELO'!A5,'10_DESPESAS'!B$2:B$123,"Comercial")</f>
        <v>41033.48</v>
      </c>
      <c r="J5" s="6">
        <f>SUMIFS('10_DESPESAS'!D$2:D$123,'10_DESPESAS'!A$2:A$123,'12_MODELO'!A5,'10_DESPESAS'!B$2:B$123,"Administrativo")</f>
        <v>32000.0</v>
      </c>
      <c r="K5" s="6">
        <f>SUMIFS('10_DESPESAS'!D$2:D$123,'10_DESPESAS'!A$2:A$123,'12_MODELO'!A5,'10_DESPESAS'!B$2:B$123,"Tecnologia")</f>
        <v>18000.0</v>
      </c>
      <c r="L5" s="6">
        <f>SUMIFS('10_DESPESAS'!D$2:D$123,'10_DESPESAS'!A$2:A$123,'12_MODELO'!A5,'10_DESPESAS'!B$2:B$123,"Operações")</f>
        <v>25076.02</v>
      </c>
      <c r="M5" s="6">
        <f>SUM('12_MODELO'!H5:'12_MODELO'!L5)</f>
        <v>211109.5</v>
      </c>
      <c r="N5" s="6">
        <f>'12_MODELO'!G5-'12_MODELO'!M5</f>
        <v>77884.77519999992</v>
      </c>
      <c r="O5" s="6">
        <f>MIN('12_MODELO'!AC4*'12_MODELO'!BH5,'12_MODELO'!AC4-'12_MODELO'!AD4+'12_MODELO'!AB5)</f>
        <v>16260.0</v>
      </c>
      <c r="P5" s="6">
        <f>'12_MODELO'!N5-'12_MODELO'!O5</f>
        <v>61624.77519999992</v>
      </c>
      <c r="Q5" s="6">
        <f>'12_MODELO'!AG4*'12_MODELO'!BG5</f>
        <v>8952.0</v>
      </c>
      <c r="R5" s="6">
        <f>'12_MODELO'!P5-'12_MODELO'!Q5</f>
        <v>52672.77519999992</v>
      </c>
      <c r="S5" s="6">
        <f>MAX(0,'12_MODELO'!R5)*'12_MODELO'!BF5</f>
        <v>17908.743567999973</v>
      </c>
      <c r="T5" s="6">
        <f>'12_MODELO'!R5-'12_MODELO'!S5</f>
        <v>34764.03163199994</v>
      </c>
      <c r="U5" s="6">
        <f>'12_MODELO'!C5*'12_MODELO'!BB5/30</f>
        <v>1519758.5066666666</v>
      </c>
      <c r="V5" s="6">
        <f>'12_MODELO'!F5*'12_MODELO'!BC5/30</f>
        <v>1156041.3333333333</v>
      </c>
      <c r="W5" s="6">
        <f>'12_MODELO'!F5+'12_MODELO'!V5-'12_MODELO'!V4</f>
        <v>755642.0</v>
      </c>
      <c r="X5" s="6">
        <f>'12_MODELO'!F5*'12_MODELO'!BD5/30</f>
        <v>879596.6666666666</v>
      </c>
      <c r="Y5" s="6">
        <f>'12_MODELO'!H5*20%</f>
        <v>19000.0</v>
      </c>
      <c r="Z5" s="6">
        <f>'12_MODELO'!D5</f>
        <v>96884.6048</v>
      </c>
      <c r="AA5" s="6">
        <f>'12_MODELO'!S5</f>
        <v>17908.743567999973</v>
      </c>
      <c r="AB5" s="6">
        <f>'08_PREMISSAS'!V5</f>
        <v>18000.0</v>
      </c>
      <c r="AC5" s="6">
        <f>'12_MODELO'!AC4+'12_MODELO'!AB5</f>
        <v>1644000.0</v>
      </c>
      <c r="AD5" s="6">
        <f>'12_MODELO'!AD4+'12_MODELO'!O5</f>
        <v>361800.0</v>
      </c>
      <c r="AE5" s="6">
        <f>'08_PREMISSAS'!W5</f>
        <v>0.0</v>
      </c>
      <c r="AF5" s="6">
        <f>'08_PREMISSAS'!X5</f>
        <v>18000.0</v>
      </c>
      <c r="AG5" s="6">
        <f>'12_MODELO'!AG4+'12_MODELO'!AE5-'12_MODELO'!AF5</f>
        <v>728000.0</v>
      </c>
      <c r="AH5" s="6">
        <f>'08_PREMISSAS'!Y5</f>
        <v>0.0</v>
      </c>
      <c r="AI5" s="6">
        <f>'12_MODELO'!AI4</f>
        <v>3900000.0</v>
      </c>
      <c r="AJ5" s="6">
        <f>'12_MODELO'!AJ4+'12_MODELO'!T5-'12_MODELO'!AH5</f>
        <v>472388.450792</v>
      </c>
      <c r="AK5" s="6">
        <f>'12_MODELO'!U4+'12_MODELO'!C5-'12_MODELO'!U5</f>
        <v>1138929.093333333</v>
      </c>
      <c r="AL5" s="6">
        <f>'12_MODELO'!X4+'12_MODELO'!W5-'12_MODELO'!X5</f>
        <v>754346.9999999999</v>
      </c>
      <c r="AM5" s="6">
        <f>'12_MODELO'!M5+'12_MODELO'!Y4-'12_MODELO'!Y5</f>
        <v>211109.5</v>
      </c>
      <c r="AN5" s="6">
        <f>'12_MODELO'!Z4+'12_MODELO'!D5-'12_MODELO'!Z5</f>
        <v>96827.88090000002</v>
      </c>
      <c r="AO5" s="6">
        <f>'12_MODELO'!AA4+'12_MODELO'!S5-'12_MODELO'!AA5</f>
        <v>18324.255494000015</v>
      </c>
      <c r="AP5" s="6">
        <f>'12_MODELO'!AK5-'12_MODELO'!AL5-'12_MODELO'!AM5-'12_MODELO'!AN5-'12_MODELO'!Q5-'12_MODELO'!AO5</f>
        <v>49368.45693933312</v>
      </c>
      <c r="AQ5" s="6">
        <f>'12_MODELO'!T5+'12_MODELO'!O5-('12_MODELO'!U5-'12_MODELO'!U4)-('12_MODELO'!V5-'12_MODELO'!V4)+('12_MODELO'!X5-'12_MODELO'!X4)+('12_MODELO'!Y5-'12_MODELO'!Y4)+('12_MODELO'!Z5-'12_MODELO'!Z4)+('12_MODELO'!AA5-'12_MODELO'!AA4)</f>
        <v>49368.45693933327</v>
      </c>
      <c r="AR5" s="6">
        <f>-'12_MODELO'!AB5</f>
        <v>-18000.0</v>
      </c>
      <c r="AS5" s="6">
        <f>'12_MODELO'!AE5-'12_MODELO'!AF5-'12_MODELO'!AH5</f>
        <v>-18000.0</v>
      </c>
      <c r="AT5" s="6">
        <f>'12_MODELO'!AQ5+'12_MODELO'!AR5+'12_MODELO'!AS5</f>
        <v>13368.456939333271</v>
      </c>
      <c r="AU5" s="6">
        <f>'12_MODELO'!AV4</f>
        <v>2142410.1688873335</v>
      </c>
      <c r="AV5" s="6">
        <f>'12_MODELO'!AU5+'12_MODELO'!AT5</f>
        <v>2155778.6258266666</v>
      </c>
      <c r="AW5" s="6">
        <f>'12_MODELO'!AV5+'12_MODELO'!U5+'12_MODELO'!V5+'12_MODELO'!AC5-'12_MODELO'!AD5</f>
        <v>6113778.465826666</v>
      </c>
      <c r="AX5" s="6">
        <f>'12_MODELO'!X5+'12_MODELO'!Y5+'12_MODELO'!Z5+'12_MODELO'!AA5+'12_MODELO'!AG5</f>
        <v>1741390.0150346665</v>
      </c>
      <c r="AY5" s="6">
        <f>'12_MODELO'!AI5+'12_MODELO'!AJ5</f>
        <v>4372388.450792</v>
      </c>
      <c r="AZ5" s="6">
        <f>'12_MODELO'!AW5-'12_MODELO'!AX5-'12_MODELO'!AY5</f>
        <v>0.0</v>
      </c>
      <c r="BA5" s="6">
        <f>'12_MODELO'!AP5-'12_MODELO'!AQ5</f>
        <v>-1.5279510989785194e-10</v>
      </c>
      <c r="BB5" s="6">
        <f>'08_PREMISSAS'!O5</f>
        <v>40.0</v>
      </c>
      <c r="BC5" s="6">
        <f>'08_PREMISSAS'!P5</f>
        <v>46.0</v>
      </c>
      <c r="BD5" s="6">
        <f>'08_PREMISSAS'!Q5</f>
        <v>35.0</v>
      </c>
      <c r="BE5" s="9">
        <f>'08_PREMISSAS'!R5</f>
        <v>0.085</v>
      </c>
      <c r="BF5" s="9">
        <f>'08_PREMISSAS'!S5</f>
        <v>0.34</v>
      </c>
      <c r="BG5" s="9">
        <f>'08_PREMISSAS'!T5</f>
        <v>0.012</v>
      </c>
      <c r="BH5" s="9">
        <f>'08_PREMISSAS'!U5</f>
        <v>0.01</v>
      </c>
      <c r="BI5" s="9">
        <f>IFERROR('12_MODELO'!N5/'12_MODELO'!E5,0)</f>
        <v>0.07467850760304548</v>
      </c>
      <c r="BJ5" s="9">
        <f>IFERROR('12_MODELO'!T5/'12_MODELO'!E5,0)</f>
        <v>0.03333290741195878</v>
      </c>
      <c r="BK5" s="6">
        <f>'12_MODELO'!AQ5+'12_MODELO'!AR5</f>
        <v>31368.45693933327</v>
      </c>
      <c r="BL5" s="6">
        <f>'12_MODELO'!U5+'12_MODELO'!V5-'12_MODELO'!X5-'12_MODELO'!Y5-'12_MODELO'!Z5-'12_MODELO'!AA5</f>
        <v>1662409.8249653333</v>
      </c>
      <c r="BM5" s="6">
        <f>'12_MODELO'!AG5-'12_MODELO'!AV5</f>
        <v>-1427778.6258266666</v>
      </c>
      <c r="BN5" s="6">
        <f>MAX(ABS('15_CONCILIACAO'!F38),ABS('15_CONCILIACAO'!F39),ABS('15_CONCILIACAO'!F40),ABS('15_CONCILIACAO'!F41),ABS('15_CONCILIACAO'!F42),ABS('15_CONCILIACAO'!F43),ABS('15_CONCILIACAO'!F44),ABS('15_CONCILIACAO'!F45),ABS('15_CONCILIACAO'!F46),ABS('15_CONCILIACAO'!F47),ABS('15_CONCILIACAO'!F48),ABS('15_CONCILIACAO'!F49))</f>
        <v>9.313225746154785e-10</v>
      </c>
      <c r="BO5" s="6">
        <f>'12_MODELO'!AV5+'12_MODELO'!U5+'12_MODELO'!V5</f>
        <v>4831578.465826666</v>
      </c>
      <c r="BP5" s="6">
        <f>'12_MODELO'!AC5-'12_MODELO'!AD5</f>
        <v>1282200.0</v>
      </c>
      <c r="BQ5" s="6">
        <f>MIN('12_MODELO'!AG5,'12_MODELO'!AF5*12)</f>
        <v>216000.0</v>
      </c>
      <c r="BR5" s="6">
        <f>'12_MODELO'!AG5-'12_MODELO'!BQ5</f>
        <v>512000.0</v>
      </c>
      <c r="BS5" s="6">
        <f>'12_MODELO'!AX5-'12_MODELO'!BR5</f>
        <v>1229390.0150346665</v>
      </c>
      <c r="BT5" s="6">
        <f>'12_MODELO'!BR5</f>
        <v>512000.0</v>
      </c>
      <c r="BU5" s="6">
        <f>IFERROR('12_MODELO'!BO5/'12_MODELO'!BS5,0)</f>
        <v>3.930061580734755</v>
      </c>
    </row>
    <row r="6" spans="1:73">
      <c r="A6" s="5">
        <v>45413</v>
      </c>
      <c r="B6" t="s">
        <v>78</v>
      </c>
      <c r="C6" s="6">
        <f>SUMIFS('09_VENDAS'!I$2:I$433,'09_VENDAS'!A$2:A$433,'12_MODELO'!A6)</f>
        <v>1186040.08</v>
      </c>
      <c r="D6" s="6">
        <f>'12_MODELO'!C6*'12_MODELO'!BE6</f>
        <v>100813.40680000001</v>
      </c>
      <c r="E6" s="6">
        <f>'12_MODELO'!C6-'12_MODELO'!D6</f>
        <v>1085226.6732</v>
      </c>
      <c r="F6" s="6">
        <f>SUMIFS('09_VENDAS'!J$2:J$433,'09_VENDAS'!A$2:A$433,'12_MODELO'!A6)</f>
        <v>785220.0</v>
      </c>
      <c r="G6" s="6">
        <f>'12_MODELO'!E6-'12_MODELO'!F6</f>
        <v>300006.6732000001</v>
      </c>
      <c r="H6" s="6">
        <f>SUMIFS('10_DESPESAS'!D$2:D$123,'10_DESPESAS'!A$2:A$123,'12_MODELO'!A6,'10_DESPESAS'!B$2:B$123,"Pessoal")</f>
        <v>95000.0</v>
      </c>
      <c r="I6" s="6">
        <f>SUMIFS('10_DESPESAS'!D$2:D$123,'10_DESPESAS'!A$2:A$123,'12_MODELO'!A6,'10_DESPESAS'!B$2:B$123,"Comercial")</f>
        <v>42697.44</v>
      </c>
      <c r="J6" s="6">
        <f>SUMIFS('10_DESPESAS'!D$2:D$123,'10_DESPESAS'!A$2:A$123,'12_MODELO'!A6,'10_DESPESAS'!B$2:B$123,"Administrativo")</f>
        <v>32000.0</v>
      </c>
      <c r="K6" s="6">
        <f>SUMIFS('10_DESPESAS'!D$2:D$123,'10_DESPESAS'!A$2:A$123,'12_MODELO'!A6,'10_DESPESAS'!B$2:B$123,"Tecnologia")</f>
        <v>18000.0</v>
      </c>
      <c r="L6" s="6">
        <f>SUMIFS('10_DESPESAS'!D$2:D$123,'10_DESPESAS'!A$2:A$123,'12_MODELO'!A6,'10_DESPESAS'!B$2:B$123,"Operações")</f>
        <v>26092.88</v>
      </c>
      <c r="M6" s="6">
        <f>SUM('12_MODELO'!H6:'12_MODELO'!L6)</f>
        <v>213790.32</v>
      </c>
      <c r="N6" s="6">
        <f>'12_MODELO'!G6-'12_MODELO'!M6</f>
        <v>86216.35320000007</v>
      </c>
      <c r="O6" s="6">
        <f>MIN('12_MODELO'!AC5*'12_MODELO'!BH6,'12_MODELO'!AC5-'12_MODELO'!AD5+'12_MODELO'!AB6)</f>
        <v>16440.0</v>
      </c>
      <c r="P6" s="6">
        <f>'12_MODELO'!N6-'12_MODELO'!O6</f>
        <v>69776.35320000007</v>
      </c>
      <c r="Q6" s="6">
        <f>'12_MODELO'!AG5*'12_MODELO'!BG6</f>
        <v>8736.0</v>
      </c>
      <c r="R6" s="6">
        <f>'12_MODELO'!P6-'12_MODELO'!Q6</f>
        <v>61040.35320000007</v>
      </c>
      <c r="S6" s="6">
        <f>MAX(0,'12_MODELO'!R6)*'12_MODELO'!BF6</f>
        <v>20753.720088000024</v>
      </c>
      <c r="T6" s="6">
        <f>'12_MODELO'!R6-'12_MODELO'!S6</f>
        <v>40286.63311200005</v>
      </c>
      <c r="U6" s="6">
        <f>'12_MODELO'!C6*'12_MODELO'!BB6/30</f>
        <v>1581386.7733333334</v>
      </c>
      <c r="V6" s="6">
        <f>'12_MODELO'!F6*'12_MODELO'!BC6/30</f>
        <v>1204004.0</v>
      </c>
      <c r="W6" s="6">
        <f>'12_MODELO'!F6+'12_MODELO'!V6-'12_MODELO'!V5</f>
        <v>833182.6666666667</v>
      </c>
      <c r="X6" s="6">
        <f>'12_MODELO'!F6*'12_MODELO'!BD6/30</f>
        <v>916090.0</v>
      </c>
      <c r="Y6" s="6">
        <f>'12_MODELO'!H6*20%</f>
        <v>19000.0</v>
      </c>
      <c r="Z6" s="6">
        <f>'12_MODELO'!D6</f>
        <v>100813.40680000001</v>
      </c>
      <c r="AA6" s="6">
        <f>'12_MODELO'!S6</f>
        <v>20753.720088000024</v>
      </c>
      <c r="AB6" s="6">
        <f>'08_PREMISSAS'!V6</f>
        <v>18000.0</v>
      </c>
      <c r="AC6" s="6">
        <f>'12_MODELO'!AC5+'12_MODELO'!AB6</f>
        <v>1662000.0</v>
      </c>
      <c r="AD6" s="6">
        <f>'12_MODELO'!AD5+'12_MODELO'!O6</f>
        <v>378240.0</v>
      </c>
      <c r="AE6" s="6">
        <f>'08_PREMISSAS'!W6</f>
        <v>0.0</v>
      </c>
      <c r="AF6" s="6">
        <f>'08_PREMISSAS'!X6</f>
        <v>18000.0</v>
      </c>
      <c r="AG6" s="6">
        <f>'12_MODELO'!AG5+'12_MODELO'!AE6-'12_MODELO'!AF6</f>
        <v>710000.0</v>
      </c>
      <c r="AH6" s="6">
        <f>'08_PREMISSAS'!Y6</f>
        <v>0.0</v>
      </c>
      <c r="AI6" s="6">
        <f>'12_MODELO'!AI5</f>
        <v>3900000.0</v>
      </c>
      <c r="AJ6" s="6">
        <f>'12_MODELO'!AJ5+'12_MODELO'!T6-'12_MODELO'!AH6</f>
        <v>512675.08390400006</v>
      </c>
      <c r="AK6" s="6">
        <f>'12_MODELO'!U5+'12_MODELO'!C6-'12_MODELO'!U6</f>
        <v>1124411.8133333335</v>
      </c>
      <c r="AL6" s="6">
        <f>'12_MODELO'!X5+'12_MODELO'!W6-'12_MODELO'!X6</f>
        <v>796689.3333333335</v>
      </c>
      <c r="AM6" s="6">
        <f>'12_MODELO'!M6+'12_MODELO'!Y5-'12_MODELO'!Y6</f>
        <v>213790.32</v>
      </c>
      <c r="AN6" s="6">
        <f>'12_MODELO'!Z5+'12_MODELO'!D6-'12_MODELO'!Z6</f>
        <v>96884.60480000002</v>
      </c>
      <c r="AO6" s="6">
        <f>'12_MODELO'!AA5+'12_MODELO'!S6-'12_MODELO'!AA6</f>
        <v>17908.74356799997</v>
      </c>
      <c r="AP6" s="6">
        <f>'12_MODELO'!AK6-'12_MODELO'!AL6-'12_MODELO'!AM6-'12_MODELO'!AN6-'12_MODELO'!Q6-'12_MODELO'!AO6</f>
        <v>-9597.18836800001</v>
      </c>
      <c r="AQ6" s="6">
        <f>'12_MODELO'!T6+'12_MODELO'!O6-('12_MODELO'!U6-'12_MODELO'!U5)-('12_MODELO'!V6-'12_MODELO'!V5)+('12_MODELO'!X6-'12_MODELO'!X5)+('12_MODELO'!Y6-'12_MODELO'!Y5)+('12_MODELO'!Z6-'12_MODELO'!Z5)+('12_MODELO'!AA6-'12_MODELO'!AA5)</f>
        <v>-9597.188368000097</v>
      </c>
      <c r="AR6" s="6">
        <f>-'12_MODELO'!AB6</f>
        <v>-18000.0</v>
      </c>
      <c r="AS6" s="6">
        <f>'12_MODELO'!AE6-'12_MODELO'!AF6-'12_MODELO'!AH6</f>
        <v>-18000.0</v>
      </c>
      <c r="AT6" s="6">
        <f>'12_MODELO'!AQ6+'12_MODELO'!AR6+'12_MODELO'!AS6</f>
        <v>-45597.1883680001</v>
      </c>
      <c r="AU6" s="6">
        <f>'12_MODELO'!AV5</f>
        <v>2155778.6258266666</v>
      </c>
      <c r="AV6" s="6">
        <f>'12_MODELO'!AU6+'12_MODELO'!AT6</f>
        <v>2110181.4374586665</v>
      </c>
      <c r="AW6" s="6">
        <f>'12_MODELO'!AV6+'12_MODELO'!U6+'12_MODELO'!V6+'12_MODELO'!AC6-'12_MODELO'!AD6</f>
        <v>6179332.2107919995</v>
      </c>
      <c r="AX6" s="6">
        <f>'12_MODELO'!X6+'12_MODELO'!Y6+'12_MODELO'!Z6+'12_MODELO'!AA6+'12_MODELO'!AG6</f>
        <v>1766657.126888</v>
      </c>
      <c r="AY6" s="6">
        <f>'12_MODELO'!AI6+'12_MODELO'!AJ6</f>
        <v>4412675.083904</v>
      </c>
      <c r="AZ6" s="6">
        <f>'12_MODELO'!AW6-'12_MODELO'!AX6-'12_MODELO'!AY6</f>
        <v>0.0</v>
      </c>
      <c r="BA6" s="6">
        <f>'12_MODELO'!AP6-'12_MODELO'!AQ6</f>
        <v>8.731149137020111e-11</v>
      </c>
      <c r="BB6" s="6">
        <f>'08_PREMISSAS'!O6</f>
        <v>40.0</v>
      </c>
      <c r="BC6" s="6">
        <f>'08_PREMISSAS'!P6</f>
        <v>46.0</v>
      </c>
      <c r="BD6" s="6">
        <f>'08_PREMISSAS'!Q6</f>
        <v>35.0</v>
      </c>
      <c r="BE6" s="9">
        <f>'08_PREMISSAS'!R6</f>
        <v>0.085</v>
      </c>
      <c r="BF6" s="9">
        <f>'08_PREMISSAS'!S6</f>
        <v>0.34</v>
      </c>
      <c r="BG6" s="9">
        <f>'08_PREMISSAS'!T6</f>
        <v>0.012</v>
      </c>
      <c r="BH6" s="9">
        <f>'08_PREMISSAS'!U6</f>
        <v>0.01</v>
      </c>
      <c r="BI6" s="9">
        <f>IFERROR('12_MODELO'!N6/'12_MODELO'!E6,0)</f>
        <v>0.07944547929860085</v>
      </c>
      <c r="BJ6" s="9">
        <f>IFERROR('12_MODELO'!T6/'12_MODELO'!E6,0)</f>
        <v>0.0371227819098909</v>
      </c>
      <c r="BK6" s="6">
        <f>'12_MODELO'!AQ6+'12_MODELO'!AR6</f>
        <v>-27597.188368000097</v>
      </c>
      <c r="BL6" s="6">
        <f>'12_MODELO'!U6+'12_MODELO'!V6-'12_MODELO'!X6-'12_MODELO'!Y6-'12_MODELO'!Z6-'12_MODELO'!AA6</f>
        <v>1728733.6464453335</v>
      </c>
      <c r="BM6" s="6">
        <f>'12_MODELO'!AG6-'12_MODELO'!AV6</f>
        <v>-1400181.4374586665</v>
      </c>
      <c r="BN6" s="6">
        <f>MAX(ABS('15_CONCILIACAO'!F50),ABS('15_CONCILIACAO'!F51),ABS('15_CONCILIACAO'!F52),ABS('15_CONCILIACAO'!F53),ABS('15_CONCILIACAO'!F54),ABS('15_CONCILIACAO'!F55),ABS('15_CONCILIACAO'!F56),ABS('15_CONCILIACAO'!F57),ABS('15_CONCILIACAO'!F58),ABS('15_CONCILIACAO'!F59),ABS('15_CONCILIACAO'!F60),ABS('15_CONCILIACAO'!F61))</f>
        <v>1.3969838619232178e-09</v>
      </c>
      <c r="BO6" s="6">
        <f>'12_MODELO'!AV6+'12_MODELO'!U6+'12_MODELO'!V6</f>
        <v>4895572.2107919995</v>
      </c>
      <c r="BP6" s="6">
        <f>'12_MODELO'!AC6-'12_MODELO'!AD6</f>
        <v>1283760.0</v>
      </c>
      <c r="BQ6" s="6">
        <f>MIN('12_MODELO'!AG6,'12_MODELO'!AF6*12)</f>
        <v>216000.0</v>
      </c>
      <c r="BR6" s="6">
        <f>'12_MODELO'!AG6-'12_MODELO'!BQ6</f>
        <v>494000.0</v>
      </c>
      <c r="BS6" s="6">
        <f>'12_MODELO'!AX6-'12_MODELO'!BR6</f>
        <v>1272657.126888</v>
      </c>
      <c r="BT6" s="6">
        <f>'12_MODELO'!BR6</f>
        <v>494000.0</v>
      </c>
      <c r="BU6" s="6">
        <f>IFERROR('12_MODELO'!BO6/'12_MODELO'!BS6,0)</f>
        <v>3.8467330338714505</v>
      </c>
    </row>
    <row r="7" spans="1:73">
      <c r="A7" s="5">
        <v>45444</v>
      </c>
      <c r="B7" t="s">
        <v>78</v>
      </c>
      <c r="C7" s="6">
        <f>SUMIFS('09_VENDAS'!I$2:I$433,'09_VENDAS'!A$2:A$433,'12_MODELO'!A7)</f>
        <v>1228190.6</v>
      </c>
      <c r="D7" s="6">
        <f>'12_MODELO'!C7*'12_MODELO'!BE7</f>
        <v>104396.20100000002</v>
      </c>
      <c r="E7" s="6">
        <f>'12_MODELO'!C7-'12_MODELO'!D7</f>
        <v>1123794.399</v>
      </c>
      <c r="F7" s="6">
        <f>SUMIFS('09_VENDAS'!J$2:J$433,'09_VENDAS'!A$2:A$433,'12_MODELO'!A7)</f>
        <v>812940.0</v>
      </c>
      <c r="G7" s="6">
        <f>'12_MODELO'!E7-'12_MODELO'!F7</f>
        <v>310854.399</v>
      </c>
      <c r="H7" s="6">
        <f>SUMIFS('10_DESPESAS'!D$2:D$123,'10_DESPESAS'!A$2:A$123,'12_MODELO'!A7,'10_DESPESAS'!B$2:B$123,"Pessoal")</f>
        <v>95000.0</v>
      </c>
      <c r="I7" s="6">
        <f>SUMIFS('10_DESPESAS'!D$2:D$123,'10_DESPESAS'!A$2:A$123,'12_MODELO'!A7,'10_DESPESAS'!B$2:B$123,"Comercial")</f>
        <v>44214.86</v>
      </c>
      <c r="J7" s="6">
        <f>SUMIFS('10_DESPESAS'!D$2:D$123,'10_DESPESAS'!A$2:A$123,'12_MODELO'!A7,'10_DESPESAS'!B$2:B$123,"Administrativo")</f>
        <v>32000.0</v>
      </c>
      <c r="K7" s="6">
        <f>SUMIFS('10_DESPESAS'!D$2:D$123,'10_DESPESAS'!A$2:A$123,'12_MODELO'!A7,'10_DESPESAS'!B$2:B$123,"Tecnologia")</f>
        <v>18000.0</v>
      </c>
      <c r="L7" s="6">
        <f>SUMIFS('10_DESPESAS'!D$2:D$123,'10_DESPESAS'!A$2:A$123,'12_MODELO'!A7,'10_DESPESAS'!B$2:B$123,"Operações")</f>
        <v>27020.19</v>
      </c>
      <c r="M7" s="6">
        <f>SUM('12_MODELO'!H7:'12_MODELO'!L7)</f>
        <v>216235.05</v>
      </c>
      <c r="N7" s="6">
        <f>'12_MODELO'!G7-'12_MODELO'!M7</f>
        <v>94619.34899999999</v>
      </c>
      <c r="O7" s="6">
        <f>MIN('12_MODELO'!AC6*'12_MODELO'!BH7,'12_MODELO'!AC6-'12_MODELO'!AD6+'12_MODELO'!AB7)</f>
        <v>16620.0</v>
      </c>
      <c r="P7" s="6">
        <f>'12_MODELO'!N7-'12_MODELO'!O7</f>
        <v>77999.34899999999</v>
      </c>
      <c r="Q7" s="6">
        <f>'12_MODELO'!AG6*'12_MODELO'!BG7</f>
        <v>8520.0</v>
      </c>
      <c r="R7" s="6">
        <f>'12_MODELO'!P7-'12_MODELO'!Q7</f>
        <v>69479.34899999999</v>
      </c>
      <c r="S7" s="6">
        <f>MAX(0,'12_MODELO'!R7)*'12_MODELO'!BF7</f>
        <v>23622.978659999997</v>
      </c>
      <c r="T7" s="6">
        <f>'12_MODELO'!R7-'12_MODELO'!S7</f>
        <v>45856.370339999994</v>
      </c>
      <c r="U7" s="6">
        <f>'12_MODELO'!C7*'12_MODELO'!BB7/30</f>
        <v>1637587.4666666666</v>
      </c>
      <c r="V7" s="6">
        <f>'12_MODELO'!F7*'12_MODELO'!BC7/30</f>
        <v>1246508.0</v>
      </c>
      <c r="W7" s="6">
        <f>'12_MODELO'!F7+'12_MODELO'!V7-'12_MODELO'!V6</f>
        <v>855444.0</v>
      </c>
      <c r="X7" s="6">
        <f>'12_MODELO'!F7*'12_MODELO'!BD7/30</f>
        <v>948430.0</v>
      </c>
      <c r="Y7" s="6">
        <f>'12_MODELO'!H7*20%</f>
        <v>19000.0</v>
      </c>
      <c r="Z7" s="6">
        <f>'12_MODELO'!D7</f>
        <v>104396.20100000002</v>
      </c>
      <c r="AA7" s="6">
        <f>'12_MODELO'!S7</f>
        <v>23622.978659999997</v>
      </c>
      <c r="AB7" s="6">
        <f>'08_PREMISSAS'!V7</f>
        <v>90000.0</v>
      </c>
      <c r="AC7" s="6">
        <f>'12_MODELO'!AC6+'12_MODELO'!AB7</f>
        <v>1752000.0</v>
      </c>
      <c r="AD7" s="6">
        <f>'12_MODELO'!AD6+'12_MODELO'!O7</f>
        <v>394860.0</v>
      </c>
      <c r="AE7" s="6">
        <f>'08_PREMISSAS'!W7</f>
        <v>0.0</v>
      </c>
      <c r="AF7" s="6">
        <f>'08_PREMISSAS'!X7</f>
        <v>18000.0</v>
      </c>
      <c r="AG7" s="6">
        <f>'12_MODELO'!AG6+'12_MODELO'!AE7-'12_MODELO'!AF7</f>
        <v>692000.0</v>
      </c>
      <c r="AH7" s="6">
        <f>'08_PREMISSAS'!Y7</f>
        <v>0.0</v>
      </c>
      <c r="AI7" s="6">
        <f>'12_MODELO'!AI6</f>
        <v>3900000.0</v>
      </c>
      <c r="AJ7" s="6">
        <f>'12_MODELO'!AJ6+'12_MODELO'!T7-'12_MODELO'!AH7</f>
        <v>558531.454244</v>
      </c>
      <c r="AK7" s="6">
        <f>'12_MODELO'!U6+'12_MODELO'!C7-'12_MODELO'!U7</f>
        <v>1171989.906666667</v>
      </c>
      <c r="AL7" s="6">
        <f>'12_MODELO'!X6+'12_MODELO'!W7-'12_MODELO'!X7</f>
        <v>823104.0</v>
      </c>
      <c r="AM7" s="6">
        <f>'12_MODELO'!M7+'12_MODELO'!Y6-'12_MODELO'!Y7</f>
        <v>216235.05</v>
      </c>
      <c r="AN7" s="6">
        <f>'12_MODELO'!Z6+'12_MODELO'!D7-'12_MODELO'!Z7</f>
        <v>100813.40680000001</v>
      </c>
      <c r="AO7" s="6">
        <f>'12_MODELO'!AA6+'12_MODELO'!S7-'12_MODELO'!AA7</f>
        <v>20753.720088000027</v>
      </c>
      <c r="AP7" s="6">
        <f>'12_MODELO'!AK7-'12_MODELO'!AL7-'12_MODELO'!AM7-'12_MODELO'!AN7-'12_MODELO'!Q7-'12_MODELO'!AO7</f>
        <v>2563.7297786669405</v>
      </c>
      <c r="AQ7" s="6">
        <f>'12_MODELO'!T7+'12_MODELO'!O7-('12_MODELO'!U7-'12_MODELO'!U6)-('12_MODELO'!V7-'12_MODELO'!V6)+('12_MODELO'!X7-'12_MODELO'!X6)+('12_MODELO'!Y7-'12_MODELO'!Y6)+('12_MODELO'!Z7-'12_MODELO'!Z6)+('12_MODELO'!AA7-'12_MODELO'!AA6)</f>
        <v>2563.7297786668496</v>
      </c>
      <c r="AR7" s="6">
        <f>-'12_MODELO'!AB7</f>
        <v>-90000.0</v>
      </c>
      <c r="AS7" s="6">
        <f>'12_MODELO'!AE7-'12_MODELO'!AF7-'12_MODELO'!AH7</f>
        <v>-18000.0</v>
      </c>
      <c r="AT7" s="6">
        <f>'12_MODELO'!AQ7+'12_MODELO'!AR7+'12_MODELO'!AS7</f>
        <v>-105436.27022133315</v>
      </c>
      <c r="AU7" s="6">
        <f>'12_MODELO'!AV6</f>
        <v>2110181.4374586665</v>
      </c>
      <c r="AV7" s="6">
        <f>'12_MODELO'!AU7+'12_MODELO'!AT7</f>
        <v>2004745.1672373333</v>
      </c>
      <c r="AW7" s="6">
        <f>'12_MODELO'!AV7+'12_MODELO'!U7+'12_MODELO'!V7+'12_MODELO'!AC7-'12_MODELO'!AD7</f>
        <v>6245980.633904</v>
      </c>
      <c r="AX7" s="6">
        <f>'12_MODELO'!X7+'12_MODELO'!Y7+'12_MODELO'!Z7+'12_MODELO'!AA7+'12_MODELO'!AG7</f>
        <v>1787449.17966</v>
      </c>
      <c r="AY7" s="6">
        <f>'12_MODELO'!AI7+'12_MODELO'!AJ7</f>
        <v>4458531.454244</v>
      </c>
      <c r="AZ7" s="6">
        <f>'12_MODELO'!AW7-'12_MODELO'!AX7-'12_MODELO'!AY7</f>
        <v>0.0</v>
      </c>
      <c r="BA7" s="6">
        <f>'12_MODELO'!AP7-'12_MODELO'!AQ7</f>
        <v>9.094947017729282e-11</v>
      </c>
      <c r="BB7" s="6">
        <f>'08_PREMISSAS'!O7</f>
        <v>40.0</v>
      </c>
      <c r="BC7" s="6">
        <f>'08_PREMISSAS'!P7</f>
        <v>46.0</v>
      </c>
      <c r="BD7" s="6">
        <f>'08_PREMISSAS'!Q7</f>
        <v>35.0</v>
      </c>
      <c r="BE7" s="9">
        <f>'08_PREMISSAS'!R7</f>
        <v>0.085</v>
      </c>
      <c r="BF7" s="9">
        <f>'08_PREMISSAS'!S7</f>
        <v>0.34</v>
      </c>
      <c r="BG7" s="9">
        <f>'08_PREMISSAS'!T7</f>
        <v>0.012</v>
      </c>
      <c r="BH7" s="9">
        <f>'08_PREMISSAS'!U7</f>
        <v>0.01</v>
      </c>
      <c r="BI7" s="9">
        <f>IFERROR('12_MODELO'!N7/'12_MODELO'!E7,0)</f>
        <v>0.08419631658975726</v>
      </c>
      <c r="BJ7" s="9">
        <f>IFERROR('12_MODELO'!T7/'12_MODELO'!E7,0)</f>
        <v>0.0408049465105049</v>
      </c>
      <c r="BK7" s="6">
        <f>'12_MODELO'!AQ7+'12_MODELO'!AR7</f>
        <v>-87436.27022133315</v>
      </c>
      <c r="BL7" s="6">
        <f>'12_MODELO'!U7+'12_MODELO'!V7-'12_MODELO'!X7-'12_MODELO'!Y7-'12_MODELO'!Z7-'12_MODELO'!AA7</f>
        <v>1788646.2870066667</v>
      </c>
      <c r="BM7" s="6">
        <f>'12_MODELO'!AG7-'12_MODELO'!AV7</f>
        <v>-1312745.1672373333</v>
      </c>
      <c r="BN7" s="6">
        <f>MAX(ABS('15_CONCILIACAO'!F62),ABS('15_CONCILIACAO'!F63),ABS('15_CONCILIACAO'!F64),ABS('15_CONCILIACAO'!F65),ABS('15_CONCILIACAO'!F66),ABS('15_CONCILIACAO'!F67),ABS('15_CONCILIACAO'!F68),ABS('15_CONCILIACAO'!F69),ABS('15_CONCILIACAO'!F70),ABS('15_CONCILIACAO'!F71),ABS('15_CONCILIACAO'!F72),ABS('15_CONCILIACAO'!F73))</f>
        <v>1.6298145055770874e-09</v>
      </c>
      <c r="BO7" s="6">
        <f>'12_MODELO'!AV7+'12_MODELO'!U7+'12_MODELO'!V7</f>
        <v>4888840.633904</v>
      </c>
      <c r="BP7" s="6">
        <f>'12_MODELO'!AC7-'12_MODELO'!AD7</f>
        <v>1357140.0</v>
      </c>
      <c r="BQ7" s="6">
        <f>MIN('12_MODELO'!AG7,'12_MODELO'!AF7*12)</f>
        <v>216000.0</v>
      </c>
      <c r="BR7" s="6">
        <f>'12_MODELO'!AG7-'12_MODELO'!BQ7</f>
        <v>476000.0</v>
      </c>
      <c r="BS7" s="6">
        <f>'12_MODELO'!AX7-'12_MODELO'!BR7</f>
        <v>1311449.17966</v>
      </c>
      <c r="BT7" s="6">
        <f>'12_MODELO'!BR7</f>
        <v>476000.0</v>
      </c>
      <c r="BU7" s="6">
        <f>IFERROR('12_MODELO'!BO7/'12_MODELO'!BS7,0)</f>
        <v>3.7278155415610215</v>
      </c>
    </row>
    <row r="8" spans="1:73">
      <c r="A8" s="5">
        <v>45474</v>
      </c>
      <c r="B8" t="s">
        <v>78</v>
      </c>
      <c r="C8" s="6">
        <f>SUMIFS('09_VENDAS'!I$2:I$433,'09_VENDAS'!A$2:A$433,'12_MODELO'!A8)</f>
        <v>1083854.96</v>
      </c>
      <c r="D8" s="6">
        <f>'12_MODELO'!C8*'12_MODELO'!BE8</f>
        <v>92127.6716</v>
      </c>
      <c r="E8" s="6">
        <f>'12_MODELO'!C8-'12_MODELO'!D8</f>
        <v>991727.2884</v>
      </c>
      <c r="F8" s="6">
        <f>SUMIFS('09_VENDAS'!J$2:J$433,'09_VENDAS'!A$2:A$433,'12_MODELO'!A8)</f>
        <v>718240.0</v>
      </c>
      <c r="G8" s="6">
        <f>'12_MODELO'!E8-'12_MODELO'!F8</f>
        <v>273487.28839999996</v>
      </c>
      <c r="H8" s="6">
        <f>SUMIFS('10_DESPESAS'!D$2:D$123,'10_DESPESAS'!A$2:A$123,'12_MODELO'!A8,'10_DESPESAS'!B$2:B$123,"Pessoal")</f>
        <v>98800.0</v>
      </c>
      <c r="I8" s="6">
        <f>SUMIFS('10_DESPESAS'!D$2:D$123,'10_DESPESAS'!A$2:A$123,'12_MODELO'!A8,'10_DESPESAS'!B$2:B$123,"Comercial")</f>
        <v>39018.78</v>
      </c>
      <c r="J8" s="6">
        <f>SUMIFS('10_DESPESAS'!D$2:D$123,'10_DESPESAS'!A$2:A$123,'12_MODELO'!A8,'10_DESPESAS'!B$2:B$123,"Administrativo")</f>
        <v>32000.0</v>
      </c>
      <c r="K8" s="6">
        <f>SUMIFS('10_DESPESAS'!D$2:D$123,'10_DESPESAS'!A$2:A$123,'12_MODELO'!A8,'10_DESPESAS'!B$2:B$123,"Tecnologia")</f>
        <v>18000.0</v>
      </c>
      <c r="L8" s="6">
        <f>SUMIFS('10_DESPESAS'!D$2:D$123,'10_DESPESAS'!A$2:A$123,'12_MODELO'!A8,'10_DESPESAS'!B$2:B$123,"Operações")</f>
        <v>23844.81</v>
      </c>
      <c r="M8" s="6">
        <f>SUM('12_MODELO'!H8:'12_MODELO'!L8)</f>
        <v>211663.59</v>
      </c>
      <c r="N8" s="6">
        <f>'12_MODELO'!G8-'12_MODELO'!M8</f>
        <v>61823.698399999965</v>
      </c>
      <c r="O8" s="6">
        <f>MIN('12_MODELO'!AC7*'12_MODELO'!BH8,'12_MODELO'!AC7-'12_MODELO'!AD7+'12_MODELO'!AB8)</f>
        <v>17520.0</v>
      </c>
      <c r="P8" s="6">
        <f>'12_MODELO'!N8-'12_MODELO'!O8</f>
        <v>44303.698399999965</v>
      </c>
      <c r="Q8" s="6">
        <f>'12_MODELO'!AG7*'12_MODELO'!BG8</f>
        <v>8304.0</v>
      </c>
      <c r="R8" s="6">
        <f>'12_MODELO'!P8-'12_MODELO'!Q8</f>
        <v>35999.698399999965</v>
      </c>
      <c r="S8" s="6">
        <f>MAX(0,'12_MODELO'!R8)*'12_MODELO'!BF8</f>
        <v>12239.89745599999</v>
      </c>
      <c r="T8" s="6">
        <f>'12_MODELO'!R8-'12_MODELO'!S8</f>
        <v>23759.800943999973</v>
      </c>
      <c r="U8" s="6">
        <f>'12_MODELO'!C8*'12_MODELO'!BB8/30</f>
        <v>1445139.9466666665</v>
      </c>
      <c r="V8" s="6">
        <f>'12_MODELO'!F8*'12_MODELO'!BC8/30</f>
        <v>1101301.3333333333</v>
      </c>
      <c r="W8" s="6">
        <f>'12_MODELO'!F8+'12_MODELO'!V8-'12_MODELO'!V7</f>
        <v>573033.3333333333</v>
      </c>
      <c r="X8" s="6">
        <f>'12_MODELO'!F8*'12_MODELO'!BD8/30</f>
        <v>837946.6666666666</v>
      </c>
      <c r="Y8" s="6">
        <f>'12_MODELO'!H8*20%</f>
        <v>19760.0</v>
      </c>
      <c r="Z8" s="6">
        <f>'12_MODELO'!D8</f>
        <v>92127.6716</v>
      </c>
      <c r="AA8" s="6">
        <f>'12_MODELO'!S8</f>
        <v>12239.89745599999</v>
      </c>
      <c r="AB8" s="6">
        <f>'08_PREMISSAS'!V8</f>
        <v>18000.0</v>
      </c>
      <c r="AC8" s="6">
        <f>'12_MODELO'!AC7+'12_MODELO'!AB8</f>
        <v>1770000.0</v>
      </c>
      <c r="AD8" s="6">
        <f>'12_MODELO'!AD7+'12_MODELO'!O8</f>
        <v>412380.0</v>
      </c>
      <c r="AE8" s="6">
        <f>'08_PREMISSAS'!W8</f>
        <v>0.0</v>
      </c>
      <c r="AF8" s="6">
        <f>'08_PREMISSAS'!X8</f>
        <v>18000.0</v>
      </c>
      <c r="AG8" s="6">
        <f>'12_MODELO'!AG7+'12_MODELO'!AE8-'12_MODELO'!AF8</f>
        <v>674000.0</v>
      </c>
      <c r="AH8" s="6">
        <f>'08_PREMISSAS'!Y8</f>
        <v>0.0</v>
      </c>
      <c r="AI8" s="6">
        <f>'12_MODELO'!AI7</f>
        <v>3900000.0</v>
      </c>
      <c r="AJ8" s="6">
        <f>'12_MODELO'!AJ7+'12_MODELO'!T8-'12_MODELO'!AH8</f>
        <v>582291.255188</v>
      </c>
      <c r="AK8" s="6">
        <f>'12_MODELO'!U7+'12_MODELO'!C8-'12_MODELO'!U8</f>
        <v>1276302.4800000002</v>
      </c>
      <c r="AL8" s="6">
        <f>'12_MODELO'!X7+'12_MODELO'!W8-'12_MODELO'!X8</f>
        <v>683516.6666666666</v>
      </c>
      <c r="AM8" s="6">
        <f>'12_MODELO'!M8+'12_MODELO'!Y7-'12_MODELO'!Y8</f>
        <v>210903.59</v>
      </c>
      <c r="AN8" s="6">
        <f>'12_MODELO'!Z7+'12_MODELO'!D8-'12_MODELO'!Z8</f>
        <v>104396.201</v>
      </c>
      <c r="AO8" s="6">
        <f>'12_MODELO'!AA7+'12_MODELO'!S8-'12_MODELO'!AA8</f>
        <v>23622.978659999993</v>
      </c>
      <c r="AP8" s="6">
        <f>'12_MODELO'!AK8-'12_MODELO'!AL8-'12_MODELO'!AM8-'12_MODELO'!AN8-'12_MODELO'!Q8-'12_MODELO'!AO8</f>
        <v>245559.04367333362</v>
      </c>
      <c r="AQ8" s="6">
        <f>'12_MODELO'!T8+'12_MODELO'!O8-('12_MODELO'!U8-'12_MODELO'!U7)-('12_MODELO'!V8-'12_MODELO'!V7)+('12_MODELO'!X8-'12_MODELO'!X7)+('12_MODELO'!Y8-'12_MODELO'!Y7)+('12_MODELO'!Z8-'12_MODELO'!Z7)+('12_MODELO'!AA8-'12_MODELO'!AA7)</f>
        <v>245559.04367333333</v>
      </c>
      <c r="AR8" s="6">
        <f>-'12_MODELO'!AB8</f>
        <v>-18000.0</v>
      </c>
      <c r="AS8" s="6">
        <f>'12_MODELO'!AE8-'12_MODELO'!AF8-'12_MODELO'!AH8</f>
        <v>-18000.0</v>
      </c>
      <c r="AT8" s="6">
        <f>'12_MODELO'!AQ8+'12_MODELO'!AR8+'12_MODELO'!AS8</f>
        <v>209559.04367333333</v>
      </c>
      <c r="AU8" s="6">
        <f>'12_MODELO'!AV7</f>
        <v>2004745.1672373333</v>
      </c>
      <c r="AV8" s="6">
        <f>'12_MODELO'!AU8+'12_MODELO'!AT8</f>
        <v>2214304.2109106667</v>
      </c>
      <c r="AW8" s="6">
        <f>'12_MODELO'!AV8+'12_MODELO'!U8+'12_MODELO'!V8+'12_MODELO'!AC8-'12_MODELO'!AD8</f>
        <v>6118365.490910666</v>
      </c>
      <c r="AX8" s="6">
        <f>'12_MODELO'!X8+'12_MODELO'!Y8+'12_MODELO'!Z8+'12_MODELO'!AA8+'12_MODELO'!AG8</f>
        <v>1636074.2357226666</v>
      </c>
      <c r="AY8" s="6">
        <f>'12_MODELO'!AI8+'12_MODELO'!AJ8</f>
        <v>4482291.255188</v>
      </c>
      <c r="AZ8" s="6">
        <f>'12_MODELO'!AW8-'12_MODELO'!AX8-'12_MODELO'!AY8</f>
        <v>-9.313225746154785e-10</v>
      </c>
      <c r="BA8" s="6">
        <f>'12_MODELO'!AP8-'12_MODELO'!AQ8</f>
        <v>2.9103830456733704e-10</v>
      </c>
      <c r="BB8" s="6">
        <f>'08_PREMISSAS'!O8</f>
        <v>40.0</v>
      </c>
      <c r="BC8" s="6">
        <f>'08_PREMISSAS'!P8</f>
        <v>46.0</v>
      </c>
      <c r="BD8" s="6">
        <f>'08_PREMISSAS'!Q8</f>
        <v>35.0</v>
      </c>
      <c r="BE8" s="9">
        <f>'08_PREMISSAS'!R8</f>
        <v>0.085</v>
      </c>
      <c r="BF8" s="9">
        <f>'08_PREMISSAS'!S8</f>
        <v>0.34</v>
      </c>
      <c r="BG8" s="9">
        <f>'08_PREMISSAS'!T8</f>
        <v>0.012</v>
      </c>
      <c r="BH8" s="9">
        <f>'08_PREMISSAS'!U8</f>
        <v>0.01</v>
      </c>
      <c r="BI8" s="9">
        <f>IFERROR('12_MODELO'!N8/'12_MODELO'!E8,0)</f>
        <v>0.06233941439661606</v>
      </c>
      <c r="BJ8" s="9">
        <f>IFERROR('12_MODELO'!T8/'12_MODELO'!E8,0)</f>
        <v>0.023957998556571707</v>
      </c>
      <c r="BK8" s="6">
        <f>'12_MODELO'!AQ8+'12_MODELO'!AR8</f>
        <v>227559.04367333333</v>
      </c>
      <c r="BL8" s="6">
        <f>'12_MODELO'!U8+'12_MODELO'!V8-'12_MODELO'!X8-'12_MODELO'!Y8-'12_MODELO'!Z8-'12_MODELO'!AA8</f>
        <v>1584367.0442773332</v>
      </c>
      <c r="BM8" s="6">
        <f>'12_MODELO'!AG8-'12_MODELO'!AV8</f>
        <v>-1540304.2109106667</v>
      </c>
      <c r="BN8" s="6">
        <f>MAX(ABS('15_CONCILIACAO'!F74),ABS('15_CONCILIACAO'!F75),ABS('15_CONCILIACAO'!F76),ABS('15_CONCILIACAO'!F77),ABS('15_CONCILIACAO'!F78),ABS('15_CONCILIACAO'!F79),ABS('15_CONCILIACAO'!F80),ABS('15_CONCILIACAO'!F81),ABS('15_CONCILIACAO'!F82),ABS('15_CONCILIACAO'!F83),ABS('15_CONCILIACAO'!F84),ABS('15_CONCILIACAO'!F85))</f>
        <v>1.862645149230957e-09</v>
      </c>
      <c r="BO8" s="6">
        <f>'12_MODELO'!AV8+'12_MODELO'!U8+'12_MODELO'!V8</f>
        <v>4760745.490910666</v>
      </c>
      <c r="BP8" s="6">
        <f>'12_MODELO'!AC8-'12_MODELO'!AD8</f>
        <v>1357620.0</v>
      </c>
      <c r="BQ8" s="6">
        <f>MIN('12_MODELO'!AG8,'12_MODELO'!AF8*12)</f>
        <v>216000.0</v>
      </c>
      <c r="BR8" s="6">
        <f>'12_MODELO'!AG8-'12_MODELO'!BQ8</f>
        <v>458000.0</v>
      </c>
      <c r="BS8" s="6">
        <f>'12_MODELO'!AX8-'12_MODELO'!BR8</f>
        <v>1178074.2357226666</v>
      </c>
      <c r="BT8" s="6">
        <f>'12_MODELO'!BR8</f>
        <v>458000.0</v>
      </c>
      <c r="BU8" s="6">
        <f>IFERROR('12_MODELO'!BO8/'12_MODELO'!BS8,0)</f>
        <v>4.0411252080309525</v>
      </c>
    </row>
    <row r="9" spans="1:73">
      <c r="A9" s="5">
        <v>45505</v>
      </c>
      <c r="B9" t="s">
        <v>78</v>
      </c>
      <c r="C9" s="6">
        <f>SUMIFS('09_VENDAS'!I$2:I$433,'09_VENDAS'!A$2:A$433,'12_MODELO'!A9)</f>
        <v>1173442.34</v>
      </c>
      <c r="D9" s="6">
        <f>'12_MODELO'!C9*'12_MODELO'!BE9</f>
        <v>99742.59890000001</v>
      </c>
      <c r="E9" s="6">
        <f>'12_MODELO'!C9-'12_MODELO'!D9</f>
        <v>1073699.7411</v>
      </c>
      <c r="F9" s="6">
        <f>SUMIFS('09_VENDAS'!J$2:J$433,'09_VENDAS'!A$2:A$433,'12_MODELO'!A9)</f>
        <v>776350.0</v>
      </c>
      <c r="G9" s="6">
        <f>'12_MODELO'!E9-'12_MODELO'!F9</f>
        <v>297349.7411</v>
      </c>
      <c r="H9" s="6">
        <f>SUMIFS('10_DESPESAS'!D$2:D$123,'10_DESPESAS'!A$2:A$123,'12_MODELO'!A9,'10_DESPESAS'!B$2:B$123,"Pessoal")</f>
        <v>98800.0</v>
      </c>
      <c r="I9" s="6">
        <f>SUMIFS('10_DESPESAS'!D$2:D$123,'10_DESPESAS'!A$2:A$123,'12_MODELO'!A9,'10_DESPESAS'!B$2:B$123,"Comercial")</f>
        <v>42243.92</v>
      </c>
      <c r="J9" s="6">
        <f>SUMIFS('10_DESPESAS'!D$2:D$123,'10_DESPESAS'!A$2:A$123,'12_MODELO'!A9,'10_DESPESAS'!B$2:B$123,"Administrativo")</f>
        <v>32000.0</v>
      </c>
      <c r="K9" s="6">
        <f>SUMIFS('10_DESPESAS'!D$2:D$123,'10_DESPESAS'!A$2:A$123,'12_MODELO'!A9,'10_DESPESAS'!B$2:B$123,"Tecnologia")</f>
        <v>18000.0</v>
      </c>
      <c r="L9" s="6">
        <f>SUMIFS('10_DESPESAS'!D$2:D$123,'10_DESPESAS'!A$2:A$123,'12_MODELO'!A9,'10_DESPESAS'!B$2:B$123,"Operações")</f>
        <v>25815.73</v>
      </c>
      <c r="M9" s="6">
        <f>SUM('12_MODELO'!H9:'12_MODELO'!L9)</f>
        <v>216859.65</v>
      </c>
      <c r="N9" s="6">
        <f>'12_MODELO'!G9-'12_MODELO'!M9</f>
        <v>80490.09109999999</v>
      </c>
      <c r="O9" s="6">
        <f>MIN('12_MODELO'!AC8*'12_MODELO'!BH9,'12_MODELO'!AC8-'12_MODELO'!AD8+'12_MODELO'!AB9)</f>
        <v>17700.0</v>
      </c>
      <c r="P9" s="6">
        <f>'12_MODELO'!N9-'12_MODELO'!O9</f>
        <v>62790.09109999999</v>
      </c>
      <c r="Q9" s="6">
        <f>'12_MODELO'!AG8*'12_MODELO'!BG9</f>
        <v>8088.0</v>
      </c>
      <c r="R9" s="6">
        <f>'12_MODELO'!P9-'12_MODELO'!Q9</f>
        <v>54702.09109999999</v>
      </c>
      <c r="S9" s="6">
        <f>MAX(0,'12_MODELO'!R9)*'12_MODELO'!BF9</f>
        <v>18598.710973999998</v>
      </c>
      <c r="T9" s="6">
        <f>'12_MODELO'!R9-'12_MODELO'!S9</f>
        <v>36103.38012599999</v>
      </c>
      <c r="U9" s="6">
        <f>'12_MODELO'!C9*'12_MODELO'!BB9/30</f>
        <v>1564589.7866666666</v>
      </c>
      <c r="V9" s="6">
        <f>'12_MODELO'!F9*'12_MODELO'!BC9/30</f>
        <v>1190403.3333333333</v>
      </c>
      <c r="W9" s="6">
        <f>'12_MODELO'!F9+'12_MODELO'!V9-'12_MODELO'!V8</f>
        <v>865452.0</v>
      </c>
      <c r="X9" s="6">
        <f>'12_MODELO'!F9*'12_MODELO'!BD9/30</f>
        <v>905741.6666666666</v>
      </c>
      <c r="Y9" s="6">
        <f>'12_MODELO'!H9*20%</f>
        <v>19760.0</v>
      </c>
      <c r="Z9" s="6">
        <f>'12_MODELO'!D9</f>
        <v>99742.59890000001</v>
      </c>
      <c r="AA9" s="6">
        <f>'12_MODELO'!S9</f>
        <v>18598.710973999998</v>
      </c>
      <c r="AB9" s="6">
        <f>'08_PREMISSAS'!V9</f>
        <v>18000.0</v>
      </c>
      <c r="AC9" s="6">
        <f>'12_MODELO'!AC8+'12_MODELO'!AB9</f>
        <v>1788000.0</v>
      </c>
      <c r="AD9" s="6">
        <f>'12_MODELO'!AD8+'12_MODELO'!O9</f>
        <v>430080.0</v>
      </c>
      <c r="AE9" s="6">
        <f>'08_PREMISSAS'!W9</f>
        <v>0.0</v>
      </c>
      <c r="AF9" s="6">
        <f>'08_PREMISSAS'!X9</f>
        <v>18000.0</v>
      </c>
      <c r="AG9" s="6">
        <f>'12_MODELO'!AG8+'12_MODELO'!AE9-'12_MODELO'!AF9</f>
        <v>656000.0</v>
      </c>
      <c r="AH9" s="6">
        <f>'08_PREMISSAS'!Y9</f>
        <v>0.0</v>
      </c>
      <c r="AI9" s="6">
        <f>'12_MODELO'!AI8</f>
        <v>3900000.0</v>
      </c>
      <c r="AJ9" s="6">
        <f>'12_MODELO'!AJ8+'12_MODELO'!T9-'12_MODELO'!AH9</f>
        <v>618394.6353140001</v>
      </c>
      <c r="AK9" s="6">
        <f>'12_MODELO'!U8+'12_MODELO'!C9-'12_MODELO'!U9</f>
        <v>1053992.5</v>
      </c>
      <c r="AL9" s="6">
        <f>'12_MODELO'!X8+'12_MODELO'!W9-'12_MODELO'!X9</f>
        <v>797656.9999999999</v>
      </c>
      <c r="AM9" s="6">
        <f>'12_MODELO'!M9+'12_MODELO'!Y8-'12_MODELO'!Y9</f>
        <v>216859.65</v>
      </c>
      <c r="AN9" s="6">
        <f>'12_MODELO'!Z8+'12_MODELO'!D9-'12_MODELO'!Z9</f>
        <v>92127.6716</v>
      </c>
      <c r="AO9" s="6">
        <f>'12_MODELO'!AA8+'12_MODELO'!S9-'12_MODELO'!AA9</f>
        <v>12239.897455999988</v>
      </c>
      <c r="AP9" s="6">
        <f>'12_MODELO'!AK9-'12_MODELO'!AL9-'12_MODELO'!AM9-'12_MODELO'!AN9-'12_MODELO'!Q9-'12_MODELO'!AO9</f>
        <v>-72979.71905599987</v>
      </c>
      <c r="AQ9" s="6">
        <f>'12_MODELO'!T9+'12_MODELO'!O9-('12_MODELO'!U9-'12_MODELO'!U8)-('12_MODELO'!V9-'12_MODELO'!V8)+('12_MODELO'!X9-'12_MODELO'!X8)+('12_MODELO'!Y9-'12_MODELO'!Y8)+('12_MODELO'!Z9-'12_MODELO'!Z8)+('12_MODELO'!AA9-'12_MODELO'!AA8)</f>
        <v>-72979.71905600009</v>
      </c>
      <c r="AR9" s="6">
        <f>-'12_MODELO'!AB9</f>
        <v>-18000.0</v>
      </c>
      <c r="AS9" s="6">
        <f>'12_MODELO'!AE9-'12_MODELO'!AF9-'12_MODELO'!AH9</f>
        <v>-18000.0</v>
      </c>
      <c r="AT9" s="6">
        <f>'12_MODELO'!AQ9+'12_MODELO'!AR9+'12_MODELO'!AS9</f>
        <v>-108979.71905600009</v>
      </c>
      <c r="AU9" s="6">
        <f>'12_MODELO'!AV8</f>
        <v>2214304.2109106667</v>
      </c>
      <c r="AV9" s="6">
        <f>'12_MODELO'!AU9+'12_MODELO'!AT9</f>
        <v>2105324.4918546667</v>
      </c>
      <c r="AW9" s="6">
        <f>'12_MODELO'!AV9+'12_MODELO'!U9+'12_MODELO'!V9+'12_MODELO'!AC9-'12_MODELO'!AD9</f>
        <v>6218237.611854667</v>
      </c>
      <c r="AX9" s="6">
        <f>'12_MODELO'!X9+'12_MODELO'!Y9+'12_MODELO'!Z9+'12_MODELO'!AA9+'12_MODELO'!AG9</f>
        <v>1699842.9765406665</v>
      </c>
      <c r="AY9" s="6">
        <f>'12_MODELO'!AI9+'12_MODELO'!AJ9</f>
        <v>4518394.635314</v>
      </c>
      <c r="AZ9" s="6">
        <f>'12_MODELO'!AW9-'12_MODELO'!AX9-'12_MODELO'!AY9</f>
        <v>9.313225746154785e-10</v>
      </c>
      <c r="BA9" s="6">
        <f>'12_MODELO'!AP9-'12_MODELO'!AQ9</f>
        <v>2.1827872842550278e-10</v>
      </c>
      <c r="BB9" s="6">
        <f>'08_PREMISSAS'!O9</f>
        <v>40.0</v>
      </c>
      <c r="BC9" s="6">
        <f>'08_PREMISSAS'!P9</f>
        <v>46.0</v>
      </c>
      <c r="BD9" s="6">
        <f>'08_PREMISSAS'!Q9</f>
        <v>35.0</v>
      </c>
      <c r="BE9" s="9">
        <f>'08_PREMISSAS'!R9</f>
        <v>0.085</v>
      </c>
      <c r="BF9" s="9">
        <f>'08_PREMISSAS'!S9</f>
        <v>0.34</v>
      </c>
      <c r="BG9" s="9">
        <f>'08_PREMISSAS'!T9</f>
        <v>0.012</v>
      </c>
      <c r="BH9" s="9">
        <f>'08_PREMISSAS'!U9</f>
        <v>0.01</v>
      </c>
      <c r="BI9" s="9">
        <f>IFERROR('12_MODELO'!N9/'12_MODELO'!E9,0)</f>
        <v>0.07496517696608393</v>
      </c>
      <c r="BJ9" s="9">
        <f>IFERROR('12_MODELO'!T9/'12_MODELO'!E9,0)</f>
        <v>0.0336252107959086</v>
      </c>
      <c r="BK9" s="6">
        <f>'12_MODELO'!AQ9+'12_MODELO'!AR9</f>
        <v>-90979.71905600009</v>
      </c>
      <c r="BL9" s="6">
        <f>'12_MODELO'!U9+'12_MODELO'!V9-'12_MODELO'!X9-'12_MODELO'!Y9-'12_MODELO'!Z9-'12_MODELO'!AA9</f>
        <v>1711150.1434593336</v>
      </c>
      <c r="BM9" s="6">
        <f>'12_MODELO'!AG9-'12_MODELO'!AV9</f>
        <v>-1449324.4918546667</v>
      </c>
      <c r="BN9" s="6">
        <f>MAX(ABS('15_CONCILIACAO'!F86),ABS('15_CONCILIACAO'!F87),ABS('15_CONCILIACAO'!F88),ABS('15_CONCILIACAO'!F89),ABS('15_CONCILIACAO'!F90),ABS('15_CONCILIACAO'!F91),ABS('15_CONCILIACAO'!F92),ABS('15_CONCILIACAO'!F93),ABS('15_CONCILIACAO'!F94),ABS('15_CONCILIACAO'!F95),ABS('15_CONCILIACAO'!F96),ABS('15_CONCILIACAO'!F97))</f>
        <v>1.862645149230957e-09</v>
      </c>
      <c r="BO9" s="6">
        <f>'12_MODELO'!AV9+'12_MODELO'!U9+'12_MODELO'!V9</f>
        <v>4860317.611854667</v>
      </c>
      <c r="BP9" s="6">
        <f>'12_MODELO'!AC9-'12_MODELO'!AD9</f>
        <v>1357920.0</v>
      </c>
      <c r="BQ9" s="6">
        <f>MIN('12_MODELO'!AG9,'12_MODELO'!AF9*12)</f>
        <v>216000.0</v>
      </c>
      <c r="BR9" s="6">
        <f>'12_MODELO'!AG9-'12_MODELO'!BQ9</f>
        <v>440000.0</v>
      </c>
      <c r="BS9" s="6">
        <f>'12_MODELO'!AX9-'12_MODELO'!BR9</f>
        <v>1259842.9765406665</v>
      </c>
      <c r="BT9" s="6">
        <f>'12_MODELO'!BR9</f>
        <v>440000.0</v>
      </c>
      <c r="BU9" s="6">
        <f>IFERROR('12_MODELO'!BO9/'12_MODELO'!BS9,0)</f>
        <v>3.857875705431438</v>
      </c>
    </row>
    <row r="10" spans="1:73">
      <c r="A10" s="5">
        <v>45536</v>
      </c>
      <c r="B10" t="s">
        <v>78</v>
      </c>
      <c r="C10" s="6">
        <f>SUMIFS('09_VENDAS'!I$2:I$433,'09_VENDAS'!A$2:A$433,'12_MODELO'!A10)</f>
        <v>1218986.26</v>
      </c>
      <c r="D10" s="6">
        <f>'12_MODELO'!C10*'12_MODELO'!BE10</f>
        <v>103613.83210000001</v>
      </c>
      <c r="E10" s="6">
        <f>'12_MODELO'!C10-'12_MODELO'!D10</f>
        <v>1115372.4279</v>
      </c>
      <c r="F10" s="6">
        <f>SUMIFS('09_VENDAS'!J$2:J$433,'09_VENDAS'!A$2:A$433,'12_MODELO'!A10)</f>
        <v>805520.0</v>
      </c>
      <c r="G10" s="6">
        <f>'12_MODELO'!E10-'12_MODELO'!F10</f>
        <v>309852.4279</v>
      </c>
      <c r="H10" s="6">
        <f>SUMIFS('10_DESPESAS'!D$2:D$123,'10_DESPESAS'!A$2:A$123,'12_MODELO'!A10,'10_DESPESAS'!B$2:B$123,"Pessoal")</f>
        <v>98800.0</v>
      </c>
      <c r="I10" s="6">
        <f>SUMIFS('10_DESPESAS'!D$2:D$123,'10_DESPESAS'!A$2:A$123,'12_MODELO'!A10,'10_DESPESAS'!B$2:B$123,"Comercial")</f>
        <v>43883.51</v>
      </c>
      <c r="J10" s="6">
        <f>SUMIFS('10_DESPESAS'!D$2:D$123,'10_DESPESAS'!A$2:A$123,'12_MODELO'!A10,'10_DESPESAS'!B$2:B$123,"Administrativo")</f>
        <v>32000.0</v>
      </c>
      <c r="K10" s="6">
        <f>SUMIFS('10_DESPESAS'!D$2:D$123,'10_DESPESAS'!A$2:A$123,'12_MODELO'!A10,'10_DESPESAS'!B$2:B$123,"Tecnologia")</f>
        <v>18000.0</v>
      </c>
      <c r="L10" s="6">
        <f>SUMIFS('10_DESPESAS'!D$2:D$123,'10_DESPESAS'!A$2:A$123,'12_MODELO'!A10,'10_DESPESAS'!B$2:B$123,"Operações")</f>
        <v>26817.7</v>
      </c>
      <c r="M10" s="6">
        <f>SUM('12_MODELO'!H10:'12_MODELO'!L10)</f>
        <v>219501.21</v>
      </c>
      <c r="N10" s="6">
        <f>'12_MODELO'!G10-'12_MODELO'!M10</f>
        <v>90351.21790000002</v>
      </c>
      <c r="O10" s="6">
        <f>MIN('12_MODELO'!AC9*'12_MODELO'!BH10,'12_MODELO'!AC9-'12_MODELO'!AD9+'12_MODELO'!AB10)</f>
        <v>17880.0</v>
      </c>
      <c r="P10" s="6">
        <f>'12_MODELO'!N10-'12_MODELO'!O10</f>
        <v>72471.21790000002</v>
      </c>
      <c r="Q10" s="6">
        <f>'12_MODELO'!AG9*'12_MODELO'!BG10</f>
        <v>7872.0</v>
      </c>
      <c r="R10" s="6">
        <f>'12_MODELO'!P10-'12_MODELO'!Q10</f>
        <v>64599.21790000002</v>
      </c>
      <c r="S10" s="6">
        <f>MAX(0,'12_MODELO'!R10)*'12_MODELO'!BF10</f>
        <v>21963.734086000008</v>
      </c>
      <c r="T10" s="6">
        <f>'12_MODELO'!R10-'12_MODELO'!S10</f>
        <v>42635.48381400001</v>
      </c>
      <c r="U10" s="6">
        <f>'12_MODELO'!C10*'12_MODELO'!BB10/30</f>
        <v>1625315.0133333332</v>
      </c>
      <c r="V10" s="6">
        <f>'12_MODELO'!F10*'12_MODELO'!BC10/30</f>
        <v>1235130.6666666667</v>
      </c>
      <c r="W10" s="6">
        <f>'12_MODELO'!F10+'12_MODELO'!V10-'12_MODELO'!V9</f>
        <v>850247.3333333335</v>
      </c>
      <c r="X10" s="6">
        <f>'12_MODELO'!F10*'12_MODELO'!BD10/30</f>
        <v>939773.3333333334</v>
      </c>
      <c r="Y10" s="6">
        <f>'12_MODELO'!H10*20%</f>
        <v>19760.0</v>
      </c>
      <c r="Z10" s="6">
        <f>'12_MODELO'!D10</f>
        <v>103613.83210000001</v>
      </c>
      <c r="AA10" s="6">
        <f>'12_MODELO'!S10</f>
        <v>21963.734086000008</v>
      </c>
      <c r="AB10" s="6">
        <f>'08_PREMISSAS'!V10</f>
        <v>90000.0</v>
      </c>
      <c r="AC10" s="6">
        <f>'12_MODELO'!AC9+'12_MODELO'!AB10</f>
        <v>1878000.0</v>
      </c>
      <c r="AD10" s="6">
        <f>'12_MODELO'!AD9+'12_MODELO'!O10</f>
        <v>447960.0</v>
      </c>
      <c r="AE10" s="6">
        <f>'08_PREMISSAS'!W10</f>
        <v>0.0</v>
      </c>
      <c r="AF10" s="6">
        <f>'08_PREMISSAS'!X10</f>
        <v>18000.0</v>
      </c>
      <c r="AG10" s="6">
        <f>'12_MODELO'!AG9+'12_MODELO'!AE10-'12_MODELO'!AF10</f>
        <v>638000.0</v>
      </c>
      <c r="AH10" s="6">
        <f>'08_PREMISSAS'!Y10</f>
        <v>0.0</v>
      </c>
      <c r="AI10" s="6">
        <f>'12_MODELO'!AI9</f>
        <v>3900000.0</v>
      </c>
      <c r="AJ10" s="6">
        <f>'12_MODELO'!AJ9+'12_MODELO'!T10-'12_MODELO'!AH10</f>
        <v>661030.1191280001</v>
      </c>
      <c r="AK10" s="6">
        <f>'12_MODELO'!U9+'12_MODELO'!C10-'12_MODELO'!U10</f>
        <v>1158261.0333333337</v>
      </c>
      <c r="AL10" s="6">
        <f>'12_MODELO'!X9+'12_MODELO'!W10-'12_MODELO'!X10</f>
        <v>816215.6666666666</v>
      </c>
      <c r="AM10" s="6">
        <f>'12_MODELO'!M10+'12_MODELO'!Y9-'12_MODELO'!Y10</f>
        <v>219501.21</v>
      </c>
      <c r="AN10" s="6">
        <f>'12_MODELO'!Z9+'12_MODELO'!D10-'12_MODELO'!Z10</f>
        <v>99742.59890000003</v>
      </c>
      <c r="AO10" s="6">
        <f>'12_MODELO'!AA9+'12_MODELO'!S10-'12_MODELO'!AA10</f>
        <v>18598.710973999998</v>
      </c>
      <c r="AP10" s="6">
        <f>'12_MODELO'!AK10-'12_MODELO'!AL10-'12_MODELO'!AM10-'12_MODELO'!AN10-'12_MODELO'!Q10-'12_MODELO'!AO10</f>
        <v>-3669.153207332969</v>
      </c>
      <c r="AQ10" s="6">
        <f>'12_MODELO'!T10+'12_MODELO'!O10-('12_MODELO'!U10-'12_MODELO'!U9)-('12_MODELO'!V10-'12_MODELO'!V9)+('12_MODELO'!X10-'12_MODELO'!X9)+('12_MODELO'!Y10-'12_MODELO'!Y9)+('12_MODELO'!Z10-'12_MODELO'!Z9)+('12_MODELO'!AA10-'12_MODELO'!AA9)</f>
        <v>-3669.153207333293</v>
      </c>
      <c r="AR10" s="6">
        <f>-'12_MODELO'!AB10</f>
        <v>-90000.0</v>
      </c>
      <c r="AS10" s="6">
        <f>'12_MODELO'!AE10-'12_MODELO'!AF10-'12_MODELO'!AH10</f>
        <v>-18000.0</v>
      </c>
      <c r="AT10" s="6">
        <f>'12_MODELO'!AQ10+'12_MODELO'!AR10+'12_MODELO'!AS10</f>
        <v>-111669.1532073333</v>
      </c>
      <c r="AU10" s="6">
        <f>'12_MODELO'!AV9</f>
        <v>2105324.4918546667</v>
      </c>
      <c r="AV10" s="6">
        <f>'12_MODELO'!AU10+'12_MODELO'!AT10</f>
        <v>1993655.3386473334</v>
      </c>
      <c r="AW10" s="6">
        <f>'12_MODELO'!AV10+'12_MODELO'!U10+'12_MODELO'!V10+'12_MODELO'!AC10-'12_MODELO'!AD10</f>
        <v>6284141.018647334</v>
      </c>
      <c r="AX10" s="6">
        <f>'12_MODELO'!X10+'12_MODELO'!Y10+'12_MODELO'!Z10+'12_MODELO'!AA10+'12_MODELO'!AG10</f>
        <v>1723110.8995193334</v>
      </c>
      <c r="AY10" s="6">
        <f>'12_MODELO'!AI10+'12_MODELO'!AJ10</f>
        <v>4561030.119128</v>
      </c>
      <c r="AZ10" s="6">
        <f>'12_MODELO'!AW10-'12_MODELO'!AX10-'12_MODELO'!AY10</f>
        <v>0.0</v>
      </c>
      <c r="BA10" s="6">
        <f>'12_MODELO'!AP10-'12_MODELO'!AQ10</f>
        <v>3.2378011383116245e-10</v>
      </c>
      <c r="BB10" s="6">
        <f>'08_PREMISSAS'!O10</f>
        <v>40.0</v>
      </c>
      <c r="BC10" s="6">
        <f>'08_PREMISSAS'!P10</f>
        <v>46.0</v>
      </c>
      <c r="BD10" s="6">
        <f>'08_PREMISSAS'!Q10</f>
        <v>35.0</v>
      </c>
      <c r="BE10" s="9">
        <f>'08_PREMISSAS'!R10</f>
        <v>0.085</v>
      </c>
      <c r="BF10" s="9">
        <f>'08_PREMISSAS'!S10</f>
        <v>0.34</v>
      </c>
      <c r="BG10" s="9">
        <f>'08_PREMISSAS'!T10</f>
        <v>0.012</v>
      </c>
      <c r="BH10" s="9">
        <f>'08_PREMISSAS'!U10</f>
        <v>0.01</v>
      </c>
      <c r="BI10" s="9">
        <f>IFERROR('12_MODELO'!N10/'12_MODELO'!E10,0)</f>
        <v>0.08100542530902562</v>
      </c>
      <c r="BJ10" s="9">
        <f>IFERROR('12_MODELO'!T10/'12_MODELO'!E10,0)</f>
        <v>0.0382253342000512</v>
      </c>
      <c r="BK10" s="6">
        <f>'12_MODELO'!AQ10+'12_MODELO'!AR10</f>
        <v>-93669.1532073333</v>
      </c>
      <c r="BL10" s="6">
        <f>'12_MODELO'!U10+'12_MODELO'!V10-'12_MODELO'!X10-'12_MODELO'!Y10-'12_MODELO'!Z10-'12_MODELO'!AA10</f>
        <v>1775334.7804806663</v>
      </c>
      <c r="BM10" s="6">
        <f>'12_MODELO'!AG10-'12_MODELO'!AV10</f>
        <v>-1355655.3386473334</v>
      </c>
      <c r="BN10" s="6">
        <f>MAX(ABS('15_CONCILIACAO'!F98),ABS('15_CONCILIACAO'!F99),ABS('15_CONCILIACAO'!F100),ABS('15_CONCILIACAO'!F101),ABS('15_CONCILIACAO'!F102),ABS('15_CONCILIACAO'!F103),ABS('15_CONCILIACAO'!F104),ABS('15_CONCILIACAO'!F105),ABS('15_CONCILIACAO'!F106),ABS('15_CONCILIACAO'!F107),ABS('15_CONCILIACAO'!F108),ABS('15_CONCILIACAO'!F109))</f>
        <v>2.3283064365386963e-09</v>
      </c>
      <c r="BO10" s="6">
        <f>'12_MODELO'!AV10+'12_MODELO'!U10+'12_MODELO'!V10</f>
        <v>4854101.018647334</v>
      </c>
      <c r="BP10" s="6">
        <f>'12_MODELO'!AC10-'12_MODELO'!AD10</f>
        <v>1430040.0</v>
      </c>
      <c r="BQ10" s="6">
        <f>MIN('12_MODELO'!AG10,'12_MODELO'!AF10*12)</f>
        <v>216000.0</v>
      </c>
      <c r="BR10" s="6">
        <f>'12_MODELO'!AG10-'12_MODELO'!BQ10</f>
        <v>422000.0</v>
      </c>
      <c r="BS10" s="6">
        <f>'12_MODELO'!AX10-'12_MODELO'!BR10</f>
        <v>1301110.8995193334</v>
      </c>
      <c r="BT10" s="6">
        <f>'12_MODELO'!BR10</f>
        <v>422000.0</v>
      </c>
      <c r="BU10" s="6">
        <f>IFERROR('12_MODELO'!BO10/'12_MODELO'!BS10,0)</f>
        <v>3.730735804642459</v>
      </c>
    </row>
    <row r="11" spans="1:73">
      <c r="A11" s="5">
        <v>45566</v>
      </c>
      <c r="B11" t="s">
        <v>78</v>
      </c>
      <c r="C11" s="6">
        <f>SUMIFS('09_VENDAS'!I$2:I$433,'09_VENDAS'!A$2:A$433,'12_MODELO'!A11)</f>
        <v>1336476.66</v>
      </c>
      <c r="D11" s="6">
        <f>'12_MODELO'!C11*'12_MODELO'!BE11</f>
        <v>113600.51610000001</v>
      </c>
      <c r="E11" s="6">
        <f>'12_MODELO'!C11-'12_MODELO'!D11</f>
        <v>1222876.1439</v>
      </c>
      <c r="F11" s="6">
        <f>SUMIFS('09_VENDAS'!J$2:J$433,'09_VENDAS'!A$2:A$433,'12_MODELO'!A11)</f>
        <v>885430.0</v>
      </c>
      <c r="G11" s="6">
        <f>'12_MODELO'!E11-'12_MODELO'!F11</f>
        <v>337446.1439</v>
      </c>
      <c r="H11" s="6">
        <f>SUMIFS('10_DESPESAS'!D$2:D$123,'10_DESPESAS'!A$2:A$123,'12_MODELO'!A11,'10_DESPESAS'!B$2:B$123,"Pessoal")</f>
        <v>98800.0</v>
      </c>
      <c r="I11" s="6">
        <f>SUMIFS('10_DESPESAS'!D$2:D$123,'10_DESPESAS'!A$2:A$123,'12_MODELO'!A11,'10_DESPESAS'!B$2:B$123,"Comercial")</f>
        <v>48113.16</v>
      </c>
      <c r="J11" s="6">
        <f>SUMIFS('10_DESPESAS'!D$2:D$123,'10_DESPESAS'!A$2:A$123,'12_MODELO'!A11,'10_DESPESAS'!B$2:B$123,"Administrativo")</f>
        <v>32000.0</v>
      </c>
      <c r="K11" s="6">
        <f>SUMIFS('10_DESPESAS'!D$2:D$123,'10_DESPESAS'!A$2:A$123,'12_MODELO'!A11,'10_DESPESAS'!B$2:B$123,"Tecnologia")</f>
        <v>18000.0</v>
      </c>
      <c r="L11" s="6">
        <f>SUMIFS('10_DESPESAS'!D$2:D$123,'10_DESPESAS'!A$2:A$123,'12_MODELO'!A11,'10_DESPESAS'!B$2:B$123,"Operações")</f>
        <v>29402.49</v>
      </c>
      <c r="M11" s="6">
        <f>SUM('12_MODELO'!H11:'12_MODELO'!L11)</f>
        <v>226315.65</v>
      </c>
      <c r="N11" s="6">
        <f>'12_MODELO'!G11-'12_MODELO'!M11</f>
        <v>111130.49390000003</v>
      </c>
      <c r="O11" s="6">
        <f>MIN('12_MODELO'!AC10*'12_MODELO'!BH11,'12_MODELO'!AC10-'12_MODELO'!AD10+'12_MODELO'!AB11)</f>
        <v>18780.0</v>
      </c>
      <c r="P11" s="6">
        <f>'12_MODELO'!N11-'12_MODELO'!O11</f>
        <v>92350.49390000003</v>
      </c>
      <c r="Q11" s="6">
        <f>'12_MODELO'!AG10*'12_MODELO'!BG11</f>
        <v>7656.0</v>
      </c>
      <c r="R11" s="6">
        <f>'12_MODELO'!P11-'12_MODELO'!Q11</f>
        <v>84694.49390000003</v>
      </c>
      <c r="S11" s="6">
        <f>MAX(0,'12_MODELO'!R11)*'12_MODELO'!BF11</f>
        <v>28796.127926000012</v>
      </c>
      <c r="T11" s="6">
        <f>'12_MODELO'!R11-'12_MODELO'!S11</f>
        <v>55898.365974000015</v>
      </c>
      <c r="U11" s="6">
        <f>'12_MODELO'!C11*'12_MODELO'!BB11/30</f>
        <v>1781968.88</v>
      </c>
      <c r="V11" s="6">
        <f>'12_MODELO'!F11*'12_MODELO'!BC11/30</f>
        <v>1357659.3333333333</v>
      </c>
      <c r="W11" s="6">
        <f>'12_MODELO'!F11+'12_MODELO'!V11-'12_MODELO'!V10</f>
        <v>1007958.6666666663</v>
      </c>
      <c r="X11" s="6">
        <f>'12_MODELO'!F11*'12_MODELO'!BD11/30</f>
        <v>1033001.6666666666</v>
      </c>
      <c r="Y11" s="6">
        <f>'12_MODELO'!H11*20%</f>
        <v>19760.0</v>
      </c>
      <c r="Z11" s="6">
        <f>'12_MODELO'!D11</f>
        <v>113600.51610000001</v>
      </c>
      <c r="AA11" s="6">
        <f>'12_MODELO'!S11</f>
        <v>28796.127926000012</v>
      </c>
      <c r="AB11" s="6">
        <f>'08_PREMISSAS'!V11</f>
        <v>18000.0</v>
      </c>
      <c r="AC11" s="6">
        <f>'12_MODELO'!AC10+'12_MODELO'!AB11</f>
        <v>1896000.0</v>
      </c>
      <c r="AD11" s="6">
        <f>'12_MODELO'!AD10+'12_MODELO'!O11</f>
        <v>466740.0</v>
      </c>
      <c r="AE11" s="6">
        <f>'08_PREMISSAS'!W11</f>
        <v>0.0</v>
      </c>
      <c r="AF11" s="6">
        <f>'08_PREMISSAS'!X11</f>
        <v>18000.0</v>
      </c>
      <c r="AG11" s="6">
        <f>'12_MODELO'!AG10+'12_MODELO'!AE11-'12_MODELO'!AF11</f>
        <v>620000.0</v>
      </c>
      <c r="AH11" s="6">
        <f>'08_PREMISSAS'!Y11</f>
        <v>0.0</v>
      </c>
      <c r="AI11" s="6">
        <f>'12_MODELO'!AI10</f>
        <v>3900000.0</v>
      </c>
      <c r="AJ11" s="6">
        <f>'12_MODELO'!AJ10+'12_MODELO'!T11-'12_MODELO'!AH11</f>
        <v>716928.4851020002</v>
      </c>
      <c r="AK11" s="6">
        <f>'12_MODELO'!U10+'12_MODELO'!C11-'12_MODELO'!U11</f>
        <v>1179822.793333333</v>
      </c>
      <c r="AL11" s="6">
        <f>'12_MODELO'!X10+'12_MODELO'!W11-'12_MODELO'!X11</f>
        <v>914730.3333333329</v>
      </c>
      <c r="AM11" s="6">
        <f>'12_MODELO'!M11+'12_MODELO'!Y10-'12_MODELO'!Y11</f>
        <v>226315.65</v>
      </c>
      <c r="AN11" s="6">
        <f>'12_MODELO'!Z10+'12_MODELO'!D11-'12_MODELO'!Z11</f>
        <v>103613.8321</v>
      </c>
      <c r="AO11" s="6">
        <f>'12_MODELO'!AA10+'12_MODELO'!S11-'12_MODELO'!AA11</f>
        <v>21963.734086000008</v>
      </c>
      <c r="AP11" s="6">
        <f>'12_MODELO'!AK11-'12_MODELO'!AL11-'12_MODELO'!AM11-'12_MODELO'!AN11-'12_MODELO'!Q11-'12_MODELO'!AO11</f>
        <v>-94456.75618599993</v>
      </c>
      <c r="AQ11" s="6">
        <f>'12_MODELO'!T11+'12_MODELO'!O11-('12_MODELO'!U11-'12_MODELO'!U10)-('12_MODELO'!V11-'12_MODELO'!V10)+('12_MODELO'!X11-'12_MODELO'!X10)+('12_MODELO'!Y11-'12_MODELO'!Y10)+('12_MODELO'!Z11-'12_MODELO'!Z10)+('12_MODELO'!AA11-'12_MODELO'!AA10)</f>
        <v>-94456.75618599994</v>
      </c>
      <c r="AR11" s="6">
        <f>-'12_MODELO'!AB11</f>
        <v>-18000.0</v>
      </c>
      <c r="AS11" s="6">
        <f>'12_MODELO'!AE11-'12_MODELO'!AF11-'12_MODELO'!AH11</f>
        <v>-18000.0</v>
      </c>
      <c r="AT11" s="6">
        <f>'12_MODELO'!AQ11+'12_MODELO'!AR11+'12_MODELO'!AS11</f>
        <v>-130456.75618599994</v>
      </c>
      <c r="AU11" s="6">
        <f>'12_MODELO'!AV10</f>
        <v>1993655.3386473334</v>
      </c>
      <c r="AV11" s="6">
        <f>'12_MODELO'!AU11+'12_MODELO'!AT11</f>
        <v>1863198.5824613336</v>
      </c>
      <c r="AW11" s="6">
        <f>'12_MODELO'!AV11+'12_MODELO'!U11+'12_MODELO'!V11+'12_MODELO'!AC11-'12_MODELO'!AD11</f>
        <v>6432086.795794667</v>
      </c>
      <c r="AX11" s="6">
        <f>'12_MODELO'!X11+'12_MODELO'!Y11+'12_MODELO'!Z11+'12_MODELO'!AA11+'12_MODELO'!AG11</f>
        <v>1815158.3106926666</v>
      </c>
      <c r="AY11" s="6">
        <f>'12_MODELO'!AI11+'12_MODELO'!AJ11</f>
        <v>4616928.485102</v>
      </c>
      <c r="AZ11" s="6">
        <f>'12_MODELO'!AW11-'12_MODELO'!AX11-'12_MODELO'!AY11</f>
        <v>0.0</v>
      </c>
      <c r="BA11" s="6">
        <f>'12_MODELO'!AP11-'12_MODELO'!AQ11</f>
        <v>1.4551915228366852e-11</v>
      </c>
      <c r="BB11" s="6">
        <f>'08_PREMISSAS'!O11</f>
        <v>40.0</v>
      </c>
      <c r="BC11" s="6">
        <f>'08_PREMISSAS'!P11</f>
        <v>46.0</v>
      </c>
      <c r="BD11" s="6">
        <f>'08_PREMISSAS'!Q11</f>
        <v>35.0</v>
      </c>
      <c r="BE11" s="9">
        <f>'08_PREMISSAS'!R11</f>
        <v>0.085</v>
      </c>
      <c r="BF11" s="9">
        <f>'08_PREMISSAS'!S11</f>
        <v>0.34</v>
      </c>
      <c r="BG11" s="9">
        <f>'08_PREMISSAS'!T11</f>
        <v>0.012</v>
      </c>
      <c r="BH11" s="9">
        <f>'08_PREMISSAS'!U11</f>
        <v>0.01</v>
      </c>
      <c r="BI11" s="9">
        <f>IFERROR('12_MODELO'!N11/'12_MODELO'!E11,0)</f>
        <v>0.09087632828095113</v>
      </c>
      <c r="BJ11" s="9">
        <f>IFERROR('12_MODELO'!T11/'12_MODELO'!E11,0)</f>
        <v>0.04571057032458642</v>
      </c>
      <c r="BK11" s="6">
        <f>'12_MODELO'!AQ11+'12_MODELO'!AR11</f>
        <v>-112456.75618599994</v>
      </c>
      <c r="BL11" s="6">
        <f>'12_MODELO'!U11+'12_MODELO'!V11-'12_MODELO'!X11-'12_MODELO'!Y11-'12_MODELO'!Z11-'12_MODELO'!AA11</f>
        <v>1944469.9026406663</v>
      </c>
      <c r="BM11" s="6">
        <f>'12_MODELO'!AG11-'12_MODELO'!AV11</f>
        <v>-1243198.5824613336</v>
      </c>
      <c r="BN11" s="6">
        <f>MAX(ABS('15_CONCILIACAO'!F110),ABS('15_CONCILIACAO'!F111),ABS('15_CONCILIACAO'!F112),ABS('15_CONCILIACAO'!F113),ABS('15_CONCILIACAO'!F114),ABS('15_CONCILIACAO'!F115),ABS('15_CONCILIACAO'!F116),ABS('15_CONCILIACAO'!F117),ABS('15_CONCILIACAO'!F118),ABS('15_CONCILIACAO'!F119),ABS('15_CONCILIACAO'!F120),ABS('15_CONCILIACAO'!F121))</f>
        <v>2.3283064365386963e-09</v>
      </c>
      <c r="BO11" s="6">
        <f>'12_MODELO'!AV11+'12_MODELO'!U11+'12_MODELO'!V11</f>
        <v>5002826.795794667</v>
      </c>
      <c r="BP11" s="6">
        <f>'12_MODELO'!AC11-'12_MODELO'!AD11</f>
        <v>1429260.0</v>
      </c>
      <c r="BQ11" s="6">
        <f>MIN('12_MODELO'!AG11,'12_MODELO'!AF11*12)</f>
        <v>216000.0</v>
      </c>
      <c r="BR11" s="6">
        <f>'12_MODELO'!AG11-'12_MODELO'!BQ11</f>
        <v>404000.0</v>
      </c>
      <c r="BS11" s="6">
        <f>'12_MODELO'!AX11-'12_MODELO'!BR11</f>
        <v>1411158.3106926666</v>
      </c>
      <c r="BT11" s="6">
        <f>'12_MODELO'!BR11</f>
        <v>404000.0</v>
      </c>
      <c r="BU11" s="6">
        <f>IFERROR('12_MODELO'!BO11/'12_MODELO'!BS11,0)</f>
        <v>3.5451917463030997</v>
      </c>
    </row>
    <row r="12" spans="1:73">
      <c r="A12" s="5">
        <v>45597</v>
      </c>
      <c r="B12" t="s">
        <v>78</v>
      </c>
      <c r="C12" s="6">
        <f>SUMIFS('09_VENDAS'!I$2:I$433,'09_VENDAS'!A$2:A$433,'12_MODELO'!A12)</f>
        <v>1504412.32</v>
      </c>
      <c r="D12" s="6">
        <f>'12_MODELO'!C12*'12_MODELO'!BE12</f>
        <v>127875.04720000002</v>
      </c>
      <c r="E12" s="6">
        <f>'12_MODELO'!C12-'12_MODELO'!D12</f>
        <v>1376537.2728000002</v>
      </c>
      <c r="F12" s="6">
        <f>SUMIFS('09_VENDAS'!J$2:J$433,'09_VENDAS'!A$2:A$433,'12_MODELO'!A12)</f>
        <v>996280.0</v>
      </c>
      <c r="G12" s="6">
        <f>'12_MODELO'!E12-'12_MODELO'!F12</f>
        <v>380257.27280000015</v>
      </c>
      <c r="H12" s="6">
        <f>SUMIFS('10_DESPESAS'!D$2:D$123,'10_DESPESAS'!A$2:A$123,'12_MODELO'!A12,'10_DESPESAS'!B$2:B$123,"Pessoal")</f>
        <v>98800.0</v>
      </c>
      <c r="I12" s="6">
        <f>SUMIFS('10_DESPESAS'!D$2:D$123,'10_DESPESAS'!A$2:A$123,'12_MODELO'!A12,'10_DESPESAS'!B$2:B$123,"Comercial")</f>
        <v>54158.84</v>
      </c>
      <c r="J12" s="6">
        <f>SUMIFS('10_DESPESAS'!D$2:D$123,'10_DESPESAS'!A$2:A$123,'12_MODELO'!A12,'10_DESPESAS'!B$2:B$123,"Administrativo")</f>
        <v>32000.0</v>
      </c>
      <c r="K12" s="6">
        <f>SUMIFS('10_DESPESAS'!D$2:D$123,'10_DESPESAS'!A$2:A$123,'12_MODELO'!A12,'10_DESPESAS'!B$2:B$123,"Tecnologia")</f>
        <v>18000.0</v>
      </c>
      <c r="L12" s="6">
        <f>SUMIFS('10_DESPESAS'!D$2:D$123,'10_DESPESAS'!A$2:A$123,'12_MODELO'!A12,'10_DESPESAS'!B$2:B$123,"Operações")</f>
        <v>33097.07</v>
      </c>
      <c r="M12" s="6">
        <f>SUM('12_MODELO'!H12:'12_MODELO'!L12)</f>
        <v>236055.91</v>
      </c>
      <c r="N12" s="6">
        <f>'12_MODELO'!G12-'12_MODELO'!M12</f>
        <v>144201.36280000015</v>
      </c>
      <c r="O12" s="6">
        <f>MIN('12_MODELO'!AC11*'12_MODELO'!BH12,'12_MODELO'!AC11-'12_MODELO'!AD11+'12_MODELO'!AB12)</f>
        <v>18960.0</v>
      </c>
      <c r="P12" s="6">
        <f>'12_MODELO'!N12-'12_MODELO'!O12</f>
        <v>125241.36280000015</v>
      </c>
      <c r="Q12" s="6">
        <f>'12_MODELO'!AG11*'12_MODELO'!BG12</f>
        <v>7440.0</v>
      </c>
      <c r="R12" s="6">
        <f>'12_MODELO'!P12-'12_MODELO'!Q12</f>
        <v>117801.36280000015</v>
      </c>
      <c r="S12" s="6">
        <f>MAX(0,'12_MODELO'!R12)*'12_MODELO'!BF12</f>
        <v>40052.46335200005</v>
      </c>
      <c r="T12" s="6">
        <f>'12_MODELO'!R12-'12_MODELO'!S12</f>
        <v>77748.8994480001</v>
      </c>
      <c r="U12" s="6">
        <f>'12_MODELO'!C12*'12_MODELO'!BB12/30</f>
        <v>2005883.0933333335</v>
      </c>
      <c r="V12" s="6">
        <f>'12_MODELO'!F12*'12_MODELO'!BC12/30</f>
        <v>1527629.3333333333</v>
      </c>
      <c r="W12" s="6">
        <f>'12_MODELO'!F12+'12_MODELO'!V12-'12_MODELO'!V11</f>
        <v>1166249.9999999998</v>
      </c>
      <c r="X12" s="6">
        <f>'12_MODELO'!F12*'12_MODELO'!BD12/30</f>
        <v>1162326.6666666667</v>
      </c>
      <c r="Y12" s="6">
        <f>'12_MODELO'!H12*20%</f>
        <v>19760.0</v>
      </c>
      <c r="Z12" s="6">
        <f>'12_MODELO'!D12</f>
        <v>127875.04720000002</v>
      </c>
      <c r="AA12" s="6">
        <f>'12_MODELO'!S12</f>
        <v>40052.46335200005</v>
      </c>
      <c r="AB12" s="6">
        <f>'08_PREMISSAS'!V12</f>
        <v>18000.0</v>
      </c>
      <c r="AC12" s="6">
        <f>'12_MODELO'!AC11+'12_MODELO'!AB12</f>
        <v>1914000.0</v>
      </c>
      <c r="AD12" s="6">
        <f>'12_MODELO'!AD11+'12_MODELO'!O12</f>
        <v>485700.0</v>
      </c>
      <c r="AE12" s="6">
        <f>'08_PREMISSAS'!W12</f>
        <v>0.0</v>
      </c>
      <c r="AF12" s="6">
        <f>'08_PREMISSAS'!X12</f>
        <v>18000.0</v>
      </c>
      <c r="AG12" s="6">
        <f>'12_MODELO'!AG11+'12_MODELO'!AE12-'12_MODELO'!AF12</f>
        <v>602000.0</v>
      </c>
      <c r="AH12" s="6">
        <f>'08_PREMISSAS'!Y12</f>
        <v>0.0</v>
      </c>
      <c r="AI12" s="6">
        <f>'12_MODELO'!AI11</f>
        <v>3900000.0</v>
      </c>
      <c r="AJ12" s="6">
        <f>'12_MODELO'!AJ11+'12_MODELO'!T12-'12_MODELO'!AH12</f>
        <v>794677.3845500003</v>
      </c>
      <c r="AK12" s="6">
        <f>'12_MODELO'!U11+'12_MODELO'!C12-'12_MODELO'!U12</f>
        <v>1280498.1066666667</v>
      </c>
      <c r="AL12" s="6">
        <f>'12_MODELO'!X11+'12_MODELO'!W12-'12_MODELO'!X12</f>
        <v>1036924.9999999998</v>
      </c>
      <c r="AM12" s="6">
        <f>'12_MODELO'!M12+'12_MODELO'!Y11-'12_MODELO'!Y12</f>
        <v>236055.91</v>
      </c>
      <c r="AN12" s="6">
        <f>'12_MODELO'!Z11+'12_MODELO'!D12-'12_MODELO'!Z12</f>
        <v>113600.51610000002</v>
      </c>
      <c r="AO12" s="6">
        <f>'12_MODELO'!AA11+'12_MODELO'!S12-'12_MODELO'!AA12</f>
        <v>28796.127926000016</v>
      </c>
      <c r="AP12" s="6">
        <f>'12_MODELO'!AK12-'12_MODELO'!AL12-'12_MODELO'!AM12-'12_MODELO'!AN12-'12_MODELO'!Q12-'12_MODELO'!AO12</f>
        <v>-142319.4473593331</v>
      </c>
      <c r="AQ12" s="6">
        <f>'12_MODELO'!T12+'12_MODELO'!O12-('12_MODELO'!U12-'12_MODELO'!U11)-('12_MODELO'!V12-'12_MODELO'!V11)+('12_MODELO'!X12-'12_MODELO'!X11)+('12_MODELO'!Y12-'12_MODELO'!Y11)+('12_MODELO'!Z12-'12_MODELO'!Z11)+('12_MODELO'!AA12-'12_MODELO'!AA11)</f>
        <v>-142319.4473593333</v>
      </c>
      <c r="AR12" s="6">
        <f>-'12_MODELO'!AB12</f>
        <v>-18000.0</v>
      </c>
      <c r="AS12" s="6">
        <f>'12_MODELO'!AE12-'12_MODELO'!AF12-'12_MODELO'!AH12</f>
        <v>-18000.0</v>
      </c>
      <c r="AT12" s="6">
        <f>'12_MODELO'!AQ12+'12_MODELO'!AR12+'12_MODELO'!AS12</f>
        <v>-178319.4473593333</v>
      </c>
      <c r="AU12" s="6">
        <f>'12_MODELO'!AV11</f>
        <v>1863198.5824613336</v>
      </c>
      <c r="AV12" s="6">
        <f>'12_MODELO'!AU12+'12_MODELO'!AT12</f>
        <v>1684879.1351020003</v>
      </c>
      <c r="AW12" s="6">
        <f>'12_MODELO'!AV12+'12_MODELO'!U12+'12_MODELO'!V12+'12_MODELO'!AC12-'12_MODELO'!AD12</f>
        <v>6646691.561768667</v>
      </c>
      <c r="AX12" s="6">
        <f>'12_MODELO'!X12+'12_MODELO'!Y12+'12_MODELO'!Z12+'12_MODELO'!AA12+'12_MODELO'!AG12</f>
        <v>1952014.1772186668</v>
      </c>
      <c r="AY12" s="6">
        <f>'12_MODELO'!AI12+'12_MODELO'!AJ12</f>
        <v>4694677.384550001</v>
      </c>
      <c r="AZ12" s="6">
        <f>'12_MODELO'!AW12-'12_MODELO'!AX12-'12_MODELO'!AY12</f>
        <v>-9.313225746154785e-10</v>
      </c>
      <c r="BA12" s="6">
        <f>'12_MODELO'!AP12-'12_MODELO'!AQ12</f>
        <v>2.0372681319713593e-10</v>
      </c>
      <c r="BB12" s="6">
        <f>'08_PREMISSAS'!O12</f>
        <v>40.0</v>
      </c>
      <c r="BC12" s="6">
        <f>'08_PREMISSAS'!P12</f>
        <v>46.0</v>
      </c>
      <c r="BD12" s="6">
        <f>'08_PREMISSAS'!Q12</f>
        <v>35.0</v>
      </c>
      <c r="BE12" s="9">
        <f>'08_PREMISSAS'!R12</f>
        <v>0.085</v>
      </c>
      <c r="BF12" s="9">
        <f>'08_PREMISSAS'!S12</f>
        <v>0.34</v>
      </c>
      <c r="BG12" s="9">
        <f>'08_PREMISSAS'!T12</f>
        <v>0.012</v>
      </c>
      <c r="BH12" s="9">
        <f>'08_PREMISSAS'!U12</f>
        <v>0.01</v>
      </c>
      <c r="BI12" s="9">
        <f>IFERROR('12_MODELO'!N12/'12_MODELO'!E12,0)</f>
        <v>0.10475659878550303</v>
      </c>
      <c r="BJ12" s="9">
        <f>IFERROR('12_MODELO'!T12/'12_MODELO'!E12,0)</f>
        <v>0.056481506882739084</v>
      </c>
      <c r="BK12" s="6">
        <f>'12_MODELO'!AQ12+'12_MODELO'!AR12</f>
        <v>-160319.4473593333</v>
      </c>
      <c r="BL12" s="6">
        <f>'12_MODELO'!U12+'12_MODELO'!V12-'12_MODELO'!X12-'12_MODELO'!Y12-'12_MODELO'!Z12-'12_MODELO'!AA12</f>
        <v>2183498.249448</v>
      </c>
      <c r="BM12" s="6">
        <f>'12_MODELO'!AG12-'12_MODELO'!AV12</f>
        <v>-1082879.1351020003</v>
      </c>
      <c r="BN12" s="6">
        <f>MAX(ABS('15_CONCILIACAO'!F122),ABS('15_CONCILIACAO'!F123),ABS('15_CONCILIACAO'!F124),ABS('15_CONCILIACAO'!F125),ABS('15_CONCILIACAO'!F126),ABS('15_CONCILIACAO'!F127),ABS('15_CONCILIACAO'!F128),ABS('15_CONCILIACAO'!F129),ABS('15_CONCILIACAO'!F130),ABS('15_CONCILIACAO'!F131),ABS('15_CONCILIACAO'!F132),ABS('15_CONCILIACAO'!F133))</f>
        <v>2.3283064365386963e-09</v>
      </c>
      <c r="BO12" s="6">
        <f>'12_MODELO'!AV12+'12_MODELO'!U12+'12_MODELO'!V12</f>
        <v>5218391.561768667</v>
      </c>
      <c r="BP12" s="6">
        <f>'12_MODELO'!AC12-'12_MODELO'!AD12</f>
        <v>1428300.0</v>
      </c>
      <c r="BQ12" s="6">
        <f>MIN('12_MODELO'!AG12,'12_MODELO'!AF12*12)</f>
        <v>216000.0</v>
      </c>
      <c r="BR12" s="6">
        <f>'12_MODELO'!AG12-'12_MODELO'!BQ12</f>
        <v>386000.0</v>
      </c>
      <c r="BS12" s="6">
        <f>'12_MODELO'!AX12-'12_MODELO'!BR12</f>
        <v>1566014.1772186668</v>
      </c>
      <c r="BT12" s="6">
        <f>'12_MODELO'!BR12</f>
        <v>386000.0</v>
      </c>
      <c r="BU12" s="6">
        <f>IFERROR('12_MODELO'!BO12/'12_MODELO'!BS12,0)</f>
        <v>3.3322760660039727</v>
      </c>
    </row>
    <row r="13" spans="1:73">
      <c r="A13" s="5">
        <v>45627</v>
      </c>
      <c r="B13" t="s">
        <v>78</v>
      </c>
      <c r="C13" s="6">
        <f>SUMIFS('09_VENDAS'!I$2:I$433,'09_VENDAS'!A$2:A$433,'12_MODELO'!A13)</f>
        <v>1381719.58</v>
      </c>
      <c r="D13" s="6">
        <f>'12_MODELO'!C13*'12_MODELO'!BE13</f>
        <v>117446.16430000002</v>
      </c>
      <c r="E13" s="6">
        <f>'12_MODELO'!C13-'12_MODELO'!D13</f>
        <v>1264273.4157</v>
      </c>
      <c r="F13" s="6">
        <f>SUMIFS('09_VENDAS'!J$2:J$433,'09_VENDAS'!A$2:A$433,'12_MODELO'!A13)</f>
        <v>915130.0</v>
      </c>
      <c r="G13" s="6">
        <f>'12_MODELO'!E13-'12_MODELO'!F13</f>
        <v>349143.4157</v>
      </c>
      <c r="H13" s="6">
        <f>SUMIFS('10_DESPESAS'!D$2:D$123,'10_DESPESAS'!A$2:A$123,'12_MODELO'!A13,'10_DESPESAS'!B$2:B$123,"Pessoal")</f>
        <v>98800.0</v>
      </c>
      <c r="I13" s="6">
        <f>SUMIFS('10_DESPESAS'!D$2:D$123,'10_DESPESAS'!A$2:A$123,'12_MODELO'!A13,'10_DESPESAS'!B$2:B$123,"Comercial")</f>
        <v>49741.9</v>
      </c>
      <c r="J13" s="6">
        <f>SUMIFS('10_DESPESAS'!D$2:D$123,'10_DESPESAS'!A$2:A$123,'12_MODELO'!A13,'10_DESPESAS'!B$2:B$123,"Administrativo")</f>
        <v>32000.0</v>
      </c>
      <c r="K13" s="6">
        <f>SUMIFS('10_DESPESAS'!D$2:D$123,'10_DESPESAS'!A$2:A$123,'12_MODELO'!A13,'10_DESPESAS'!B$2:B$123,"Tecnologia")</f>
        <v>18000.0</v>
      </c>
      <c r="L13" s="6">
        <f>SUMIFS('10_DESPESAS'!D$2:D$123,'10_DESPESAS'!A$2:A$123,'12_MODELO'!A13,'10_DESPESAS'!B$2:B$123,"Operações")</f>
        <v>30397.83</v>
      </c>
      <c r="M13" s="6">
        <f>SUM('12_MODELO'!H13:'12_MODELO'!L13)</f>
        <v>228939.73</v>
      </c>
      <c r="N13" s="6">
        <f>'12_MODELO'!G13-'12_MODELO'!M13</f>
        <v>120203.6857</v>
      </c>
      <c r="O13" s="6">
        <f>MIN('12_MODELO'!AC12*'12_MODELO'!BH13,'12_MODELO'!AC12-'12_MODELO'!AD12+'12_MODELO'!AB13)</f>
        <v>19140.0</v>
      </c>
      <c r="P13" s="6">
        <f>'12_MODELO'!N13-'12_MODELO'!O13</f>
        <v>101063.6857</v>
      </c>
      <c r="Q13" s="6">
        <f>'12_MODELO'!AG12*'12_MODELO'!BG13</f>
        <v>7224.0</v>
      </c>
      <c r="R13" s="6">
        <f>'12_MODELO'!P13-'12_MODELO'!Q13</f>
        <v>93839.6857</v>
      </c>
      <c r="S13" s="6">
        <f>MAX(0,'12_MODELO'!R13)*'12_MODELO'!BF13</f>
        <v>31905.493138</v>
      </c>
      <c r="T13" s="6">
        <f>'12_MODELO'!R13-'12_MODELO'!S13</f>
        <v>61934.192562</v>
      </c>
      <c r="U13" s="6">
        <f>'12_MODELO'!C13*'12_MODELO'!BB13/30</f>
        <v>1842292.7733333334</v>
      </c>
      <c r="V13" s="6">
        <f>'12_MODELO'!F13*'12_MODELO'!BC13/30</f>
        <v>1403199.3333333333</v>
      </c>
      <c r="W13" s="6">
        <f>'12_MODELO'!F13+'12_MODELO'!V13-'12_MODELO'!V12</f>
        <v>790699.9999999998</v>
      </c>
      <c r="X13" s="6">
        <f>'12_MODELO'!F13*'12_MODELO'!BD13/30</f>
        <v>1067651.6666666667</v>
      </c>
      <c r="Y13" s="6">
        <f>'12_MODELO'!H13*20%</f>
        <v>19760.0</v>
      </c>
      <c r="Z13" s="6">
        <f>'12_MODELO'!D13</f>
        <v>117446.16430000002</v>
      </c>
      <c r="AA13" s="6">
        <f>'12_MODELO'!S13</f>
        <v>31905.493138</v>
      </c>
      <c r="AB13" s="6">
        <f>'08_PREMISSAS'!V13</f>
        <v>90000.0</v>
      </c>
      <c r="AC13" s="6">
        <f>'12_MODELO'!AC12+'12_MODELO'!AB13</f>
        <v>2004000.0</v>
      </c>
      <c r="AD13" s="6">
        <f>'12_MODELO'!AD12+'12_MODELO'!O13</f>
        <v>504840.0</v>
      </c>
      <c r="AE13" s="6">
        <f>'08_PREMISSAS'!W13</f>
        <v>0.0</v>
      </c>
      <c r="AF13" s="6">
        <f>'08_PREMISSAS'!X13</f>
        <v>18000.0</v>
      </c>
      <c r="AG13" s="6">
        <f>'12_MODELO'!AG12+'12_MODELO'!AE13-'12_MODELO'!AF13</f>
        <v>584000.0</v>
      </c>
      <c r="AH13" s="6">
        <f>'08_PREMISSAS'!Y13</f>
        <v>0.0</v>
      </c>
      <c r="AI13" s="6">
        <f>'12_MODELO'!AI12</f>
        <v>3900000.0</v>
      </c>
      <c r="AJ13" s="6">
        <f>'12_MODELO'!AJ12+'12_MODELO'!T13-'12_MODELO'!AH13</f>
        <v>856611.5771120003</v>
      </c>
      <c r="AK13" s="6">
        <f>'12_MODELO'!U12+'12_MODELO'!C13-'12_MODELO'!U13</f>
        <v>1545309.9000000004</v>
      </c>
      <c r="AL13" s="6">
        <f>'12_MODELO'!X12+'12_MODELO'!W13-'12_MODELO'!X13</f>
        <v>885374.9999999998</v>
      </c>
      <c r="AM13" s="6">
        <f>'12_MODELO'!M13+'12_MODELO'!Y12-'12_MODELO'!Y13</f>
        <v>228939.73</v>
      </c>
      <c r="AN13" s="6">
        <f>'12_MODELO'!Z12+'12_MODELO'!D13-'12_MODELO'!Z13</f>
        <v>127875.04720000002</v>
      </c>
      <c r="AO13" s="6">
        <f>'12_MODELO'!AA12+'12_MODELO'!S13-'12_MODELO'!AA13</f>
        <v>40052.46335200005</v>
      </c>
      <c r="AP13" s="6">
        <f>'12_MODELO'!AK13-'12_MODELO'!AL13-'12_MODELO'!AM13-'12_MODELO'!AN13-'12_MODELO'!Q13-'12_MODELO'!AO13</f>
        <v>255843.65944800054</v>
      </c>
      <c r="AQ13" s="6">
        <f>'12_MODELO'!T13+'12_MODELO'!O13-('12_MODELO'!U13-'12_MODELO'!U12)-('12_MODELO'!V13-'12_MODELO'!V12)+('12_MODELO'!X13-'12_MODELO'!X12)+('12_MODELO'!Y13-'12_MODELO'!Y12)+('12_MODELO'!Z13-'12_MODELO'!Z12)+('12_MODELO'!AA13-'12_MODELO'!AA12)</f>
        <v>255843.65944800002</v>
      </c>
      <c r="AR13" s="6">
        <f>-'12_MODELO'!AB13</f>
        <v>-90000.0</v>
      </c>
      <c r="AS13" s="6">
        <f>'12_MODELO'!AE13-'12_MODELO'!AF13-'12_MODELO'!AH13</f>
        <v>-18000.0</v>
      </c>
      <c r="AT13" s="6">
        <f>'12_MODELO'!AQ13+'12_MODELO'!AR13+'12_MODELO'!AS13</f>
        <v>147843.65944800002</v>
      </c>
      <c r="AU13" s="6">
        <f>'12_MODELO'!AV12</f>
        <v>1684879.1351020003</v>
      </c>
      <c r="AV13" s="6">
        <f>'12_MODELO'!AU13+'12_MODELO'!AT13</f>
        <v>1832722.7945500002</v>
      </c>
      <c r="AW13" s="6">
        <f>'12_MODELO'!AV13+'12_MODELO'!U13+'12_MODELO'!V13+'12_MODELO'!AC13-'12_MODELO'!AD13</f>
        <v>6577374.901216667</v>
      </c>
      <c r="AX13" s="6">
        <f>'12_MODELO'!X13+'12_MODELO'!Y13+'12_MODELO'!Z13+'12_MODELO'!AA13+'12_MODELO'!AG13</f>
        <v>1820763.3241046667</v>
      </c>
      <c r="AY13" s="6">
        <f>'12_MODELO'!AI13+'12_MODELO'!AJ13</f>
        <v>4756611.577112</v>
      </c>
      <c r="AZ13" s="6">
        <f>'12_MODELO'!AW13-'12_MODELO'!AX13-'12_MODELO'!AY13</f>
        <v>0.0</v>
      </c>
      <c r="BA13" s="6">
        <f>'12_MODELO'!AP13-'12_MODELO'!AQ13</f>
        <v>5.238689482212067e-10</v>
      </c>
      <c r="BB13" s="6">
        <f>'08_PREMISSAS'!O13</f>
        <v>40.0</v>
      </c>
      <c r="BC13" s="6">
        <f>'08_PREMISSAS'!P13</f>
        <v>46.0</v>
      </c>
      <c r="BD13" s="6">
        <f>'08_PREMISSAS'!Q13</f>
        <v>35.0</v>
      </c>
      <c r="BE13" s="9">
        <f>'08_PREMISSAS'!R13</f>
        <v>0.085</v>
      </c>
      <c r="BF13" s="9">
        <f>'08_PREMISSAS'!S13</f>
        <v>0.34</v>
      </c>
      <c r="BG13" s="9">
        <f>'08_PREMISSAS'!T13</f>
        <v>0.012</v>
      </c>
      <c r="BH13" s="9">
        <f>'08_PREMISSAS'!U13</f>
        <v>0.01</v>
      </c>
      <c r="BI13" s="9">
        <f>IFERROR('12_MODELO'!N13/'12_MODELO'!E13,0)</f>
        <v>0.09507728645345746</v>
      </c>
      <c r="BJ13" s="9">
        <f>IFERROR('12_MODELO'!T13/'12_MODELO'!E13,0)</f>
        <v>0.04898797348175546</v>
      </c>
      <c r="BK13" s="6">
        <f>'12_MODELO'!AQ13+'12_MODELO'!AR13</f>
        <v>165843.65944800002</v>
      </c>
      <c r="BL13" s="6">
        <f>'12_MODELO'!U13+'12_MODELO'!V13-'12_MODELO'!X13-'12_MODELO'!Y13-'12_MODELO'!Z13-'12_MODELO'!AA13</f>
        <v>2008728.7825619995</v>
      </c>
      <c r="BM13" s="6">
        <f>'12_MODELO'!AG13-'12_MODELO'!AV13</f>
        <v>-1248722.7945500002</v>
      </c>
      <c r="BN13" s="6">
        <f>MAX(ABS('15_CONCILIACAO'!F134),ABS('15_CONCILIACAO'!F135),ABS('15_CONCILIACAO'!F136),ABS('15_CONCILIACAO'!F137),ABS('15_CONCILIACAO'!F138),ABS('15_CONCILIACAO'!F139),ABS('15_CONCILIACAO'!F140),ABS('15_CONCILIACAO'!F141),ABS('15_CONCILIACAO'!F142),ABS('15_CONCILIACAO'!F143),ABS('15_CONCILIACAO'!F144),ABS('15_CONCILIACAO'!F145))</f>
        <v>2.561137080192566e-09</v>
      </c>
      <c r="BO13" s="6">
        <f>'12_MODELO'!AV13+'12_MODELO'!U13+'12_MODELO'!V13</f>
        <v>5078214.901216667</v>
      </c>
      <c r="BP13" s="6">
        <f>'12_MODELO'!AC13-'12_MODELO'!AD13</f>
        <v>1499160.0</v>
      </c>
      <c r="BQ13" s="6">
        <f>MIN('12_MODELO'!AG13,'12_MODELO'!AF13*12)</f>
        <v>216000.0</v>
      </c>
      <c r="BR13" s="6">
        <f>'12_MODELO'!AG13-'12_MODELO'!BQ13</f>
        <v>368000.0</v>
      </c>
      <c r="BS13" s="6">
        <f>'12_MODELO'!AX13-'12_MODELO'!BR13</f>
        <v>1452763.3241046667</v>
      </c>
      <c r="BT13" s="6">
        <f>'12_MODELO'!BR13</f>
        <v>368000.0</v>
      </c>
      <c r="BU13" s="6">
        <f>IFERROR('12_MODELO'!BO13/'12_MODELO'!BS13,0)</f>
        <v>3.4955555505549083</v>
      </c>
    </row>
    <row r="14" spans="1:73">
      <c r="A14" s="5">
        <v>45658</v>
      </c>
      <c r="B14" t="s">
        <v>78</v>
      </c>
      <c r="C14" s="6">
        <f>SUMIFS('09_VENDAS'!I$2:I$433,'09_VENDAS'!A$2:A$433,'12_MODELO'!A14)</f>
        <v>1151091.49</v>
      </c>
      <c r="D14" s="6">
        <f>'12_MODELO'!C14*'12_MODELO'!BE14</f>
        <v>97842.77665</v>
      </c>
      <c r="E14" s="6">
        <f>'12_MODELO'!C14-'12_MODELO'!D14</f>
        <v>1053248.71335</v>
      </c>
      <c r="F14" s="6">
        <f>SUMIFS('09_VENDAS'!J$2:J$433,'09_VENDAS'!A$2:A$433,'12_MODELO'!A14)</f>
        <v>786981.58</v>
      </c>
      <c r="G14" s="6">
        <f>'12_MODELO'!E14-'12_MODELO'!F14</f>
        <v>266267.13335000013</v>
      </c>
      <c r="H14" s="6">
        <f>SUMIFS('10_DESPESAS'!D$2:D$123,'10_DESPESAS'!A$2:A$123,'12_MODELO'!A14,'10_DESPESAS'!B$2:B$123,"Pessoal")</f>
        <v>105925.0</v>
      </c>
      <c r="I14" s="6">
        <f>SUMIFS('10_DESPESAS'!D$2:D$123,'10_DESPESAS'!A$2:A$123,'12_MODELO'!A14,'10_DESPESAS'!B$2:B$123,"Comercial")</f>
        <v>41439.29</v>
      </c>
      <c r="J14" s="6">
        <f>SUMIFS('10_DESPESAS'!D$2:D$123,'10_DESPESAS'!A$2:A$123,'12_MODELO'!A14,'10_DESPESAS'!B$2:B$123,"Administrativo")</f>
        <v>33920.0</v>
      </c>
      <c r="K14" s="6">
        <f>SUMIFS('10_DESPESAS'!D$2:D$123,'10_DESPESAS'!A$2:A$123,'12_MODELO'!A14,'10_DESPESAS'!B$2:B$123,"Tecnologia")</f>
        <v>20160.0</v>
      </c>
      <c r="L14" s="6">
        <f>SUMIFS('10_DESPESAS'!D$2:D$123,'10_DESPESAS'!A$2:A$123,'12_MODELO'!A14,'10_DESPESAS'!B$2:B$123,"Operações")</f>
        <v>25324.01</v>
      </c>
      <c r="M14" s="6">
        <f>SUM('12_MODELO'!H14:'12_MODELO'!L14)</f>
        <v>226768.3</v>
      </c>
      <c r="N14" s="6">
        <f>'12_MODELO'!G14-'12_MODELO'!M14</f>
        <v>39498.833350000146</v>
      </c>
      <c r="O14" s="6">
        <f>MIN('12_MODELO'!AC13*'12_MODELO'!BH14,'12_MODELO'!AC13-'12_MODELO'!AD13+'12_MODELO'!AB14)</f>
        <v>20040.0</v>
      </c>
      <c r="P14" s="6">
        <f>'12_MODELO'!N14-'12_MODELO'!O14</f>
        <v>19458.833350000146</v>
      </c>
      <c r="Q14" s="6">
        <f>'12_MODELO'!AG13*'12_MODELO'!BG14</f>
        <v>7008.0</v>
      </c>
      <c r="R14" s="6">
        <f>'12_MODELO'!P14-'12_MODELO'!Q14</f>
        <v>12450.833350000146</v>
      </c>
      <c r="S14" s="6">
        <f>MAX(0,'12_MODELO'!R14)*'12_MODELO'!BF14</f>
        <v>4233.28333900005</v>
      </c>
      <c r="T14" s="6">
        <f>'12_MODELO'!R14-'12_MODELO'!S14</f>
        <v>8217.550011000098</v>
      </c>
      <c r="U14" s="6">
        <f>'12_MODELO'!C14*'12_MODELO'!BB14/30</f>
        <v>1803376.6676666667</v>
      </c>
      <c r="V14" s="6">
        <f>'12_MODELO'!F14*'12_MODELO'!BC14/30</f>
        <v>1364101.4053333332</v>
      </c>
      <c r="W14" s="6">
        <f>'12_MODELO'!F14+'12_MODELO'!V14-'12_MODELO'!V13</f>
        <v>747883.652</v>
      </c>
      <c r="X14" s="6">
        <f>'12_MODELO'!F14*'12_MODELO'!BD14/30</f>
        <v>918145.1766666665</v>
      </c>
      <c r="Y14" s="6">
        <f>'12_MODELO'!H14*20%</f>
        <v>21185.0</v>
      </c>
      <c r="Z14" s="6">
        <f>'12_MODELO'!D14</f>
        <v>97842.77665</v>
      </c>
      <c r="AA14" s="6">
        <f>'12_MODELO'!S14</f>
        <v>4233.28333900005</v>
      </c>
      <c r="AB14" s="6">
        <f>'08_PREMISSAS'!V14</f>
        <v>18000.0</v>
      </c>
      <c r="AC14" s="6">
        <f>'12_MODELO'!AC13+'12_MODELO'!AB14</f>
        <v>2022000.0</v>
      </c>
      <c r="AD14" s="6">
        <f>'12_MODELO'!AD13+'12_MODELO'!O14</f>
        <v>524880.0</v>
      </c>
      <c r="AE14" s="6">
        <f>'08_PREMISSAS'!W14</f>
        <v>0.0</v>
      </c>
      <c r="AF14" s="6">
        <f>'08_PREMISSAS'!X14</f>
        <v>18000.0</v>
      </c>
      <c r="AG14" s="6">
        <f>'12_MODELO'!AG13+'12_MODELO'!AE14-'12_MODELO'!AF14</f>
        <v>566000.0</v>
      </c>
      <c r="AH14" s="6">
        <f>'08_PREMISSAS'!Y14</f>
        <v>0.0</v>
      </c>
      <c r="AI14" s="6">
        <f>'12_MODELO'!AI13</f>
        <v>3900000.0</v>
      </c>
      <c r="AJ14" s="6">
        <f>'12_MODELO'!AJ13+'12_MODELO'!T14-'12_MODELO'!AH14</f>
        <v>864829.1271230004</v>
      </c>
      <c r="AK14" s="6">
        <f>'12_MODELO'!U13+'12_MODELO'!C14-'12_MODELO'!U14</f>
        <v>1190007.595666667</v>
      </c>
      <c r="AL14" s="6">
        <f>'12_MODELO'!X13+'12_MODELO'!W14-'12_MODELO'!X14</f>
        <v>897390.1420000002</v>
      </c>
      <c r="AM14" s="6">
        <f>'12_MODELO'!M14+'12_MODELO'!Y13-'12_MODELO'!Y14</f>
        <v>225343.3</v>
      </c>
      <c r="AN14" s="6">
        <f>'12_MODELO'!Z13+'12_MODELO'!D14-'12_MODELO'!Z14</f>
        <v>117446.16430000002</v>
      </c>
      <c r="AO14" s="6">
        <f>'12_MODELO'!AA13+'12_MODELO'!S14-'12_MODELO'!AA14</f>
        <v>31905.493138</v>
      </c>
      <c r="AP14" s="6">
        <f>'12_MODELO'!AK14-'12_MODELO'!AL14-'12_MODELO'!AM14-'12_MODELO'!AN14-'12_MODELO'!Q14-'12_MODELO'!AO14</f>
        <v>-89085.50377133326</v>
      </c>
      <c r="AQ14" s="6">
        <f>'12_MODELO'!T14+'12_MODELO'!O14-('12_MODELO'!U14-'12_MODELO'!U13)-('12_MODELO'!V14-'12_MODELO'!V13)+('12_MODELO'!X14-'12_MODELO'!X13)+('12_MODELO'!Y14-'12_MODELO'!Y13)+('12_MODELO'!Z14-'12_MODELO'!Z13)+('12_MODELO'!AA14-'12_MODELO'!AA13)</f>
        <v>-89085.50377133326</v>
      </c>
      <c r="AR14" s="6">
        <f>-'12_MODELO'!AB14</f>
        <v>-18000.0</v>
      </c>
      <c r="AS14" s="6">
        <f>'12_MODELO'!AE14-'12_MODELO'!AF14-'12_MODELO'!AH14</f>
        <v>-18000.0</v>
      </c>
      <c r="AT14" s="6">
        <f>'12_MODELO'!AQ14+'12_MODELO'!AR14+'12_MODELO'!AS14</f>
        <v>-125085.50377133326</v>
      </c>
      <c r="AU14" s="6">
        <f>'12_MODELO'!AV13</f>
        <v>1832722.7945500002</v>
      </c>
      <c r="AV14" s="6">
        <f>'12_MODELO'!AU14+'12_MODELO'!AT14</f>
        <v>1707637.290778667</v>
      </c>
      <c r="AW14" s="6">
        <f>'12_MODELO'!AV14+'12_MODELO'!U14+'12_MODELO'!V14+'12_MODELO'!AC14-'12_MODELO'!AD14</f>
        <v>6372235.3637786675</v>
      </c>
      <c r="AX14" s="6">
        <f>'12_MODELO'!X14+'12_MODELO'!Y14+'12_MODELO'!Z14+'12_MODELO'!AA14+'12_MODELO'!AG14</f>
        <v>1607406.2366556665</v>
      </c>
      <c r="AY14" s="6">
        <f>'12_MODELO'!AI14+'12_MODELO'!AJ14</f>
        <v>4764829.127123</v>
      </c>
      <c r="AZ14" s="6">
        <f>'12_MODELO'!AW14-'12_MODELO'!AX14-'12_MODELO'!AY14</f>
        <v>9.313225746154785e-10</v>
      </c>
      <c r="BA14" s="6">
        <f>'12_MODELO'!AP14-'12_MODELO'!AQ14</f>
        <v>0.0</v>
      </c>
      <c r="BB14" s="6">
        <f>'08_PREMISSAS'!O14</f>
        <v>47.0</v>
      </c>
      <c r="BC14" s="6">
        <f>'08_PREMISSAS'!P14</f>
        <v>52.0</v>
      </c>
      <c r="BD14" s="6">
        <f>'08_PREMISSAS'!Q14</f>
        <v>35.0</v>
      </c>
      <c r="BE14" s="9">
        <f>'08_PREMISSAS'!R14</f>
        <v>0.085</v>
      </c>
      <c r="BF14" s="9">
        <f>'08_PREMISSAS'!S14</f>
        <v>0.34</v>
      </c>
      <c r="BG14" s="9">
        <f>'08_PREMISSAS'!T14</f>
        <v>0.012</v>
      </c>
      <c r="BH14" s="9">
        <f>'08_PREMISSAS'!U14</f>
        <v>0.01</v>
      </c>
      <c r="BI14" s="9">
        <f>IFERROR('12_MODELO'!N14/'12_MODELO'!E14,0)</f>
        <v>0.03750190515245802</v>
      </c>
      <c r="BJ14" s="9">
        <f>IFERROR('12_MODELO'!T14/'12_MODELO'!E14,0)</f>
        <v>0.0078020983143317285</v>
      </c>
      <c r="BK14" s="6">
        <f>'12_MODELO'!AQ14+'12_MODELO'!AR14</f>
        <v>-107085.50377133326</v>
      </c>
      <c r="BL14" s="6">
        <f>'12_MODELO'!U14+'12_MODELO'!V14-'12_MODELO'!X14-'12_MODELO'!Y14-'12_MODELO'!Z14-'12_MODELO'!AA14</f>
        <v>2126071.8363443334</v>
      </c>
      <c r="BM14" s="6">
        <f>'12_MODELO'!AG14-'12_MODELO'!AV14</f>
        <v>-1141637.290778667</v>
      </c>
      <c r="BN14" s="6">
        <f>MAX(ABS('15_CONCILIACAO'!F146),ABS('15_CONCILIACAO'!F147),ABS('15_CONCILIACAO'!F148),ABS('15_CONCILIACAO'!F149),ABS('15_CONCILIACAO'!F150),ABS('15_CONCILIACAO'!F151),ABS('15_CONCILIACAO'!F152),ABS('15_CONCILIACAO'!F153),ABS('15_CONCILIACAO'!F154),ABS('15_CONCILIACAO'!F155),ABS('15_CONCILIACAO'!F156),ABS('15_CONCILIACAO'!F157))</f>
        <v>2.561137080192566e-09</v>
      </c>
      <c r="BO14" s="6">
        <f>'12_MODELO'!AV14+'12_MODELO'!U14+'12_MODELO'!V14</f>
        <v>4875115.3637786675</v>
      </c>
      <c r="BP14" s="6">
        <f>'12_MODELO'!AC14-'12_MODELO'!AD14</f>
        <v>1497120.0</v>
      </c>
      <c r="BQ14" s="6">
        <f>MIN('12_MODELO'!AG14,'12_MODELO'!AF14*12)</f>
        <v>216000.0</v>
      </c>
      <c r="BR14" s="6">
        <f>'12_MODELO'!AG14-'12_MODELO'!BQ14</f>
        <v>350000.0</v>
      </c>
      <c r="BS14" s="6">
        <f>'12_MODELO'!AX14-'12_MODELO'!BR14</f>
        <v>1257406.2366556665</v>
      </c>
      <c r="BT14" s="6">
        <f>'12_MODELO'!BR14</f>
        <v>350000.0</v>
      </c>
      <c r="BU14" s="6">
        <f>IFERROR('12_MODELO'!BO14/'12_MODELO'!BS14,0)</f>
        <v>3.8771203940780916</v>
      </c>
    </row>
    <row r="15" spans="1:73">
      <c r="A15" s="5">
        <v>45689</v>
      </c>
      <c r="B15" t="s">
        <v>78</v>
      </c>
      <c r="C15" s="6">
        <f>SUMIFS('09_VENDAS'!I$2:I$433,'09_VENDAS'!A$2:A$433,'12_MODELO'!A15)</f>
        <v>1176731.76</v>
      </c>
      <c r="D15" s="6">
        <f>'12_MODELO'!C15*'12_MODELO'!BE15</f>
        <v>100022.1996</v>
      </c>
      <c r="E15" s="6">
        <f>'12_MODELO'!C15-'12_MODELO'!D15</f>
        <v>1076709.5604</v>
      </c>
      <c r="F15" s="6">
        <f>SUMIFS('09_VENDAS'!J$2:J$433,'09_VENDAS'!A$2:A$433,'12_MODELO'!A15)</f>
        <v>805807.26</v>
      </c>
      <c r="G15" s="6">
        <f>'12_MODELO'!E15-'12_MODELO'!F15</f>
        <v>270902.30040000007</v>
      </c>
      <c r="H15" s="6">
        <f>SUMIFS('10_DESPESAS'!D$2:D$123,'10_DESPESAS'!A$2:A$123,'12_MODELO'!A15,'10_DESPESAS'!B$2:B$123,"Pessoal")</f>
        <v>105925.0</v>
      </c>
      <c r="I15" s="6">
        <f>SUMIFS('10_DESPESAS'!D$2:D$123,'10_DESPESAS'!A$2:A$123,'12_MODELO'!A15,'10_DESPESAS'!B$2:B$123,"Comercial")</f>
        <v>42362.34</v>
      </c>
      <c r="J15" s="6">
        <f>SUMIFS('10_DESPESAS'!D$2:D$123,'10_DESPESAS'!A$2:A$123,'12_MODELO'!A15,'10_DESPESAS'!B$2:B$123,"Administrativo")</f>
        <v>33920.0</v>
      </c>
      <c r="K15" s="6">
        <f>SUMIFS('10_DESPESAS'!D$2:D$123,'10_DESPESAS'!A$2:A$123,'12_MODELO'!A15,'10_DESPESAS'!B$2:B$123,"Tecnologia")</f>
        <v>20160.0</v>
      </c>
      <c r="L15" s="6">
        <f>SUMIFS('10_DESPESAS'!D$2:D$123,'10_DESPESAS'!A$2:A$123,'12_MODELO'!A15,'10_DESPESAS'!B$2:B$123,"Operações")</f>
        <v>25888.1</v>
      </c>
      <c r="M15" s="6">
        <f>SUM('12_MODELO'!H15:'12_MODELO'!L15)</f>
        <v>228255.44</v>
      </c>
      <c r="N15" s="6">
        <f>'12_MODELO'!G15-'12_MODELO'!M15</f>
        <v>42646.86040000006</v>
      </c>
      <c r="O15" s="6">
        <f>MIN('12_MODELO'!AC14*'12_MODELO'!BH15,'12_MODELO'!AC14-'12_MODELO'!AD14+'12_MODELO'!AB15)</f>
        <v>20220.0</v>
      </c>
      <c r="P15" s="6">
        <f>'12_MODELO'!N15-'12_MODELO'!O15</f>
        <v>22426.860400000063</v>
      </c>
      <c r="Q15" s="6">
        <f>'12_MODELO'!AG14*'12_MODELO'!BG15</f>
        <v>6792.0</v>
      </c>
      <c r="R15" s="6">
        <f>'12_MODELO'!P15-'12_MODELO'!Q15</f>
        <v>15634.860400000063</v>
      </c>
      <c r="S15" s="6">
        <f>MAX(0,'12_MODELO'!R15)*'12_MODELO'!BF15</f>
        <v>5315.852536000022</v>
      </c>
      <c r="T15" s="6">
        <f>'12_MODELO'!R15-'12_MODELO'!S15</f>
        <v>10319.007864000041</v>
      </c>
      <c r="U15" s="6">
        <f>'12_MODELO'!C15*'12_MODELO'!BB15/30</f>
        <v>1843546.4239999999</v>
      </c>
      <c r="V15" s="6">
        <f>'12_MODELO'!F15*'12_MODELO'!BC15/30</f>
        <v>1396732.584</v>
      </c>
      <c r="W15" s="6">
        <f>'12_MODELO'!F15+'12_MODELO'!V15-'12_MODELO'!V14</f>
        <v>838438.4386666669</v>
      </c>
      <c r="X15" s="6">
        <f>'12_MODELO'!F15*'12_MODELO'!BD15/30</f>
        <v>940108.4700000001</v>
      </c>
      <c r="Y15" s="6">
        <f>'12_MODELO'!H15*20%</f>
        <v>21185.0</v>
      </c>
      <c r="Z15" s="6">
        <f>'12_MODELO'!D15</f>
        <v>100022.1996</v>
      </c>
      <c r="AA15" s="6">
        <f>'12_MODELO'!S15</f>
        <v>5315.852536000022</v>
      </c>
      <c r="AB15" s="6">
        <f>'08_PREMISSAS'!V15</f>
        <v>18000.0</v>
      </c>
      <c r="AC15" s="6">
        <f>'12_MODELO'!AC14+'12_MODELO'!AB15</f>
        <v>2040000.0</v>
      </c>
      <c r="AD15" s="6">
        <f>'12_MODELO'!AD14+'12_MODELO'!O15</f>
        <v>545100.0</v>
      </c>
      <c r="AE15" s="6">
        <f>'08_PREMISSAS'!W15</f>
        <v>0.0</v>
      </c>
      <c r="AF15" s="6">
        <f>'08_PREMISSAS'!X15</f>
        <v>18000.0</v>
      </c>
      <c r="AG15" s="6">
        <f>'12_MODELO'!AG14+'12_MODELO'!AE15-'12_MODELO'!AF15</f>
        <v>548000.0</v>
      </c>
      <c r="AH15" s="6">
        <f>'08_PREMISSAS'!Y15</f>
        <v>0.0</v>
      </c>
      <c r="AI15" s="6">
        <f>'12_MODELO'!AI14</f>
        <v>3900000.0</v>
      </c>
      <c r="AJ15" s="6">
        <f>'12_MODELO'!AJ14+'12_MODELO'!T15-'12_MODELO'!AH15</f>
        <v>875148.1349870005</v>
      </c>
      <c r="AK15" s="6">
        <f>'12_MODELO'!U14+'12_MODELO'!C15-'12_MODELO'!U15</f>
        <v>1136562.003666667</v>
      </c>
      <c r="AL15" s="6">
        <f>'12_MODELO'!X14+'12_MODELO'!W15-'12_MODELO'!X15</f>
        <v>816475.1453333333</v>
      </c>
      <c r="AM15" s="6">
        <f>'12_MODELO'!M15+'12_MODELO'!Y14-'12_MODELO'!Y15</f>
        <v>228255.44</v>
      </c>
      <c r="AN15" s="6">
        <f>'12_MODELO'!Z14+'12_MODELO'!D15-'12_MODELO'!Z15</f>
        <v>97842.77665</v>
      </c>
      <c r="AO15" s="6">
        <f>'12_MODELO'!AA14+'12_MODELO'!S15-'12_MODELO'!AA15</f>
        <v>4233.283339000051</v>
      </c>
      <c r="AP15" s="6">
        <f>'12_MODELO'!AK15-'12_MODELO'!AL15-'12_MODELO'!AM15-'12_MODELO'!AN15-'12_MODELO'!Q15-'12_MODELO'!AO15</f>
        <v>-17036.64165566631</v>
      </c>
      <c r="AQ15" s="6">
        <f>'12_MODELO'!T15+'12_MODELO'!O15-('12_MODELO'!U15-'12_MODELO'!U14)-('12_MODELO'!V15-'12_MODELO'!V14)+('12_MODELO'!X15-'12_MODELO'!X14)+('12_MODELO'!Y15-'12_MODELO'!Y14)+('12_MODELO'!Z15-'12_MODELO'!Z14)+('12_MODELO'!AA15-'12_MODELO'!AA14)</f>
        <v>-17036.641655666466</v>
      </c>
      <c r="AR15" s="6">
        <f>-'12_MODELO'!AB15</f>
        <v>-18000.0</v>
      </c>
      <c r="AS15" s="6">
        <f>'12_MODELO'!AE15-'12_MODELO'!AF15-'12_MODELO'!AH15</f>
        <v>-18000.0</v>
      </c>
      <c r="AT15" s="6">
        <f>'12_MODELO'!AQ15+'12_MODELO'!AR15+'12_MODELO'!AS15</f>
        <v>-53036.64165566646</v>
      </c>
      <c r="AU15" s="6">
        <f>'12_MODELO'!AV14</f>
        <v>1707637.290778667</v>
      </c>
      <c r="AV15" s="6">
        <f>'12_MODELO'!AU15+'12_MODELO'!AT15</f>
        <v>1654600.6491230004</v>
      </c>
      <c r="AW15" s="6">
        <f>'12_MODELO'!AV15+'12_MODELO'!U15+'12_MODELO'!V15+'12_MODELO'!AC15-'12_MODELO'!AD15</f>
        <v>6389779.657123</v>
      </c>
      <c r="AX15" s="6">
        <f>'12_MODELO'!X15+'12_MODELO'!Y15+'12_MODELO'!Z15+'12_MODELO'!AA15+'12_MODELO'!AG15</f>
        <v>1614631.5221360002</v>
      </c>
      <c r="AY15" s="6">
        <f>'12_MODELO'!AI15+'12_MODELO'!AJ15</f>
        <v>4775148.134987</v>
      </c>
      <c r="AZ15" s="6">
        <f>'12_MODELO'!AW15-'12_MODELO'!AX15-'12_MODELO'!AY15</f>
        <v>0.0</v>
      </c>
      <c r="BA15" s="6">
        <f>'12_MODELO'!AP15-'12_MODELO'!AQ15</f>
        <v>1.5643308870494366e-10</v>
      </c>
      <c r="BB15" s="6">
        <f>'08_PREMISSAS'!O15</f>
        <v>47.0</v>
      </c>
      <c r="BC15" s="6">
        <f>'08_PREMISSAS'!P15</f>
        <v>52.0</v>
      </c>
      <c r="BD15" s="6">
        <f>'08_PREMISSAS'!Q15</f>
        <v>35.0</v>
      </c>
      <c r="BE15" s="9">
        <f>'08_PREMISSAS'!R15</f>
        <v>0.085</v>
      </c>
      <c r="BF15" s="9">
        <f>'08_PREMISSAS'!S15</f>
        <v>0.34</v>
      </c>
      <c r="BG15" s="9">
        <f>'08_PREMISSAS'!T15</f>
        <v>0.012</v>
      </c>
      <c r="BH15" s="9">
        <f>'08_PREMISSAS'!U15</f>
        <v>0.01</v>
      </c>
      <c r="BI15" s="9">
        <f>IFERROR('12_MODELO'!N15/'12_MODELO'!E15,0)</f>
        <v>0.039608509080347215</v>
      </c>
      <c r="BJ15" s="9">
        <f>IFERROR('12_MODELO'!T15/'12_MODELO'!E15,0)</f>
        <v>0.009583836016247972</v>
      </c>
      <c r="BK15" s="6">
        <f>'12_MODELO'!AQ15+'12_MODELO'!AR15</f>
        <v>-35036.64165566646</v>
      </c>
      <c r="BL15" s="6">
        <f>'12_MODELO'!U15+'12_MODELO'!V15-'12_MODELO'!X15-'12_MODELO'!Y15-'12_MODELO'!Z15-'12_MODELO'!AA15</f>
        <v>2173647.485864</v>
      </c>
      <c r="BM15" s="6">
        <f>'12_MODELO'!AG15-'12_MODELO'!AV15</f>
        <v>-1106600.6491230004</v>
      </c>
      <c r="BN15" s="6">
        <f>MAX(ABS('15_CONCILIACAO'!F158),ABS('15_CONCILIACAO'!F159),ABS('15_CONCILIACAO'!F160),ABS('15_CONCILIACAO'!F161),ABS('15_CONCILIACAO'!F162),ABS('15_CONCILIACAO'!F163),ABS('15_CONCILIACAO'!F164),ABS('15_CONCILIACAO'!F165),ABS('15_CONCILIACAO'!F166),ABS('15_CONCILIACAO'!F167),ABS('15_CONCILIACAO'!F168),ABS('15_CONCILIACAO'!F169))</f>
        <v>2.561137080192566e-09</v>
      </c>
      <c r="BO15" s="6">
        <f>'12_MODELO'!AV15+'12_MODELO'!U15+'12_MODELO'!V15</f>
        <v>4894879.657123</v>
      </c>
      <c r="BP15" s="6">
        <f>'12_MODELO'!AC15-'12_MODELO'!AD15</f>
        <v>1494900.0</v>
      </c>
      <c r="BQ15" s="6">
        <f>MIN('12_MODELO'!AG15,'12_MODELO'!AF15*12)</f>
        <v>216000.0</v>
      </c>
      <c r="BR15" s="6">
        <f>'12_MODELO'!AG15-'12_MODELO'!BQ15</f>
        <v>332000.0</v>
      </c>
      <c r="BS15" s="6">
        <f>'12_MODELO'!AX15-'12_MODELO'!BR15</f>
        <v>1282631.5221360002</v>
      </c>
      <c r="BT15" s="6">
        <f>'12_MODELO'!BR15</f>
        <v>332000.0</v>
      </c>
      <c r="BU15" s="6">
        <f>IFERROR('12_MODELO'!BO15/'12_MODELO'!BS15,0)</f>
        <v>3.8162789333069154</v>
      </c>
    </row>
    <row r="16" spans="1:73">
      <c r="A16" s="5">
        <v>45717</v>
      </c>
      <c r="B16" t="s">
        <v>78</v>
      </c>
      <c r="C16" s="6">
        <f>SUMIFS('09_VENDAS'!I$2:I$433,'09_VENDAS'!A$2:A$433,'12_MODELO'!A16)</f>
        <v>1389953.08</v>
      </c>
      <c r="D16" s="6">
        <f>'12_MODELO'!C16*'12_MODELO'!BE16</f>
        <v>118146.01180000002</v>
      </c>
      <c r="E16" s="6">
        <f>'12_MODELO'!C16-'12_MODELO'!D16</f>
        <v>1271807.0682</v>
      </c>
      <c r="F16" s="6">
        <f>SUMIFS('09_VENDAS'!J$2:J$433,'09_VENDAS'!A$2:A$433,'12_MODELO'!A16)</f>
        <v>952291.92</v>
      </c>
      <c r="G16" s="6">
        <f>'12_MODELO'!E16-'12_MODELO'!F16</f>
        <v>319515.14820000005</v>
      </c>
      <c r="H16" s="6">
        <f>SUMIFS('10_DESPESAS'!D$2:D$123,'10_DESPESAS'!A$2:A$123,'12_MODELO'!A16,'10_DESPESAS'!B$2:B$123,"Pessoal")</f>
        <v>105925.0</v>
      </c>
      <c r="I16" s="6">
        <f>SUMIFS('10_DESPESAS'!D$2:D$123,'10_DESPESAS'!A$2:A$123,'12_MODELO'!A16,'10_DESPESAS'!B$2:B$123,"Comercial")</f>
        <v>50038.31</v>
      </c>
      <c r="J16" s="6">
        <f>SUMIFS('10_DESPESAS'!D$2:D$123,'10_DESPESAS'!A$2:A$123,'12_MODELO'!A16,'10_DESPESAS'!B$2:B$123,"Administrativo")</f>
        <v>33920.0</v>
      </c>
      <c r="K16" s="6">
        <f>SUMIFS('10_DESPESAS'!D$2:D$123,'10_DESPESAS'!A$2:A$123,'12_MODELO'!A16,'10_DESPESAS'!B$2:B$123,"Tecnologia")</f>
        <v>20160.0</v>
      </c>
      <c r="L16" s="6">
        <f>SUMIFS('10_DESPESAS'!D$2:D$123,'10_DESPESAS'!A$2:A$123,'12_MODELO'!A16,'10_DESPESAS'!B$2:B$123,"Operações")</f>
        <v>30578.97</v>
      </c>
      <c r="M16" s="6">
        <f>SUM('12_MODELO'!H16:'12_MODELO'!L16)</f>
        <v>240622.28</v>
      </c>
      <c r="N16" s="6">
        <f>'12_MODELO'!G16-'12_MODELO'!M16</f>
        <v>78892.86820000006</v>
      </c>
      <c r="O16" s="6">
        <f>MIN('12_MODELO'!AC15*'12_MODELO'!BH16,'12_MODELO'!AC15-'12_MODELO'!AD15+'12_MODELO'!AB16)</f>
        <v>20400.0</v>
      </c>
      <c r="P16" s="6">
        <f>'12_MODELO'!N16-'12_MODELO'!O16</f>
        <v>58492.868200000055</v>
      </c>
      <c r="Q16" s="6">
        <f>'12_MODELO'!AG15*'12_MODELO'!BG16</f>
        <v>6576.0</v>
      </c>
      <c r="R16" s="6">
        <f>'12_MODELO'!P16-'12_MODELO'!Q16</f>
        <v>51916.868200000055</v>
      </c>
      <c r="S16" s="6">
        <f>MAX(0,'12_MODELO'!R16)*'12_MODELO'!BF16</f>
        <v>17651.73518800002</v>
      </c>
      <c r="T16" s="6">
        <f>'12_MODELO'!R16-'12_MODELO'!S16</f>
        <v>34265.133012000035</v>
      </c>
      <c r="U16" s="6">
        <f>'12_MODELO'!C16*'12_MODELO'!BB16/30</f>
        <v>2177593.158666667</v>
      </c>
      <c r="V16" s="6">
        <f>'12_MODELO'!F16*'12_MODELO'!BC16/30</f>
        <v>1650639.3280000002</v>
      </c>
      <c r="W16" s="6">
        <f>'12_MODELO'!F16+'12_MODELO'!V16-'12_MODELO'!V15</f>
        <v>1206198.664</v>
      </c>
      <c r="X16" s="6">
        <f>'12_MODELO'!F16*'12_MODELO'!BD16/30</f>
        <v>1111007.24</v>
      </c>
      <c r="Y16" s="6">
        <f>'12_MODELO'!H16*20%</f>
        <v>21185.0</v>
      </c>
      <c r="Z16" s="6">
        <f>'12_MODELO'!D16</f>
        <v>118146.01180000002</v>
      </c>
      <c r="AA16" s="6">
        <f>'12_MODELO'!S16</f>
        <v>17651.73518800002</v>
      </c>
      <c r="AB16" s="6">
        <f>'08_PREMISSAS'!V16</f>
        <v>90000.0</v>
      </c>
      <c r="AC16" s="6">
        <f>'12_MODELO'!AC15+'12_MODELO'!AB16</f>
        <v>2130000.0</v>
      </c>
      <c r="AD16" s="6">
        <f>'12_MODELO'!AD15+'12_MODELO'!O16</f>
        <v>565500.0</v>
      </c>
      <c r="AE16" s="6">
        <f>'08_PREMISSAS'!W16</f>
        <v>0.0</v>
      </c>
      <c r="AF16" s="6">
        <f>'08_PREMISSAS'!X16</f>
        <v>18000.0</v>
      </c>
      <c r="AG16" s="6">
        <f>'12_MODELO'!AG15+'12_MODELO'!AE16-'12_MODELO'!AF16</f>
        <v>530000.0</v>
      </c>
      <c r="AH16" s="6">
        <f>'08_PREMISSAS'!Y16</f>
        <v>0.0</v>
      </c>
      <c r="AI16" s="6">
        <f>'12_MODELO'!AI15</f>
        <v>3900000.0</v>
      </c>
      <c r="AJ16" s="6">
        <f>'12_MODELO'!AJ15+'12_MODELO'!T16-'12_MODELO'!AH16</f>
        <v>909413.2679990005</v>
      </c>
      <c r="AK16" s="6">
        <f>'12_MODELO'!U15+'12_MODELO'!C16-'12_MODELO'!U16</f>
        <v>1055906.3453333327</v>
      </c>
      <c r="AL16" s="6">
        <f>'12_MODELO'!X15+'12_MODELO'!W16-'12_MODELO'!X16</f>
        <v>1035299.8940000001</v>
      </c>
      <c r="AM16" s="6">
        <f>'12_MODELO'!M16+'12_MODELO'!Y15-'12_MODELO'!Y16</f>
        <v>240622.28</v>
      </c>
      <c r="AN16" s="6">
        <f>'12_MODELO'!Z15+'12_MODELO'!D16-'12_MODELO'!Z16</f>
        <v>100022.1996</v>
      </c>
      <c r="AO16" s="6">
        <f>'12_MODELO'!AA15+'12_MODELO'!S16-'12_MODELO'!AA16</f>
        <v>5315.85253600002</v>
      </c>
      <c r="AP16" s="6">
        <f>'12_MODELO'!AK16-'12_MODELO'!AL16-'12_MODELO'!AM16-'12_MODELO'!AN16-'12_MODELO'!Q16-'12_MODELO'!AO16</f>
        <v>-331929.88080266747</v>
      </c>
      <c r="AQ16" s="6">
        <f>'12_MODELO'!T16+'12_MODELO'!O16-('12_MODELO'!U16-'12_MODELO'!U15)-('12_MODELO'!V16-'12_MODELO'!V15)+('12_MODELO'!X16-'12_MODELO'!X15)+('12_MODELO'!Y16-'12_MODELO'!Y15)+('12_MODELO'!Z16-'12_MODELO'!Z15)+('12_MODELO'!AA16-'12_MODELO'!AA15)</f>
        <v>-331929.88080266747</v>
      </c>
      <c r="AR16" s="6">
        <f>-'12_MODELO'!AB16</f>
        <v>-90000.0</v>
      </c>
      <c r="AS16" s="6">
        <f>'12_MODELO'!AE16-'12_MODELO'!AF16-'12_MODELO'!AH16</f>
        <v>-18000.0</v>
      </c>
      <c r="AT16" s="6">
        <f>'12_MODELO'!AQ16+'12_MODELO'!AR16+'12_MODELO'!AS16</f>
        <v>-439929.88080266747</v>
      </c>
      <c r="AU16" s="6">
        <f>'12_MODELO'!AV15</f>
        <v>1654600.6491230004</v>
      </c>
      <c r="AV16" s="6">
        <f>'12_MODELO'!AU16+'12_MODELO'!AT16</f>
        <v>1214670.768320333</v>
      </c>
      <c r="AW16" s="6">
        <f>'12_MODELO'!AV16+'12_MODELO'!U16+'12_MODELO'!V16+'12_MODELO'!AC16-'12_MODELO'!AD16</f>
        <v>6607403.254987</v>
      </c>
      <c r="AX16" s="6">
        <f>'12_MODELO'!X16+'12_MODELO'!Y16+'12_MODELO'!Z16+'12_MODELO'!AA16+'12_MODELO'!AG16</f>
        <v>1797989.986988</v>
      </c>
      <c r="AY16" s="6">
        <f>'12_MODELO'!AI16+'12_MODELO'!AJ16</f>
        <v>4809413.267999001</v>
      </c>
      <c r="AZ16" s="6">
        <f>'12_MODELO'!AW16-'12_MODELO'!AX16-'12_MODELO'!AY16</f>
        <v>-1.862645149230957e-09</v>
      </c>
      <c r="BA16" s="6">
        <f>'12_MODELO'!AP16-'12_MODELO'!AQ16</f>
        <v>0.0</v>
      </c>
      <c r="BB16" s="6">
        <f>'08_PREMISSAS'!O16</f>
        <v>47.0</v>
      </c>
      <c r="BC16" s="6">
        <f>'08_PREMISSAS'!P16</f>
        <v>52.0</v>
      </c>
      <c r="BD16" s="6">
        <f>'08_PREMISSAS'!Q16</f>
        <v>35.0</v>
      </c>
      <c r="BE16" s="9">
        <f>'08_PREMISSAS'!R16</f>
        <v>0.085</v>
      </c>
      <c r="BF16" s="9">
        <f>'08_PREMISSAS'!S16</f>
        <v>0.34</v>
      </c>
      <c r="BG16" s="9">
        <f>'08_PREMISSAS'!T16</f>
        <v>0.012</v>
      </c>
      <c r="BH16" s="9">
        <f>'08_PREMISSAS'!U16</f>
        <v>0.01</v>
      </c>
      <c r="BI16" s="9">
        <f>IFERROR('12_MODELO'!N16/'12_MODELO'!E16,0)</f>
        <v>0.06203210390366665</v>
      </c>
      <c r="BJ16" s="9">
        <f>IFERROR('12_MODELO'!T16/'12_MODELO'!E16,0)</f>
        <v>0.026942084116968922</v>
      </c>
      <c r="BK16" s="6">
        <f>'12_MODELO'!AQ16+'12_MODELO'!AR16</f>
        <v>-421929.88080266747</v>
      </c>
      <c r="BL16" s="6">
        <f>'12_MODELO'!U16+'12_MODELO'!V16-'12_MODELO'!X16-'12_MODELO'!Y16-'12_MODELO'!Z16-'12_MODELO'!AA16</f>
        <v>2560242.499678667</v>
      </c>
      <c r="BM16" s="6">
        <f>'12_MODELO'!AG16-'12_MODELO'!AV16</f>
        <v>-684670.768320333</v>
      </c>
      <c r="BN16" s="6">
        <f>MAX(ABS('15_CONCILIACAO'!F170),ABS('15_CONCILIACAO'!F171),ABS('15_CONCILIACAO'!F172),ABS('15_CONCILIACAO'!F173),ABS('15_CONCILIACAO'!F174),ABS('15_CONCILIACAO'!F175),ABS('15_CONCILIACAO'!F176),ABS('15_CONCILIACAO'!F177),ABS('15_CONCILIACAO'!F178),ABS('15_CONCILIACAO'!F179),ABS('15_CONCILIACAO'!F180),ABS('15_CONCILIACAO'!F181))</f>
        <v>2.561137080192566e-09</v>
      </c>
      <c r="BO16" s="6">
        <f>'12_MODELO'!AV16+'12_MODELO'!U16+'12_MODELO'!V16</f>
        <v>5042903.254987</v>
      </c>
      <c r="BP16" s="6">
        <f>'12_MODELO'!AC16-'12_MODELO'!AD16</f>
        <v>1564500.0</v>
      </c>
      <c r="BQ16" s="6">
        <f>MIN('12_MODELO'!AG16,'12_MODELO'!AF16*12)</f>
        <v>216000.0</v>
      </c>
      <c r="BR16" s="6">
        <f>'12_MODELO'!AG16-'12_MODELO'!BQ16</f>
        <v>314000.0</v>
      </c>
      <c r="BS16" s="6">
        <f>'12_MODELO'!AX16-'12_MODELO'!BR16</f>
        <v>1483989.986988</v>
      </c>
      <c r="BT16" s="6">
        <f>'12_MODELO'!BR16</f>
        <v>314000.0</v>
      </c>
      <c r="BU16" s="6">
        <f>IFERROR('12_MODELO'!BO16/'12_MODELO'!BS16,0)</f>
        <v>3.3982057151358513</v>
      </c>
    </row>
    <row r="17" spans="1:73">
      <c r="A17" s="5">
        <v>45748</v>
      </c>
      <c r="B17" t="s">
        <v>78</v>
      </c>
      <c r="C17" s="6">
        <f>SUMIFS('09_VENDAS'!I$2:I$433,'09_VENDAS'!A$2:A$433,'12_MODELO'!A17)</f>
        <v>1384297.22</v>
      </c>
      <c r="D17" s="6">
        <f>'12_MODELO'!C17*'12_MODELO'!BE17</f>
        <v>117665.26370000001</v>
      </c>
      <c r="E17" s="6">
        <f>'12_MODELO'!C17-'12_MODELO'!D17</f>
        <v>1266631.9563</v>
      </c>
      <c r="F17" s="6">
        <f>SUMIFS('09_VENDAS'!J$2:J$433,'09_VENDAS'!A$2:A$433,'12_MODELO'!A17)</f>
        <v>950090.68</v>
      </c>
      <c r="G17" s="6">
        <f>'12_MODELO'!E17-'12_MODELO'!F17</f>
        <v>316541.2762999999</v>
      </c>
      <c r="H17" s="6">
        <f>SUMIFS('10_DESPESAS'!D$2:D$123,'10_DESPESAS'!A$2:A$123,'12_MODELO'!A17,'10_DESPESAS'!B$2:B$123,"Pessoal")</f>
        <v>105925.0</v>
      </c>
      <c r="I17" s="6">
        <f>SUMIFS('10_DESPESAS'!D$2:D$123,'10_DESPESAS'!A$2:A$123,'12_MODELO'!A17,'10_DESPESAS'!B$2:B$123,"Comercial")</f>
        <v>49834.7</v>
      </c>
      <c r="J17" s="6">
        <f>SUMIFS('10_DESPESAS'!D$2:D$123,'10_DESPESAS'!A$2:A$123,'12_MODELO'!A17,'10_DESPESAS'!B$2:B$123,"Administrativo")</f>
        <v>33920.0</v>
      </c>
      <c r="K17" s="6">
        <f>SUMIFS('10_DESPESAS'!D$2:D$123,'10_DESPESAS'!A$2:A$123,'12_MODELO'!A17,'10_DESPESAS'!B$2:B$123,"Tecnologia")</f>
        <v>48160.0</v>
      </c>
      <c r="L17" s="6">
        <f>SUMIFS('10_DESPESAS'!D$2:D$123,'10_DESPESAS'!A$2:A$123,'12_MODELO'!A17,'10_DESPESAS'!B$2:B$123,"Operações")</f>
        <v>30454.54</v>
      </c>
      <c r="M17" s="6">
        <f>SUM('12_MODELO'!H17:'12_MODELO'!L17)</f>
        <v>268294.24</v>
      </c>
      <c r="N17" s="6">
        <f>'12_MODELO'!G17-'12_MODELO'!M17</f>
        <v>48247.03629999992</v>
      </c>
      <c r="O17" s="6">
        <f>MIN('12_MODELO'!AC16*'12_MODELO'!BH17,'12_MODELO'!AC16-'12_MODELO'!AD16+'12_MODELO'!AB17)</f>
        <v>21300.0</v>
      </c>
      <c r="P17" s="6">
        <f>'12_MODELO'!N17-'12_MODELO'!O17</f>
        <v>26947.03629999992</v>
      </c>
      <c r="Q17" s="6">
        <f>'12_MODELO'!AG16*'12_MODELO'!BG17</f>
        <v>6360.0</v>
      </c>
      <c r="R17" s="6">
        <f>'12_MODELO'!P17-'12_MODELO'!Q17</f>
        <v>20587.03629999992</v>
      </c>
      <c r="S17" s="6">
        <f>MAX(0,'12_MODELO'!R17)*'12_MODELO'!BF17</f>
        <v>6999.5923419999735</v>
      </c>
      <c r="T17" s="6">
        <f>'12_MODELO'!R17-'12_MODELO'!S17</f>
        <v>13587.443957999945</v>
      </c>
      <c r="U17" s="6">
        <f>'12_MODELO'!C17*'12_MODELO'!BB17/30</f>
        <v>2168732.311333333</v>
      </c>
      <c r="V17" s="6">
        <f>'12_MODELO'!F17*'12_MODELO'!BC17/30</f>
        <v>1646823.8453333334</v>
      </c>
      <c r="W17" s="6">
        <f>'12_MODELO'!F17+'12_MODELO'!V17-'12_MODELO'!V16</f>
        <v>946275.1973333331</v>
      </c>
      <c r="X17" s="6">
        <f>'12_MODELO'!F17*'12_MODELO'!BD17/30</f>
        <v>1108439.1266666667</v>
      </c>
      <c r="Y17" s="6">
        <f>'12_MODELO'!H17*20%</f>
        <v>21185.0</v>
      </c>
      <c r="Z17" s="6">
        <f>'12_MODELO'!D17</f>
        <v>117665.26370000001</v>
      </c>
      <c r="AA17" s="6">
        <f>'12_MODELO'!S17</f>
        <v>6999.5923419999735</v>
      </c>
      <c r="AB17" s="6">
        <f>'08_PREMISSAS'!V17</f>
        <v>18000.0</v>
      </c>
      <c r="AC17" s="6">
        <f>'12_MODELO'!AC16+'12_MODELO'!AB17</f>
        <v>2148000.0</v>
      </c>
      <c r="AD17" s="6">
        <f>'12_MODELO'!AD16+'12_MODELO'!O17</f>
        <v>586800.0</v>
      </c>
      <c r="AE17" s="6">
        <f>'08_PREMISSAS'!W17</f>
        <v>350000.0</v>
      </c>
      <c r="AF17" s="6">
        <f>'08_PREMISSAS'!X17</f>
        <v>18000.0</v>
      </c>
      <c r="AG17" s="6">
        <f>'12_MODELO'!AG16+'12_MODELO'!AE17-'12_MODELO'!AF17</f>
        <v>862000.0</v>
      </c>
      <c r="AH17" s="6">
        <f>'08_PREMISSAS'!Y17</f>
        <v>0.0</v>
      </c>
      <c r="AI17" s="6">
        <f>'12_MODELO'!AI16</f>
        <v>3900000.0</v>
      </c>
      <c r="AJ17" s="6">
        <f>'12_MODELO'!AJ16+'12_MODELO'!T17-'12_MODELO'!AH17</f>
        <v>923000.7119570004</v>
      </c>
      <c r="AK17" s="6">
        <f>'12_MODELO'!U16+'12_MODELO'!C17-'12_MODELO'!U17</f>
        <v>1393158.0673333341</v>
      </c>
      <c r="AL17" s="6">
        <f>'12_MODELO'!X16+'12_MODELO'!W17-'12_MODELO'!X17</f>
        <v>948843.3106666664</v>
      </c>
      <c r="AM17" s="6">
        <f>'12_MODELO'!M17+'12_MODELO'!Y16-'12_MODELO'!Y17</f>
        <v>268294.24</v>
      </c>
      <c r="AN17" s="6">
        <f>'12_MODELO'!Z16+'12_MODELO'!D17-'12_MODELO'!Z17</f>
        <v>118146.01180000004</v>
      </c>
      <c r="AO17" s="6">
        <f>'12_MODELO'!AA16+'12_MODELO'!S17-'12_MODELO'!AA17</f>
        <v>17651.73518800002</v>
      </c>
      <c r="AP17" s="6">
        <f>'12_MODELO'!AK17-'12_MODELO'!AL17-'12_MODELO'!AM17-'12_MODELO'!AN17-'12_MODELO'!Q17-'12_MODELO'!AO17</f>
        <v>33862.76967866771</v>
      </c>
      <c r="AQ17" s="6">
        <f>'12_MODELO'!T17+'12_MODELO'!O17-('12_MODELO'!U17-'12_MODELO'!U16)-('12_MODELO'!V17-'12_MODELO'!V16)+('12_MODELO'!X17-'12_MODELO'!X16)+('12_MODELO'!Y17-'12_MODELO'!Y16)+('12_MODELO'!Z17-'12_MODELO'!Z16)+('12_MODELO'!AA17-'12_MODELO'!AA16)</f>
        <v>33862.76967866738</v>
      </c>
      <c r="AR17" s="6">
        <f>-'12_MODELO'!AB17</f>
        <v>-18000.0</v>
      </c>
      <c r="AS17" s="6">
        <f>'12_MODELO'!AE17-'12_MODELO'!AF17-'12_MODELO'!AH17</f>
        <v>332000.0</v>
      </c>
      <c r="AT17" s="6">
        <f>'12_MODELO'!AQ17+'12_MODELO'!AR17+'12_MODELO'!AS17</f>
        <v>347862.76967866736</v>
      </c>
      <c r="AU17" s="6">
        <f>'12_MODELO'!AV16</f>
        <v>1214670.768320333</v>
      </c>
      <c r="AV17" s="6">
        <f>'12_MODELO'!AU17+'12_MODELO'!AT17</f>
        <v>1562533.5379990004</v>
      </c>
      <c r="AW17" s="6">
        <f>'12_MODELO'!AV17+'12_MODELO'!U17+'12_MODELO'!V17+'12_MODELO'!AC17-'12_MODELO'!AD17</f>
        <v>6939289.694665667</v>
      </c>
      <c r="AX17" s="6">
        <f>'12_MODELO'!X17+'12_MODELO'!Y17+'12_MODELO'!Z17+'12_MODELO'!AA17+'12_MODELO'!AG17</f>
        <v>2116288.9827086665</v>
      </c>
      <c r="AY17" s="6">
        <f>'12_MODELO'!AI17+'12_MODELO'!AJ17</f>
        <v>4823000.711957</v>
      </c>
      <c r="AZ17" s="6">
        <f>'12_MODELO'!AW17-'12_MODELO'!AX17-'12_MODELO'!AY17</f>
        <v>0.0</v>
      </c>
      <c r="BA17" s="6">
        <f>'12_MODELO'!AP17-'12_MODELO'!AQ17</f>
        <v>3.346940502524376e-10</v>
      </c>
      <c r="BB17" s="6">
        <f>'08_PREMISSAS'!O17</f>
        <v>47.0</v>
      </c>
      <c r="BC17" s="6">
        <f>'08_PREMISSAS'!P17</f>
        <v>52.0</v>
      </c>
      <c r="BD17" s="6">
        <f>'08_PREMISSAS'!Q17</f>
        <v>35.0</v>
      </c>
      <c r="BE17" s="9">
        <f>'08_PREMISSAS'!R17</f>
        <v>0.085</v>
      </c>
      <c r="BF17" s="9">
        <f>'08_PREMISSAS'!S17</f>
        <v>0.34</v>
      </c>
      <c r="BG17" s="9">
        <f>'08_PREMISSAS'!T17</f>
        <v>0.012</v>
      </c>
      <c r="BH17" s="9">
        <f>'08_PREMISSAS'!U17</f>
        <v>0.01</v>
      </c>
      <c r="BI17" s="9">
        <f>IFERROR('12_MODELO'!N17/'12_MODELO'!E17,0)</f>
        <v>0.038090809299440004</v>
      </c>
      <c r="BJ17" s="9">
        <f>IFERROR('12_MODELO'!T17/'12_MODELO'!E17,0)</f>
        <v>0.010727223397782155</v>
      </c>
      <c r="BK17" s="6">
        <f>'12_MODELO'!AQ17+'12_MODELO'!AR17</f>
        <v>15862.769678667377</v>
      </c>
      <c r="BL17" s="6">
        <f>'12_MODELO'!U17+'12_MODELO'!V17-'12_MODELO'!X17-'12_MODELO'!Y17-'12_MODELO'!Z17-'12_MODELO'!AA17</f>
        <v>2561267.1739579993</v>
      </c>
      <c r="BM17" s="6">
        <f>'12_MODELO'!AG17-'12_MODELO'!AV17</f>
        <v>-700533.5379990004</v>
      </c>
      <c r="BN17" s="6">
        <f>MAX(ABS('15_CONCILIACAO'!F182),ABS('15_CONCILIACAO'!F183),ABS('15_CONCILIACAO'!F184),ABS('15_CONCILIACAO'!F185),ABS('15_CONCILIACAO'!F186),ABS('15_CONCILIACAO'!F187),ABS('15_CONCILIACAO'!F188),ABS('15_CONCILIACAO'!F189),ABS('15_CONCILIACAO'!F190),ABS('15_CONCILIACAO'!F191),ABS('15_CONCILIACAO'!F192),ABS('15_CONCILIACAO'!F193))</f>
        <v>3.259629011154175e-09</v>
      </c>
      <c r="BO17" s="6">
        <f>'12_MODELO'!AV17+'12_MODELO'!U17+'12_MODELO'!V17</f>
        <v>5378089.694665667</v>
      </c>
      <c r="BP17" s="6">
        <f>'12_MODELO'!AC17-'12_MODELO'!AD17</f>
        <v>1561200.0</v>
      </c>
      <c r="BQ17" s="6">
        <f>MIN('12_MODELO'!AG17,'12_MODELO'!AF17*12)</f>
        <v>216000.0</v>
      </c>
      <c r="BR17" s="6">
        <f>'12_MODELO'!AG17-'12_MODELO'!BQ17</f>
        <v>646000.0</v>
      </c>
      <c r="BS17" s="6">
        <f>'12_MODELO'!AX17-'12_MODELO'!BR17</f>
        <v>1470288.9827086665</v>
      </c>
      <c r="BT17" s="6">
        <f>'12_MODELO'!BR17</f>
        <v>646000.0</v>
      </c>
      <c r="BU17" s="6">
        <f>IFERROR('12_MODELO'!BO17/'12_MODELO'!BS17,0)</f>
        <v>3.657845333750501</v>
      </c>
    </row>
    <row r="18" spans="1:73">
      <c r="A18" s="5">
        <v>45778</v>
      </c>
      <c r="B18" t="s">
        <v>78</v>
      </c>
      <c r="C18" s="6">
        <f>SUMIFS('09_VENDAS'!I$2:I$433,'09_VENDAS'!A$2:A$433,'12_MODELO'!A18)</f>
        <v>1449678.53</v>
      </c>
      <c r="D18" s="6">
        <f>'12_MODELO'!C18*'12_MODELO'!BE18</f>
        <v>123222.67505</v>
      </c>
      <c r="E18" s="6">
        <f>'12_MODELO'!C18-'12_MODELO'!D18</f>
        <v>1326455.85495</v>
      </c>
      <c r="F18" s="6">
        <f>SUMIFS('09_VENDAS'!J$2:J$433,'09_VENDAS'!A$2:A$433,'12_MODELO'!A18)</f>
        <v>991818.4</v>
      </c>
      <c r="G18" s="6">
        <f>'12_MODELO'!E18-'12_MODELO'!F18</f>
        <v>334637.45495000004</v>
      </c>
      <c r="H18" s="6">
        <f>SUMIFS('10_DESPESAS'!D$2:D$123,'10_DESPESAS'!A$2:A$123,'12_MODELO'!A18,'10_DESPESAS'!B$2:B$123,"Pessoal")</f>
        <v>105925.0</v>
      </c>
      <c r="I18" s="6">
        <f>SUMIFS('10_DESPESAS'!D$2:D$123,'10_DESPESAS'!A$2:A$123,'12_MODELO'!A18,'10_DESPESAS'!B$2:B$123,"Comercial")</f>
        <v>52188.43</v>
      </c>
      <c r="J18" s="6">
        <f>SUMIFS('10_DESPESAS'!D$2:D$123,'10_DESPESAS'!A$2:A$123,'12_MODELO'!A18,'10_DESPESAS'!B$2:B$123,"Administrativo")</f>
        <v>33920.0</v>
      </c>
      <c r="K18" s="6">
        <f>SUMIFS('10_DESPESAS'!D$2:D$123,'10_DESPESAS'!A$2:A$123,'12_MODELO'!A18,'10_DESPESAS'!B$2:B$123,"Tecnologia")</f>
        <v>48160.0</v>
      </c>
      <c r="L18" s="6">
        <f>SUMIFS('10_DESPESAS'!D$2:D$123,'10_DESPESAS'!A$2:A$123,'12_MODELO'!A18,'10_DESPESAS'!B$2:B$123,"Operações")</f>
        <v>31892.93</v>
      </c>
      <c r="M18" s="6">
        <f>SUM('12_MODELO'!H18:'12_MODELO'!L18)</f>
        <v>272086.36</v>
      </c>
      <c r="N18" s="6">
        <f>'12_MODELO'!G18-'12_MODELO'!M18</f>
        <v>62551.09495000006</v>
      </c>
      <c r="O18" s="6">
        <f>MIN('12_MODELO'!AC17*'12_MODELO'!BH18,'12_MODELO'!AC17-'12_MODELO'!AD17+'12_MODELO'!AB18)</f>
        <v>21480.0</v>
      </c>
      <c r="P18" s="6">
        <f>'12_MODELO'!N18-'12_MODELO'!O18</f>
        <v>41071.09495000006</v>
      </c>
      <c r="Q18" s="6">
        <f>'12_MODELO'!AG17*'12_MODELO'!BG18</f>
        <v>10344.0</v>
      </c>
      <c r="R18" s="6">
        <f>'12_MODELO'!P18-'12_MODELO'!Q18</f>
        <v>30727.094950000057</v>
      </c>
      <c r="S18" s="6">
        <f>MAX(0,'12_MODELO'!R18)*'12_MODELO'!BF18</f>
        <v>10447.21228300002</v>
      </c>
      <c r="T18" s="6">
        <f>'12_MODELO'!R18-'12_MODELO'!S18</f>
        <v>20279.882667000034</v>
      </c>
      <c r="U18" s="6">
        <f>'12_MODELO'!C18*'12_MODELO'!BB18/30</f>
        <v>2271163.030333333</v>
      </c>
      <c r="V18" s="6">
        <f>'12_MODELO'!F18*'12_MODELO'!BC18/30</f>
        <v>1719151.8933333335</v>
      </c>
      <c r="W18" s="6">
        <f>'12_MODELO'!F18+'12_MODELO'!V18-'12_MODELO'!V17</f>
        <v>1064146.448</v>
      </c>
      <c r="X18" s="6">
        <f>'12_MODELO'!F18*'12_MODELO'!BD18/30</f>
        <v>1157121.4666666666</v>
      </c>
      <c r="Y18" s="6">
        <f>'12_MODELO'!H18*20%</f>
        <v>21185.0</v>
      </c>
      <c r="Z18" s="6">
        <f>'12_MODELO'!D18</f>
        <v>123222.67505</v>
      </c>
      <c r="AA18" s="6">
        <f>'12_MODELO'!S18</f>
        <v>10447.21228300002</v>
      </c>
      <c r="AB18" s="6">
        <f>'08_PREMISSAS'!V18</f>
        <v>18000.0</v>
      </c>
      <c r="AC18" s="6">
        <f>'12_MODELO'!AC17+'12_MODELO'!AB18</f>
        <v>2166000.0</v>
      </c>
      <c r="AD18" s="6">
        <f>'12_MODELO'!AD17+'12_MODELO'!O18</f>
        <v>608280.0</v>
      </c>
      <c r="AE18" s="6">
        <f>'08_PREMISSAS'!W18</f>
        <v>0.0</v>
      </c>
      <c r="AF18" s="6">
        <f>'08_PREMISSAS'!X18</f>
        <v>18000.0</v>
      </c>
      <c r="AG18" s="6">
        <f>'12_MODELO'!AG17+'12_MODELO'!AE18-'12_MODELO'!AF18</f>
        <v>844000.0</v>
      </c>
      <c r="AH18" s="6">
        <f>'08_PREMISSAS'!Y18</f>
        <v>0.0</v>
      </c>
      <c r="AI18" s="6">
        <f>'12_MODELO'!AI17</f>
        <v>3900000.0</v>
      </c>
      <c r="AJ18" s="6">
        <f>'12_MODELO'!AJ17+'12_MODELO'!T18-'12_MODELO'!AH18</f>
        <v>943280.5946240005</v>
      </c>
      <c r="AK18" s="6">
        <f>'12_MODELO'!U17+'12_MODELO'!C18-'12_MODELO'!U18</f>
        <v>1347247.8110000002</v>
      </c>
      <c r="AL18" s="6">
        <f>'12_MODELO'!X17+'12_MODELO'!W18-'12_MODELO'!X18</f>
        <v>1015464.1080000002</v>
      </c>
      <c r="AM18" s="6">
        <f>'12_MODELO'!M18+'12_MODELO'!Y17-'12_MODELO'!Y18</f>
        <v>272086.36</v>
      </c>
      <c r="AN18" s="6">
        <f>'12_MODELO'!Z17+'12_MODELO'!D18-'12_MODELO'!Z18</f>
        <v>117665.26370000002</v>
      </c>
      <c r="AO18" s="6">
        <f>'12_MODELO'!AA17+'12_MODELO'!S18-'12_MODELO'!AA18</f>
        <v>6999.592341999973</v>
      </c>
      <c r="AP18" s="6">
        <f>'12_MODELO'!AK18-'12_MODELO'!AL18-'12_MODELO'!AM18-'12_MODELO'!AN18-'12_MODELO'!Q18-'12_MODELO'!AO18</f>
        <v>-75311.513042</v>
      </c>
      <c r="AQ18" s="6">
        <f>'12_MODELO'!T18+'12_MODELO'!O18-('12_MODELO'!U18-'12_MODELO'!U17)-('12_MODELO'!V18-'12_MODELO'!V17)+('12_MODELO'!X18-'12_MODELO'!X17)+('12_MODELO'!Y18-'12_MODELO'!Y17)+('12_MODELO'!Z18-'12_MODELO'!Z17)+('12_MODELO'!AA18-'12_MODELO'!AA17)</f>
        <v>-75311.5130420003</v>
      </c>
      <c r="AR18" s="6">
        <f>-'12_MODELO'!AB18</f>
        <v>-18000.0</v>
      </c>
      <c r="AS18" s="6">
        <f>'12_MODELO'!AE18-'12_MODELO'!AF18-'12_MODELO'!AH18</f>
        <v>-18000.0</v>
      </c>
      <c r="AT18" s="6">
        <f>'12_MODELO'!AQ18+'12_MODELO'!AR18+'12_MODELO'!AS18</f>
        <v>-111311.5130420003</v>
      </c>
      <c r="AU18" s="6">
        <f>'12_MODELO'!AV17</f>
        <v>1562533.5379990004</v>
      </c>
      <c r="AV18" s="6">
        <f>'12_MODELO'!AU18+'12_MODELO'!AT18</f>
        <v>1451222.024957</v>
      </c>
      <c r="AW18" s="6">
        <f>'12_MODELO'!AV18+'12_MODELO'!U18+'12_MODELO'!V18+'12_MODELO'!AC18-'12_MODELO'!AD18</f>
        <v>6999256.948623667</v>
      </c>
      <c r="AX18" s="6">
        <f>'12_MODELO'!X18+'12_MODELO'!Y18+'12_MODELO'!Z18+'12_MODELO'!AA18+'12_MODELO'!AG18</f>
        <v>2155976.3539996664</v>
      </c>
      <c r="AY18" s="6">
        <f>'12_MODELO'!AI18+'12_MODELO'!AJ18</f>
        <v>4843280.594624001</v>
      </c>
      <c r="AZ18" s="6">
        <f>'12_MODELO'!AW18-'12_MODELO'!AX18-'12_MODELO'!AY18</f>
        <v>-9.313225746154785e-10</v>
      </c>
      <c r="BA18" s="6">
        <f>'12_MODELO'!AP18-'12_MODELO'!AQ18</f>
        <v>2.9103830456733704e-10</v>
      </c>
      <c r="BB18" s="6">
        <f>'08_PREMISSAS'!O18</f>
        <v>47.0</v>
      </c>
      <c r="BC18" s="6">
        <f>'08_PREMISSAS'!P18</f>
        <v>52.0</v>
      </c>
      <c r="BD18" s="6">
        <f>'08_PREMISSAS'!Q18</f>
        <v>35.0</v>
      </c>
      <c r="BE18" s="9">
        <f>'08_PREMISSAS'!R18</f>
        <v>0.085</v>
      </c>
      <c r="BF18" s="9">
        <f>'08_PREMISSAS'!S18</f>
        <v>0.34</v>
      </c>
      <c r="BG18" s="9">
        <f>'08_PREMISSAS'!T18</f>
        <v>0.012</v>
      </c>
      <c r="BH18" s="9">
        <f>'08_PREMISSAS'!U18</f>
        <v>0.01</v>
      </c>
      <c r="BI18" s="9">
        <f>IFERROR('12_MODELO'!N18/'12_MODELO'!E18,0)</f>
        <v>0.04715655987839707</v>
      </c>
      <c r="BJ18" s="9">
        <f>IFERROR('12_MODELO'!T18/'12_MODELO'!E18,0)</f>
        <v>0.015288773155413056</v>
      </c>
      <c r="BK18" s="6">
        <f>'12_MODELO'!AQ18+'12_MODELO'!AR18</f>
        <v>-93311.5130420003</v>
      </c>
      <c r="BL18" s="6">
        <f>'12_MODELO'!U18+'12_MODELO'!V18-'12_MODELO'!X18-'12_MODELO'!Y18-'12_MODELO'!Z18-'12_MODELO'!AA18</f>
        <v>2678338.5696670003</v>
      </c>
      <c r="BM18" s="6">
        <f>'12_MODELO'!AG18-'12_MODELO'!AV18</f>
        <v>-607222.024957</v>
      </c>
      <c r="BN18" s="6">
        <f>MAX(ABS('15_CONCILIACAO'!F194),ABS('15_CONCILIACAO'!F195),ABS('15_CONCILIACAO'!F196),ABS('15_CONCILIACAO'!F197),ABS('15_CONCILIACAO'!F198),ABS('15_CONCILIACAO'!F199),ABS('15_CONCILIACAO'!F200),ABS('15_CONCILIACAO'!F201),ABS('15_CONCILIACAO'!F202),ABS('15_CONCILIACAO'!F203),ABS('15_CONCILIACAO'!F204),ABS('15_CONCILIACAO'!F205))</f>
        <v>3.725290298461914e-09</v>
      </c>
      <c r="BO18" s="6">
        <f>'12_MODELO'!AV18+'12_MODELO'!U18+'12_MODELO'!V18</f>
        <v>5441536.948623667</v>
      </c>
      <c r="BP18" s="6">
        <f>'12_MODELO'!AC18-'12_MODELO'!AD18</f>
        <v>1557720.0</v>
      </c>
      <c r="BQ18" s="6">
        <f>MIN('12_MODELO'!AG18,'12_MODELO'!AF18*12)</f>
        <v>216000.0</v>
      </c>
      <c r="BR18" s="6">
        <f>'12_MODELO'!AG18-'12_MODELO'!BQ18</f>
        <v>628000.0</v>
      </c>
      <c r="BS18" s="6">
        <f>'12_MODELO'!AX18-'12_MODELO'!BR18</f>
        <v>1527976.3539996664</v>
      </c>
      <c r="BT18" s="6">
        <f>'12_MODELO'!BR18</f>
        <v>628000.0</v>
      </c>
      <c r="BU18" s="6">
        <f>IFERROR('12_MODELO'!BO18/'12_MODELO'!BS18,0)</f>
        <v>3.561270391639094</v>
      </c>
    </row>
    <row r="19" spans="1:73">
      <c r="A19" s="5">
        <v>45809</v>
      </c>
      <c r="B19" t="s">
        <v>78</v>
      </c>
      <c r="C19" s="6">
        <f>SUMIFS('09_VENDAS'!I$2:I$433,'09_VENDAS'!A$2:A$433,'12_MODELO'!A19)</f>
        <v>1471160.97</v>
      </c>
      <c r="D19" s="6">
        <f>'12_MODELO'!C19*'12_MODELO'!BE19</f>
        <v>125048.68245000001</v>
      </c>
      <c r="E19" s="6">
        <f>'12_MODELO'!C19-'12_MODELO'!D19</f>
        <v>1346112.28755</v>
      </c>
      <c r="F19" s="6">
        <f>SUMIFS('09_VENDAS'!J$2:J$433,'09_VENDAS'!A$2:A$433,'12_MODELO'!A19)</f>
        <v>1007209.94</v>
      </c>
      <c r="G19" s="6">
        <f>'12_MODELO'!E19-'12_MODELO'!F19</f>
        <v>338902.34755000006</v>
      </c>
      <c r="H19" s="6">
        <f>SUMIFS('10_DESPESAS'!D$2:D$123,'10_DESPESAS'!A$2:A$123,'12_MODELO'!A19,'10_DESPESAS'!B$2:B$123,"Pessoal")</f>
        <v>105925.0</v>
      </c>
      <c r="I19" s="6">
        <f>SUMIFS('10_DESPESAS'!D$2:D$123,'10_DESPESAS'!A$2:A$123,'12_MODELO'!A19,'10_DESPESAS'!B$2:B$123,"Comercial")</f>
        <v>52961.79</v>
      </c>
      <c r="J19" s="6">
        <f>SUMIFS('10_DESPESAS'!D$2:D$123,'10_DESPESAS'!A$2:A$123,'12_MODELO'!A19,'10_DESPESAS'!B$2:B$123,"Administrativo")</f>
        <v>33920.0</v>
      </c>
      <c r="K19" s="6">
        <f>SUMIFS('10_DESPESAS'!D$2:D$123,'10_DESPESAS'!A$2:A$123,'12_MODELO'!A19,'10_DESPESAS'!B$2:B$123,"Tecnologia")</f>
        <v>20160.0</v>
      </c>
      <c r="L19" s="6">
        <f>SUMIFS('10_DESPESAS'!D$2:D$123,'10_DESPESAS'!A$2:A$123,'12_MODELO'!A19,'10_DESPESAS'!B$2:B$123,"Operações")</f>
        <v>32365.54</v>
      </c>
      <c r="M19" s="6">
        <f>SUM('12_MODELO'!H19:'12_MODELO'!L19)</f>
        <v>245332.33000000002</v>
      </c>
      <c r="N19" s="6">
        <f>'12_MODELO'!G19-'12_MODELO'!M19</f>
        <v>93570.01755000005</v>
      </c>
      <c r="O19" s="6">
        <f>MIN('12_MODELO'!AC18*'12_MODELO'!BH19,'12_MODELO'!AC18-'12_MODELO'!AD18+'12_MODELO'!AB19)</f>
        <v>21660.0</v>
      </c>
      <c r="P19" s="6">
        <f>'12_MODELO'!N19-'12_MODELO'!O19</f>
        <v>71910.01755000005</v>
      </c>
      <c r="Q19" s="6">
        <f>'12_MODELO'!AG18*'12_MODELO'!BG19</f>
        <v>10128.0</v>
      </c>
      <c r="R19" s="6">
        <f>'12_MODELO'!P19-'12_MODELO'!Q19</f>
        <v>61782.01755000005</v>
      </c>
      <c r="S19" s="6">
        <f>MAX(0,'12_MODELO'!R19)*'12_MODELO'!BF19</f>
        <v>21005.885967000017</v>
      </c>
      <c r="T19" s="6">
        <f>'12_MODELO'!R19-'12_MODELO'!S19</f>
        <v>40776.13158300003</v>
      </c>
      <c r="U19" s="6">
        <f>'12_MODELO'!C19*'12_MODELO'!BB19/30</f>
        <v>2304818.853</v>
      </c>
      <c r="V19" s="6">
        <f>'12_MODELO'!F19*'12_MODELO'!BC19/30</f>
        <v>1745830.5626666665</v>
      </c>
      <c r="W19" s="6">
        <f>'12_MODELO'!F19+'12_MODELO'!V19-'12_MODELO'!V18</f>
        <v>1033888.6093333326</v>
      </c>
      <c r="X19" s="6">
        <f>'12_MODELO'!F19*'12_MODELO'!BD19/30</f>
        <v>1175078.2633333332</v>
      </c>
      <c r="Y19" s="6">
        <f>'12_MODELO'!H19*20%</f>
        <v>21185.0</v>
      </c>
      <c r="Z19" s="6">
        <f>'12_MODELO'!D19</f>
        <v>125048.68245000001</v>
      </c>
      <c r="AA19" s="6">
        <f>'12_MODELO'!S19</f>
        <v>21005.885967000017</v>
      </c>
      <c r="AB19" s="6">
        <f>'08_PREMISSAS'!V19</f>
        <v>90000.0</v>
      </c>
      <c r="AC19" s="6">
        <f>'12_MODELO'!AC18+'12_MODELO'!AB19</f>
        <v>2256000.0</v>
      </c>
      <c r="AD19" s="6">
        <f>'12_MODELO'!AD18+'12_MODELO'!O19</f>
        <v>629940.0</v>
      </c>
      <c r="AE19" s="6">
        <f>'08_PREMISSAS'!W19</f>
        <v>0.0</v>
      </c>
      <c r="AF19" s="6">
        <f>'08_PREMISSAS'!X19</f>
        <v>18000.0</v>
      </c>
      <c r="AG19" s="6">
        <f>'12_MODELO'!AG18+'12_MODELO'!AE19-'12_MODELO'!AF19</f>
        <v>826000.0</v>
      </c>
      <c r="AH19" s="6">
        <f>'08_PREMISSAS'!Y19</f>
        <v>0.0</v>
      </c>
      <c r="AI19" s="6">
        <f>'12_MODELO'!AI18</f>
        <v>3900000.0</v>
      </c>
      <c r="AJ19" s="6">
        <f>'12_MODELO'!AJ18+'12_MODELO'!T19-'12_MODELO'!AH19</f>
        <v>984056.7262070006</v>
      </c>
      <c r="AK19" s="6">
        <f>'12_MODELO'!U18+'12_MODELO'!C19-'12_MODELO'!U19</f>
        <v>1437505.1473333333</v>
      </c>
      <c r="AL19" s="6">
        <f>'12_MODELO'!X18+'12_MODELO'!W19-'12_MODELO'!X19</f>
        <v>1015931.8126666662</v>
      </c>
      <c r="AM19" s="6">
        <f>'12_MODELO'!M19+'12_MODELO'!Y18-'12_MODELO'!Y19</f>
        <v>245332.33000000002</v>
      </c>
      <c r="AN19" s="6">
        <f>'12_MODELO'!Z18+'12_MODELO'!D19-'12_MODELO'!Z19</f>
        <v>123222.67505</v>
      </c>
      <c r="AO19" s="6">
        <f>'12_MODELO'!AA18+'12_MODELO'!S19-'12_MODELO'!AA19</f>
        <v>10447.212283000023</v>
      </c>
      <c r="AP19" s="6">
        <f>'12_MODELO'!AK19-'12_MODELO'!AL19-'12_MODELO'!AM19-'12_MODELO'!AN19-'12_MODELO'!Q19-'12_MODELO'!AO19</f>
        <v>32443.117333666996</v>
      </c>
      <c r="AQ19" s="6">
        <f>'12_MODELO'!T19+'12_MODELO'!O19-('12_MODELO'!U19-'12_MODELO'!U18)-('12_MODELO'!V19-'12_MODELO'!V18)+('12_MODELO'!X19-'12_MODELO'!X18)+('12_MODELO'!Y19-'12_MODELO'!Y18)+('12_MODELO'!Z19-'12_MODELO'!Z18)+('12_MODELO'!AA19-'12_MODELO'!AA18)</f>
        <v>32443.117333666807</v>
      </c>
      <c r="AR19" s="6">
        <f>-'12_MODELO'!AB19</f>
        <v>-90000.0</v>
      </c>
      <c r="AS19" s="6">
        <f>'12_MODELO'!AE19-'12_MODELO'!AF19-'12_MODELO'!AH19</f>
        <v>-18000.0</v>
      </c>
      <c r="AT19" s="6">
        <f>'12_MODELO'!AQ19+'12_MODELO'!AR19+'12_MODELO'!AS19</f>
        <v>-75556.8826663332</v>
      </c>
      <c r="AU19" s="6">
        <f>'12_MODELO'!AV18</f>
        <v>1451222.024957</v>
      </c>
      <c r="AV19" s="6">
        <f>'12_MODELO'!AU19+'12_MODELO'!AT19</f>
        <v>1375665.142290667</v>
      </c>
      <c r="AW19" s="6">
        <f>'12_MODELO'!AV19+'12_MODELO'!U19+'12_MODELO'!V19+'12_MODELO'!AC19-'12_MODELO'!AD19</f>
        <v>7052374.5579573335</v>
      </c>
      <c r="AX19" s="6">
        <f>'12_MODELO'!X19+'12_MODELO'!Y19+'12_MODELO'!Z19+'12_MODELO'!AA19+'12_MODELO'!AG19</f>
        <v>2168317.8317503333</v>
      </c>
      <c r="AY19" s="6">
        <f>'12_MODELO'!AI19+'12_MODELO'!AJ19</f>
        <v>4884056.726207</v>
      </c>
      <c r="AZ19" s="6">
        <f>'12_MODELO'!AW19-'12_MODELO'!AX19-'12_MODELO'!AY19</f>
        <v>0.0</v>
      </c>
      <c r="BA19" s="6">
        <f>'12_MODELO'!AP19-'12_MODELO'!AQ19</f>
        <v>1.8917489796876907e-10</v>
      </c>
      <c r="BB19" s="6">
        <f>'08_PREMISSAS'!O19</f>
        <v>47.0</v>
      </c>
      <c r="BC19" s="6">
        <f>'08_PREMISSAS'!P19</f>
        <v>52.0</v>
      </c>
      <c r="BD19" s="6">
        <f>'08_PREMISSAS'!Q19</f>
        <v>35.0</v>
      </c>
      <c r="BE19" s="9">
        <f>'08_PREMISSAS'!R19</f>
        <v>0.085</v>
      </c>
      <c r="BF19" s="9">
        <f>'08_PREMISSAS'!S19</f>
        <v>0.34</v>
      </c>
      <c r="BG19" s="9">
        <f>'08_PREMISSAS'!T19</f>
        <v>0.012</v>
      </c>
      <c r="BH19" s="9">
        <f>'08_PREMISSAS'!U19</f>
        <v>0.01</v>
      </c>
      <c r="BI19" s="9">
        <f>IFERROR('12_MODELO'!N19/'12_MODELO'!E19,0)</f>
        <v>0.06951130185454495</v>
      </c>
      <c r="BJ19" s="9">
        <f>IFERROR('12_MODELO'!T19/'12_MODELO'!E19,0)</f>
        <v>0.03029177577541832</v>
      </c>
      <c r="BK19" s="6">
        <f>'12_MODELO'!AQ19+'12_MODELO'!AR19</f>
        <v>-57556.88266633319</v>
      </c>
      <c r="BL19" s="6">
        <f>'12_MODELO'!U19+'12_MODELO'!V19-'12_MODELO'!X19-'12_MODELO'!Y19-'12_MODELO'!Z19-'12_MODELO'!AA19</f>
        <v>2708331.5839163335</v>
      </c>
      <c r="BM19" s="6">
        <f>'12_MODELO'!AG19-'12_MODELO'!AV19</f>
        <v>-549665.1422906669</v>
      </c>
      <c r="BN19" s="6">
        <f>MAX(ABS('15_CONCILIACAO'!F206),ABS('15_CONCILIACAO'!F207),ABS('15_CONCILIACAO'!F208),ABS('15_CONCILIACAO'!F209),ABS('15_CONCILIACAO'!F210),ABS('15_CONCILIACAO'!F211),ABS('15_CONCILIACAO'!F212),ABS('15_CONCILIACAO'!F213),ABS('15_CONCILIACAO'!F214),ABS('15_CONCILIACAO'!F215),ABS('15_CONCILIACAO'!F216),ABS('15_CONCILIACAO'!F217))</f>
        <v>3.958120942115784e-09</v>
      </c>
      <c r="BO19" s="6">
        <f>'12_MODELO'!AV19+'12_MODELO'!U19+'12_MODELO'!V19</f>
        <v>5426314.5579573335</v>
      </c>
      <c r="BP19" s="6">
        <f>'12_MODELO'!AC19-'12_MODELO'!AD19</f>
        <v>1626060.0</v>
      </c>
      <c r="BQ19" s="6">
        <f>MIN('12_MODELO'!AG19,'12_MODELO'!AF19*12)</f>
        <v>216000.0</v>
      </c>
      <c r="BR19" s="6">
        <f>'12_MODELO'!AG19-'12_MODELO'!BQ19</f>
        <v>610000.0</v>
      </c>
      <c r="BS19" s="6">
        <f>'12_MODELO'!AX19-'12_MODELO'!BR19</f>
        <v>1558317.8317503333</v>
      </c>
      <c r="BT19" s="6">
        <f>'12_MODELO'!BR19</f>
        <v>610000.0</v>
      </c>
      <c r="BU19" s="6">
        <f>IFERROR('12_MODELO'!BO19/'12_MODELO'!BS19,0)</f>
        <v>3.482161628005238</v>
      </c>
    </row>
    <row r="20" spans="1:73">
      <c r="A20" s="5">
        <v>45839</v>
      </c>
      <c r="B20" t="s">
        <v>78</v>
      </c>
      <c r="C20" s="6">
        <f>SUMIFS('09_VENDAS'!I$2:I$433,'09_VENDAS'!A$2:A$433,'12_MODELO'!A20)</f>
        <v>1207312.48</v>
      </c>
      <c r="D20" s="6">
        <f>'12_MODELO'!C20*'12_MODELO'!BE20</f>
        <v>102621.5608</v>
      </c>
      <c r="E20" s="6">
        <f>'12_MODELO'!C20-'12_MODELO'!D20</f>
        <v>1104690.9192</v>
      </c>
      <c r="F20" s="6">
        <f>SUMIFS('09_VENDAS'!J$2:J$433,'09_VENDAS'!A$2:A$433,'12_MODELO'!A20)</f>
        <v>820084.68</v>
      </c>
      <c r="G20" s="6">
        <f>'12_MODELO'!E20-'12_MODELO'!F20</f>
        <v>284606.23919999984</v>
      </c>
      <c r="H20" s="6">
        <f>SUMIFS('10_DESPESAS'!D$2:D$123,'10_DESPESAS'!A$2:A$123,'12_MODELO'!A20,'10_DESPESAS'!B$2:B$123,"Pessoal")</f>
        <v>110162.0</v>
      </c>
      <c r="I20" s="6">
        <f>SUMIFS('10_DESPESAS'!D$2:D$123,'10_DESPESAS'!A$2:A$123,'12_MODELO'!A20,'10_DESPESAS'!B$2:B$123,"Comercial")</f>
        <v>43463.25</v>
      </c>
      <c r="J20" s="6">
        <f>SUMIFS('10_DESPESAS'!D$2:D$123,'10_DESPESAS'!A$2:A$123,'12_MODELO'!A20,'10_DESPESAS'!B$2:B$123,"Administrativo")</f>
        <v>33920.0</v>
      </c>
      <c r="K20" s="6">
        <f>SUMIFS('10_DESPESAS'!D$2:D$123,'10_DESPESAS'!A$2:A$123,'12_MODELO'!A20,'10_DESPESAS'!B$2:B$123,"Tecnologia")</f>
        <v>20160.0</v>
      </c>
      <c r="L20" s="6">
        <f>SUMIFS('10_DESPESAS'!D$2:D$123,'10_DESPESAS'!A$2:A$123,'12_MODELO'!A20,'10_DESPESAS'!B$2:B$123,"Operações")</f>
        <v>26560.87</v>
      </c>
      <c r="M20" s="6">
        <f>SUM('12_MODELO'!H20:'12_MODELO'!L20)</f>
        <v>234266.12</v>
      </c>
      <c r="N20" s="6">
        <f>'12_MODELO'!G20-'12_MODELO'!M20</f>
        <v>50340.11919999984</v>
      </c>
      <c r="O20" s="6">
        <f>MIN('12_MODELO'!AC19*'12_MODELO'!BH20,'12_MODELO'!AC19-'12_MODELO'!AD19+'12_MODELO'!AB20)</f>
        <v>22560.0</v>
      </c>
      <c r="P20" s="6">
        <f>'12_MODELO'!N20-'12_MODELO'!O20</f>
        <v>27780.11919999984</v>
      </c>
      <c r="Q20" s="6">
        <f>'12_MODELO'!AG19*'12_MODELO'!BG20</f>
        <v>9912.0</v>
      </c>
      <c r="R20" s="6">
        <f>'12_MODELO'!P20-'12_MODELO'!Q20</f>
        <v>17868.11919999984</v>
      </c>
      <c r="S20" s="6">
        <f>MAX(0,'12_MODELO'!R20)*'12_MODELO'!BF20</f>
        <v>6075.160527999947</v>
      </c>
      <c r="T20" s="6">
        <f>'12_MODELO'!R20-'12_MODELO'!S20</f>
        <v>11792.958671999895</v>
      </c>
      <c r="U20" s="6">
        <f>'12_MODELO'!C20*'12_MODELO'!BB20/30</f>
        <v>2414624.96</v>
      </c>
      <c r="V20" s="6">
        <f>'12_MODELO'!F20*'12_MODELO'!BC20/30</f>
        <v>1694841.672</v>
      </c>
      <c r="W20" s="6">
        <f>'12_MODELO'!F20+'12_MODELO'!V20-'12_MODELO'!V19</f>
        <v>769095.7893333335</v>
      </c>
      <c r="X20" s="6">
        <f>'12_MODELO'!F20*'12_MODELO'!BD20/30</f>
        <v>956765.4600000001</v>
      </c>
      <c r="Y20" s="6">
        <f>'12_MODELO'!H20*20%</f>
        <v>22032.4</v>
      </c>
      <c r="Z20" s="6">
        <f>'12_MODELO'!D20</f>
        <v>102621.5608</v>
      </c>
      <c r="AA20" s="6">
        <f>'12_MODELO'!S20</f>
        <v>6075.160527999947</v>
      </c>
      <c r="AB20" s="6">
        <f>'08_PREMISSAS'!V20</f>
        <v>18000.0</v>
      </c>
      <c r="AC20" s="6">
        <f>'12_MODELO'!AC19+'12_MODELO'!AB20</f>
        <v>2274000.0</v>
      </c>
      <c r="AD20" s="6">
        <f>'12_MODELO'!AD19+'12_MODELO'!O20</f>
        <v>652500.0</v>
      </c>
      <c r="AE20" s="6">
        <f>'08_PREMISSAS'!W20</f>
        <v>0.0</v>
      </c>
      <c r="AF20" s="6">
        <f>'08_PREMISSAS'!X20</f>
        <v>18000.0</v>
      </c>
      <c r="AG20" s="6">
        <f>'12_MODELO'!AG19+'12_MODELO'!AE20-'12_MODELO'!AF20</f>
        <v>808000.0</v>
      </c>
      <c r="AH20" s="6">
        <f>'08_PREMISSAS'!Y20</f>
        <v>0.0</v>
      </c>
      <c r="AI20" s="6">
        <f>'12_MODELO'!AI19</f>
        <v>3900000.0</v>
      </c>
      <c r="AJ20" s="6">
        <f>'12_MODELO'!AJ19+'12_MODELO'!T20-'12_MODELO'!AH20</f>
        <v>995849.6848790004</v>
      </c>
      <c r="AK20" s="6">
        <f>'12_MODELO'!U19+'12_MODELO'!C20-'12_MODELO'!U20</f>
        <v>1097506.3730000001</v>
      </c>
      <c r="AL20" s="6">
        <f>'12_MODELO'!X19+'12_MODELO'!W20-'12_MODELO'!X20</f>
        <v>987408.5926666666</v>
      </c>
      <c r="AM20" s="6">
        <f>'12_MODELO'!M20+'12_MODELO'!Y19-'12_MODELO'!Y20</f>
        <v>233418.72</v>
      </c>
      <c r="AN20" s="6">
        <f>'12_MODELO'!Z19+'12_MODELO'!D20-'12_MODELO'!Z20</f>
        <v>125048.68245</v>
      </c>
      <c r="AO20" s="6">
        <f>'12_MODELO'!AA19+'12_MODELO'!S20-'12_MODELO'!AA20</f>
        <v>21005.885967000017</v>
      </c>
      <c r="AP20" s="6">
        <f>'12_MODELO'!AK20-'12_MODELO'!AL20-'12_MODELO'!AM20-'12_MODELO'!AN20-'12_MODELO'!Q20-'12_MODELO'!AO20</f>
        <v>-279287.5080836665</v>
      </c>
      <c r="AQ20" s="6">
        <f>'12_MODELO'!T20+'12_MODELO'!O20-('12_MODELO'!U20-'12_MODELO'!U19)-('12_MODELO'!V20-'12_MODELO'!V19)+('12_MODELO'!X20-'12_MODELO'!X19)+('12_MODELO'!Y20-'12_MODELO'!Y19)+('12_MODELO'!Z20-'12_MODELO'!Z19)+('12_MODELO'!AA20-'12_MODELO'!AA19)</f>
        <v>-279287.5080836667</v>
      </c>
      <c r="AR20" s="6">
        <f>-'12_MODELO'!AB20</f>
        <v>-18000.0</v>
      </c>
      <c r="AS20" s="6">
        <f>'12_MODELO'!AE20-'12_MODELO'!AF20-'12_MODELO'!AH20</f>
        <v>-18000.0</v>
      </c>
      <c r="AT20" s="6">
        <f>'12_MODELO'!AQ20+'12_MODELO'!AR20+'12_MODELO'!AS20</f>
        <v>-315287.5080836667</v>
      </c>
      <c r="AU20" s="6">
        <f>'12_MODELO'!AV19</f>
        <v>1375665.142290667</v>
      </c>
      <c r="AV20" s="6">
        <f>'12_MODELO'!AU20+'12_MODELO'!AT20</f>
        <v>1060377.6342070003</v>
      </c>
      <c r="AW20" s="6">
        <f>'12_MODELO'!AV20+'12_MODELO'!U20+'12_MODELO'!V20+'12_MODELO'!AC20-'12_MODELO'!AD20</f>
        <v>6791344.266207</v>
      </c>
      <c r="AX20" s="6">
        <f>'12_MODELO'!X20+'12_MODELO'!Y20+'12_MODELO'!Z20+'12_MODELO'!AA20+'12_MODELO'!AG20</f>
        <v>1895494.581328</v>
      </c>
      <c r="AY20" s="6">
        <f>'12_MODELO'!AI20+'12_MODELO'!AJ20</f>
        <v>4895849.684879</v>
      </c>
      <c r="AZ20" s="6">
        <f>'12_MODELO'!AW20-'12_MODELO'!AX20-'12_MODELO'!AY20</f>
        <v>0.0</v>
      </c>
      <c r="BA20" s="6">
        <f>'12_MODELO'!AP20-'12_MODELO'!AQ20</f>
        <v>1.7462298274040222e-10</v>
      </c>
      <c r="BB20" s="6">
        <f>'08_PREMISSAS'!O20</f>
        <v>60.0</v>
      </c>
      <c r="BC20" s="6">
        <f>'08_PREMISSAS'!P20</f>
        <v>62.0</v>
      </c>
      <c r="BD20" s="6">
        <f>'08_PREMISSAS'!Q20</f>
        <v>35.0</v>
      </c>
      <c r="BE20" s="9">
        <f>'08_PREMISSAS'!R20</f>
        <v>0.085</v>
      </c>
      <c r="BF20" s="9">
        <f>'08_PREMISSAS'!S20</f>
        <v>0.34</v>
      </c>
      <c r="BG20" s="9">
        <f>'08_PREMISSAS'!T20</f>
        <v>0.012</v>
      </c>
      <c r="BH20" s="9">
        <f>'08_PREMISSAS'!U20</f>
        <v>0.01</v>
      </c>
      <c r="BI20" s="9">
        <f>IFERROR('12_MODELO'!N20/'12_MODELO'!E20,0)</f>
        <v>0.04556941523195952</v>
      </c>
      <c r="BJ20" s="9">
        <f>IFERROR('12_MODELO'!T20/'12_MODELO'!E20,0)</f>
        <v>0.010675346802470481</v>
      </c>
      <c r="BK20" s="6">
        <f>'12_MODELO'!AQ20+'12_MODELO'!AR20</f>
        <v>-297287.5080836667</v>
      </c>
      <c r="BL20" s="6">
        <f>'12_MODELO'!U20+'12_MODELO'!V20-'12_MODELO'!X20-'12_MODELO'!Y20-'12_MODELO'!Z20-'12_MODELO'!AA20</f>
        <v>3021972.0506720003</v>
      </c>
      <c r="BM20" s="6">
        <f>'12_MODELO'!AG20-'12_MODELO'!AV20</f>
        <v>-252377.63420700026</v>
      </c>
      <c r="BN20" s="6">
        <f>MAX(ABS('15_CONCILIACAO'!F218),ABS('15_CONCILIACAO'!F219),ABS('15_CONCILIACAO'!F220),ABS('15_CONCILIACAO'!F221),ABS('15_CONCILIACAO'!F222),ABS('15_CONCILIACAO'!F223),ABS('15_CONCILIACAO'!F224),ABS('15_CONCILIACAO'!F225),ABS('15_CONCILIACAO'!F226),ABS('15_CONCILIACAO'!F227),ABS('15_CONCILIACAO'!F228),ABS('15_CONCILIACAO'!F229))</f>
        <v>4.190951585769653e-09</v>
      </c>
      <c r="BO20" s="6">
        <f>'12_MODELO'!AV20+'12_MODELO'!U20+'12_MODELO'!V20</f>
        <v>5169844.266207</v>
      </c>
      <c r="BP20" s="6">
        <f>'12_MODELO'!AC20-'12_MODELO'!AD20</f>
        <v>1621500.0</v>
      </c>
      <c r="BQ20" s="6">
        <f>MIN('12_MODELO'!AG20,'12_MODELO'!AF20*12)</f>
        <v>216000.0</v>
      </c>
      <c r="BR20" s="6">
        <f>'12_MODELO'!AG20-'12_MODELO'!BQ20</f>
        <v>592000.0</v>
      </c>
      <c r="BS20" s="6">
        <f>'12_MODELO'!AX20-'12_MODELO'!BR20</f>
        <v>1303494.581328</v>
      </c>
      <c r="BT20" s="6">
        <f>'12_MODELO'!BR20</f>
        <v>592000.0</v>
      </c>
      <c r="BU20" s="6">
        <f>IFERROR('12_MODELO'!BO20/'12_MODELO'!BS20,0)</f>
        <v>3.966141739492284</v>
      </c>
    </row>
    <row r="21" spans="1:73">
      <c r="A21" s="5">
        <v>45870</v>
      </c>
      <c r="B21" t="s">
        <v>78</v>
      </c>
      <c r="C21" s="6">
        <f>SUMIFS('09_VENDAS'!I$2:I$433,'09_VENDAS'!A$2:A$433,'12_MODELO'!A21)</f>
        <v>1298644.84</v>
      </c>
      <c r="D21" s="6">
        <f>'12_MODELO'!C21*'12_MODELO'!BE21</f>
        <v>110384.81140000002</v>
      </c>
      <c r="E21" s="6">
        <f>'12_MODELO'!C21-'12_MODELO'!D21</f>
        <v>1188260.0286</v>
      </c>
      <c r="F21" s="6">
        <f>SUMIFS('09_VENDAS'!J$2:J$433,'09_VENDAS'!A$2:A$433,'12_MODELO'!A21)</f>
        <v>883132.1</v>
      </c>
      <c r="G21" s="6">
        <f>'12_MODELO'!E21-'12_MODELO'!F21</f>
        <v>305127.9286000001</v>
      </c>
      <c r="H21" s="6">
        <f>SUMIFS('10_DESPESAS'!D$2:D$123,'10_DESPESAS'!A$2:A$123,'12_MODELO'!A21,'10_DESPESAS'!B$2:B$123,"Pessoal")</f>
        <v>110162.0</v>
      </c>
      <c r="I21" s="6">
        <f>SUMIFS('10_DESPESAS'!D$2:D$123,'10_DESPESAS'!A$2:A$123,'12_MODELO'!A21,'10_DESPESAS'!B$2:B$123,"Comercial")</f>
        <v>46751.21</v>
      </c>
      <c r="J21" s="6">
        <f>SUMIFS('10_DESPESAS'!D$2:D$123,'10_DESPESAS'!A$2:A$123,'12_MODELO'!A21,'10_DESPESAS'!B$2:B$123,"Administrativo")</f>
        <v>33920.0</v>
      </c>
      <c r="K21" s="6">
        <f>SUMIFS('10_DESPESAS'!D$2:D$123,'10_DESPESAS'!A$2:A$123,'12_MODELO'!A21,'10_DESPESAS'!B$2:B$123,"Tecnologia")</f>
        <v>20160.0</v>
      </c>
      <c r="L21" s="6">
        <f>SUMIFS('10_DESPESAS'!D$2:D$123,'10_DESPESAS'!A$2:A$123,'12_MODELO'!A21,'10_DESPESAS'!B$2:B$123,"Operações")</f>
        <v>28570.19</v>
      </c>
      <c r="M21" s="6">
        <f>SUM('12_MODELO'!H21:'12_MODELO'!L21)</f>
        <v>239563.4</v>
      </c>
      <c r="N21" s="6">
        <f>'12_MODELO'!G21-'12_MODELO'!M21</f>
        <v>65564.5286000001</v>
      </c>
      <c r="O21" s="6">
        <f>MIN('12_MODELO'!AC20*'12_MODELO'!BH21,'12_MODELO'!AC20-'12_MODELO'!AD20+'12_MODELO'!AB21)</f>
        <v>22740.0</v>
      </c>
      <c r="P21" s="6">
        <f>'12_MODELO'!N21-'12_MODELO'!O21</f>
        <v>42824.52860000011</v>
      </c>
      <c r="Q21" s="6">
        <f>'12_MODELO'!AG20*'12_MODELO'!BG21</f>
        <v>9696.0</v>
      </c>
      <c r="R21" s="6">
        <f>'12_MODELO'!P21-'12_MODELO'!Q21</f>
        <v>33128.52860000011</v>
      </c>
      <c r="S21" s="6">
        <f>MAX(0,'12_MODELO'!R21)*'12_MODELO'!BF21</f>
        <v>11263.699724000036</v>
      </c>
      <c r="T21" s="6">
        <f>'12_MODELO'!R21-'12_MODELO'!S21</f>
        <v>21864.828876000072</v>
      </c>
      <c r="U21" s="6">
        <f>'12_MODELO'!C21*'12_MODELO'!BB21/30</f>
        <v>2597289.68</v>
      </c>
      <c r="V21" s="6">
        <f>'12_MODELO'!F21*'12_MODELO'!BC21/30</f>
        <v>1825139.673333333</v>
      </c>
      <c r="W21" s="6">
        <f>'12_MODELO'!F21+'12_MODELO'!V21-'12_MODELO'!V20</f>
        <v>1013430.101333333</v>
      </c>
      <c r="X21" s="6">
        <f>'12_MODELO'!F21*'12_MODELO'!BD21/30</f>
        <v>1030320.7833333333</v>
      </c>
      <c r="Y21" s="6">
        <f>'12_MODELO'!H21*20%</f>
        <v>22032.4</v>
      </c>
      <c r="Z21" s="6">
        <f>'12_MODELO'!D21</f>
        <v>110384.81140000002</v>
      </c>
      <c r="AA21" s="6">
        <f>'12_MODELO'!S21</f>
        <v>11263.699724000036</v>
      </c>
      <c r="AB21" s="6">
        <f>'08_PREMISSAS'!V21</f>
        <v>18000.0</v>
      </c>
      <c r="AC21" s="6">
        <f>'12_MODELO'!AC20+'12_MODELO'!AB21</f>
        <v>2292000.0</v>
      </c>
      <c r="AD21" s="6">
        <f>'12_MODELO'!AD20+'12_MODELO'!O21</f>
        <v>675240.0</v>
      </c>
      <c r="AE21" s="6">
        <f>'08_PREMISSAS'!W21</f>
        <v>0.0</v>
      </c>
      <c r="AF21" s="6">
        <f>'08_PREMISSAS'!X21</f>
        <v>18000.0</v>
      </c>
      <c r="AG21" s="6">
        <f>'12_MODELO'!AG20+'12_MODELO'!AE21-'12_MODELO'!AF21</f>
        <v>790000.0</v>
      </c>
      <c r="AH21" s="6">
        <f>'08_PREMISSAS'!Y21</f>
        <v>0.0</v>
      </c>
      <c r="AI21" s="6">
        <f>'12_MODELO'!AI20</f>
        <v>3900000.0</v>
      </c>
      <c r="AJ21" s="6">
        <f>'12_MODELO'!AJ20+'12_MODELO'!T21-'12_MODELO'!AH21</f>
        <v>1017714.5137550004</v>
      </c>
      <c r="AK21" s="6">
        <f>'12_MODELO'!U20+'12_MODELO'!C21-'12_MODELO'!U21</f>
        <v>1115980.1199999996</v>
      </c>
      <c r="AL21" s="6">
        <f>'12_MODELO'!X20+'12_MODELO'!W21-'12_MODELO'!X21</f>
        <v>939874.7779999998</v>
      </c>
      <c r="AM21" s="6">
        <f>'12_MODELO'!M21+'12_MODELO'!Y20-'12_MODELO'!Y21</f>
        <v>239563.4</v>
      </c>
      <c r="AN21" s="6">
        <f>'12_MODELO'!Z20+'12_MODELO'!D21-'12_MODELO'!Z21</f>
        <v>102621.56080000002</v>
      </c>
      <c r="AO21" s="6">
        <f>'12_MODELO'!AA20+'12_MODELO'!S21-'12_MODELO'!AA21</f>
        <v>6075.160527999948</v>
      </c>
      <c r="AP21" s="6">
        <f>'12_MODELO'!AK21-'12_MODELO'!AL21-'12_MODELO'!AM21-'12_MODELO'!AN21-'12_MODELO'!Q21-'12_MODELO'!AO21</f>
        <v>-181850.77932800012</v>
      </c>
      <c r="AQ21" s="6">
        <f>'12_MODELO'!T21+'12_MODELO'!O21-('12_MODELO'!U21-'12_MODELO'!U20)-('12_MODELO'!V21-'12_MODELO'!V20)+('12_MODELO'!X21-'12_MODELO'!X20)+('12_MODELO'!Y21-'12_MODELO'!Y20)+('12_MODELO'!Z21-'12_MODELO'!Z20)+('12_MODELO'!AA21-'12_MODELO'!AA20)</f>
        <v>-181850.77932799986</v>
      </c>
      <c r="AR21" s="6">
        <f>-'12_MODELO'!AB21</f>
        <v>-18000.0</v>
      </c>
      <c r="AS21" s="6">
        <f>'12_MODELO'!AE21-'12_MODELO'!AF21-'12_MODELO'!AH21</f>
        <v>-18000.0</v>
      </c>
      <c r="AT21" s="6">
        <f>'12_MODELO'!AQ21+'12_MODELO'!AR21+'12_MODELO'!AS21</f>
        <v>-217850.77932799986</v>
      </c>
      <c r="AU21" s="6">
        <f>'12_MODELO'!AV20</f>
        <v>1060377.6342070003</v>
      </c>
      <c r="AV21" s="6">
        <f>'12_MODELO'!AU21+'12_MODELO'!AT21</f>
        <v>842526.8548790005</v>
      </c>
      <c r="AW21" s="6">
        <f>'12_MODELO'!AV21+'12_MODELO'!U21+'12_MODELO'!V21+'12_MODELO'!AC21-'12_MODELO'!AD21</f>
        <v>6881716.208212334</v>
      </c>
      <c r="AX21" s="6">
        <f>'12_MODELO'!X21+'12_MODELO'!Y21+'12_MODELO'!Z21+'12_MODELO'!AA21+'12_MODELO'!AG21</f>
        <v>1964001.6944573333</v>
      </c>
      <c r="AY21" s="6">
        <f>'12_MODELO'!AI21+'12_MODELO'!AJ21</f>
        <v>4917714.513755</v>
      </c>
      <c r="AZ21" s="6">
        <f>'12_MODELO'!AW21-'12_MODELO'!AX21-'12_MODELO'!AY21</f>
        <v>0.0</v>
      </c>
      <c r="BA21" s="6">
        <f>'12_MODELO'!AP21-'12_MODELO'!AQ21</f>
        <v>-2.6193447411060333e-10</v>
      </c>
      <c r="BB21" s="6">
        <f>'08_PREMISSAS'!O21</f>
        <v>60.0</v>
      </c>
      <c r="BC21" s="6">
        <f>'08_PREMISSAS'!P21</f>
        <v>62.0</v>
      </c>
      <c r="BD21" s="6">
        <f>'08_PREMISSAS'!Q21</f>
        <v>35.0</v>
      </c>
      <c r="BE21" s="9">
        <f>'08_PREMISSAS'!R21</f>
        <v>0.085</v>
      </c>
      <c r="BF21" s="9">
        <f>'08_PREMISSAS'!S21</f>
        <v>0.34</v>
      </c>
      <c r="BG21" s="9">
        <f>'08_PREMISSAS'!T21</f>
        <v>0.012</v>
      </c>
      <c r="BH21" s="9">
        <f>'08_PREMISSAS'!U21</f>
        <v>0.01</v>
      </c>
      <c r="BI21" s="9">
        <f>IFERROR('12_MODELO'!N21/'12_MODELO'!E21,0)</f>
        <v>0.05517692005280005</v>
      </c>
      <c r="BJ21" s="9">
        <f>IFERROR('12_MODELO'!T21/'12_MODELO'!E21,0)</f>
        <v>0.01840071057659077</v>
      </c>
      <c r="BK21" s="6">
        <f>'12_MODELO'!AQ21+'12_MODELO'!AR21</f>
        <v>-199850.77932799986</v>
      </c>
      <c r="BL21" s="6">
        <f>'12_MODELO'!U21+'12_MODELO'!V21-'12_MODELO'!X21-'12_MODELO'!Y21-'12_MODELO'!Z21-'12_MODELO'!AA21</f>
        <v>3248427.6588760004</v>
      </c>
      <c r="BM21" s="6">
        <f>'12_MODELO'!AG21-'12_MODELO'!AV21</f>
        <v>-52526.85487900046</v>
      </c>
      <c r="BN21" s="6">
        <f>MAX(ABS('15_CONCILIACAO'!F230),ABS('15_CONCILIACAO'!F231),ABS('15_CONCILIACAO'!F232),ABS('15_CONCILIACAO'!F233),ABS('15_CONCILIACAO'!F234),ABS('15_CONCILIACAO'!F235),ABS('15_CONCILIACAO'!F236),ABS('15_CONCILIACAO'!F237),ABS('15_CONCILIACAO'!F238),ABS('15_CONCILIACAO'!F239),ABS('15_CONCILIACAO'!F240),ABS('15_CONCILIACAO'!F241))</f>
        <v>3.958120942115784e-09</v>
      </c>
      <c r="BO21" s="6">
        <f>'12_MODELO'!AV21+'12_MODELO'!U21+'12_MODELO'!V21</f>
        <v>5264956.208212334</v>
      </c>
      <c r="BP21" s="6">
        <f>'12_MODELO'!AC21-'12_MODELO'!AD21</f>
        <v>1616760.0</v>
      </c>
      <c r="BQ21" s="6">
        <f>MIN('12_MODELO'!AG21,'12_MODELO'!AF21*12)</f>
        <v>216000.0</v>
      </c>
      <c r="BR21" s="6">
        <f>'12_MODELO'!AG21-'12_MODELO'!BQ21</f>
        <v>574000.0</v>
      </c>
      <c r="BS21" s="6">
        <f>'12_MODELO'!AX21-'12_MODELO'!BR21</f>
        <v>1390001.6944573333</v>
      </c>
      <c r="BT21" s="6">
        <f>'12_MODELO'!BR21</f>
        <v>574000.0</v>
      </c>
      <c r="BU21" s="6">
        <f>IFERROR('12_MODELO'!BO21/'12_MODELO'!BS21,0)</f>
        <v>3.787733661913132</v>
      </c>
    </row>
    <row r="22" spans="1:73">
      <c r="A22" s="5">
        <v>45901</v>
      </c>
      <c r="B22" t="s">
        <v>78</v>
      </c>
      <c r="C22" s="6">
        <f>SUMIFS('09_VENDAS'!I$2:I$433,'09_VENDAS'!A$2:A$433,'12_MODELO'!A22)</f>
        <v>1385311.35</v>
      </c>
      <c r="D22" s="6">
        <f>'12_MODELO'!C22*'12_MODELO'!BE22</f>
        <v>117751.46475000001</v>
      </c>
      <c r="E22" s="6">
        <f>'12_MODELO'!C22-'12_MODELO'!D22</f>
        <v>1267559.88525</v>
      </c>
      <c r="F22" s="6">
        <f>SUMIFS('09_VENDAS'!J$2:J$433,'09_VENDAS'!A$2:A$433,'12_MODELO'!A22)</f>
        <v>941100.92</v>
      </c>
      <c r="G22" s="6">
        <f>'12_MODELO'!E22-'12_MODELO'!F22</f>
        <v>326458.96525</v>
      </c>
      <c r="H22" s="6">
        <f>SUMIFS('10_DESPESAS'!D$2:D$123,'10_DESPESAS'!A$2:A$123,'12_MODELO'!A22,'10_DESPESAS'!B$2:B$123,"Pessoal")</f>
        <v>110162.0</v>
      </c>
      <c r="I22" s="6">
        <f>SUMIFS('10_DESPESAS'!D$2:D$123,'10_DESPESAS'!A$2:A$123,'12_MODELO'!A22,'10_DESPESAS'!B$2:B$123,"Comercial")</f>
        <v>49871.21</v>
      </c>
      <c r="J22" s="6">
        <f>SUMIFS('10_DESPESAS'!D$2:D$123,'10_DESPESAS'!A$2:A$123,'12_MODELO'!A22,'10_DESPESAS'!B$2:B$123,"Administrativo")</f>
        <v>33920.0</v>
      </c>
      <c r="K22" s="6">
        <f>SUMIFS('10_DESPESAS'!D$2:D$123,'10_DESPESAS'!A$2:A$123,'12_MODELO'!A22,'10_DESPESAS'!B$2:B$123,"Tecnologia")</f>
        <v>20160.0</v>
      </c>
      <c r="L22" s="6">
        <f>SUMIFS('10_DESPESAS'!D$2:D$123,'10_DESPESAS'!A$2:A$123,'12_MODELO'!A22,'10_DESPESAS'!B$2:B$123,"Operações")</f>
        <v>30476.85</v>
      </c>
      <c r="M22" s="6">
        <f>SUM('12_MODELO'!H22:'12_MODELO'!L22)</f>
        <v>244590.06</v>
      </c>
      <c r="N22" s="6">
        <f>'12_MODELO'!G22-'12_MODELO'!M22</f>
        <v>81868.90525000001</v>
      </c>
      <c r="O22" s="6">
        <f>MIN('12_MODELO'!AC21*'12_MODELO'!BH22,'12_MODELO'!AC21-'12_MODELO'!AD21+'12_MODELO'!AB22)</f>
        <v>22920.0</v>
      </c>
      <c r="P22" s="6">
        <f>'12_MODELO'!N22-'12_MODELO'!O22</f>
        <v>58948.90525000001</v>
      </c>
      <c r="Q22" s="6">
        <f>'12_MODELO'!AG21*'12_MODELO'!BG22</f>
        <v>9480.0</v>
      </c>
      <c r="R22" s="6">
        <f>'12_MODELO'!P22-'12_MODELO'!Q22</f>
        <v>49468.90525000001</v>
      </c>
      <c r="S22" s="6">
        <f>MAX(0,'12_MODELO'!R22)*'12_MODELO'!BF22</f>
        <v>16819.427785000003</v>
      </c>
      <c r="T22" s="6">
        <f>'12_MODELO'!R22-'12_MODELO'!S22</f>
        <v>32649.477465000007</v>
      </c>
      <c r="U22" s="6">
        <f>'12_MODELO'!C22*'12_MODELO'!BB22/30</f>
        <v>2770622.7</v>
      </c>
      <c r="V22" s="6">
        <f>'12_MODELO'!F22*'12_MODELO'!BC22/30</f>
        <v>1944941.9013333332</v>
      </c>
      <c r="W22" s="6">
        <f>'12_MODELO'!F22+'12_MODELO'!V22-'12_MODELO'!V21</f>
        <v>1060903.1480000003</v>
      </c>
      <c r="X22" s="6">
        <f>'12_MODELO'!F22*'12_MODELO'!BD22/30</f>
        <v>1097951.0733333335</v>
      </c>
      <c r="Y22" s="6">
        <f>'12_MODELO'!H22*20%</f>
        <v>22032.4</v>
      </c>
      <c r="Z22" s="6">
        <f>'12_MODELO'!D22</f>
        <v>117751.46475000001</v>
      </c>
      <c r="AA22" s="6">
        <f>'12_MODELO'!S22</f>
        <v>16819.427785000003</v>
      </c>
      <c r="AB22" s="6">
        <f>'08_PREMISSAS'!V22</f>
        <v>90000.0</v>
      </c>
      <c r="AC22" s="6">
        <f>'12_MODELO'!AC21+'12_MODELO'!AB22</f>
        <v>2382000.0</v>
      </c>
      <c r="AD22" s="6">
        <f>'12_MODELO'!AD21+'12_MODELO'!O22</f>
        <v>698160.0</v>
      </c>
      <c r="AE22" s="6">
        <f>'08_PREMISSAS'!W22</f>
        <v>0.0</v>
      </c>
      <c r="AF22" s="6">
        <f>'08_PREMISSAS'!X22</f>
        <v>18000.0</v>
      </c>
      <c r="AG22" s="6">
        <f>'12_MODELO'!AG21+'12_MODELO'!AE22-'12_MODELO'!AF22</f>
        <v>772000.0</v>
      </c>
      <c r="AH22" s="6">
        <f>'08_PREMISSAS'!Y22</f>
        <v>0.0</v>
      </c>
      <c r="AI22" s="6">
        <f>'12_MODELO'!AI21</f>
        <v>3900000.0</v>
      </c>
      <c r="AJ22" s="6">
        <f>'12_MODELO'!AJ21+'12_MODELO'!T22-'12_MODELO'!AH22</f>
        <v>1050363.9912200004</v>
      </c>
      <c r="AK22" s="6">
        <f>'12_MODELO'!U21+'12_MODELO'!C22-'12_MODELO'!U22</f>
        <v>1211978.33</v>
      </c>
      <c r="AL22" s="6">
        <f>'12_MODELO'!X21+'12_MODELO'!W22-'12_MODELO'!X22</f>
        <v>993272.8580000002</v>
      </c>
      <c r="AM22" s="6">
        <f>'12_MODELO'!M22+'12_MODELO'!Y21-'12_MODELO'!Y22</f>
        <v>244590.06000000003</v>
      </c>
      <c r="AN22" s="6">
        <f>'12_MODELO'!Z21+'12_MODELO'!D22-'12_MODELO'!Z22</f>
        <v>110384.81140000004</v>
      </c>
      <c r="AO22" s="6">
        <f>'12_MODELO'!AA21+'12_MODELO'!S22-'12_MODELO'!AA22</f>
        <v>11263.699724000038</v>
      </c>
      <c r="AP22" s="6">
        <f>'12_MODELO'!AK22-'12_MODELO'!AL22-'12_MODELO'!AM22-'12_MODELO'!AN22-'12_MODELO'!Q22-'12_MODELO'!AO22</f>
        <v>-157013.09912400026</v>
      </c>
      <c r="AQ22" s="6">
        <f>'12_MODELO'!T22+'12_MODELO'!O22-('12_MODELO'!U22-'12_MODELO'!U21)-('12_MODELO'!V22-'12_MODELO'!V21)+('12_MODELO'!X22-'12_MODELO'!X21)+('12_MODELO'!Y22-'12_MODELO'!Y21)+('12_MODELO'!Z22-'12_MODELO'!Z21)+('12_MODELO'!AA22-'12_MODELO'!AA21)</f>
        <v>-157013.099124</v>
      </c>
      <c r="AR22" s="6">
        <f>-'12_MODELO'!AB22</f>
        <v>-90000.0</v>
      </c>
      <c r="AS22" s="6">
        <f>'12_MODELO'!AE22-'12_MODELO'!AF22-'12_MODELO'!AH22</f>
        <v>-18000.0</v>
      </c>
      <c r="AT22" s="6">
        <f>'12_MODELO'!AQ22+'12_MODELO'!AR22+'12_MODELO'!AS22</f>
        <v>-265013.099124</v>
      </c>
      <c r="AU22" s="6">
        <f>'12_MODELO'!AV21</f>
        <v>842526.8548790005</v>
      </c>
      <c r="AV22" s="6">
        <f>'12_MODELO'!AU22+'12_MODELO'!AT22</f>
        <v>577513.7557550005</v>
      </c>
      <c r="AW22" s="6">
        <f>'12_MODELO'!AV22+'12_MODELO'!U22+'12_MODELO'!V22+'12_MODELO'!AC22-'12_MODELO'!AD22</f>
        <v>6976918.357088334</v>
      </c>
      <c r="AX22" s="6">
        <f>'12_MODELO'!X22+'12_MODELO'!Y22+'12_MODELO'!Z22+'12_MODELO'!AA22+'12_MODELO'!AG22</f>
        <v>2026554.3658683335</v>
      </c>
      <c r="AY22" s="6">
        <f>'12_MODELO'!AI22+'12_MODELO'!AJ22</f>
        <v>4950363.99122</v>
      </c>
      <c r="AZ22" s="6">
        <f>'12_MODELO'!AW22-'12_MODELO'!AX22-'12_MODELO'!AY22</f>
        <v>0.0</v>
      </c>
      <c r="BA22" s="6">
        <f>'12_MODELO'!AP22-'12_MODELO'!AQ22</f>
        <v>-2.6193447411060333e-10</v>
      </c>
      <c r="BB22" s="6">
        <f>'08_PREMISSAS'!O22</f>
        <v>60.0</v>
      </c>
      <c r="BC22" s="6">
        <f>'08_PREMISSAS'!P22</f>
        <v>62.0</v>
      </c>
      <c r="BD22" s="6">
        <f>'08_PREMISSAS'!Q22</f>
        <v>35.0</v>
      </c>
      <c r="BE22" s="9">
        <f>'08_PREMISSAS'!R22</f>
        <v>0.085</v>
      </c>
      <c r="BF22" s="9">
        <f>'08_PREMISSAS'!S22</f>
        <v>0.34</v>
      </c>
      <c r="BG22" s="9">
        <f>'08_PREMISSAS'!T22</f>
        <v>0.012</v>
      </c>
      <c r="BH22" s="9">
        <f>'08_PREMISSAS'!U22</f>
        <v>0.01</v>
      </c>
      <c r="BI22" s="9">
        <f>IFERROR('12_MODELO'!N22/'12_MODELO'!E22,0)</f>
        <v>0.06458780070485826</v>
      </c>
      <c r="BJ22" s="9">
        <f>IFERROR('12_MODELO'!T22/'12_MODELO'!E22,0)</f>
        <v>0.025757739610512028</v>
      </c>
      <c r="BK22" s="6">
        <f>'12_MODELO'!AQ22+'12_MODELO'!AR22</f>
        <v>-247013.099124</v>
      </c>
      <c r="BL22" s="6">
        <f>'12_MODELO'!U22+'12_MODELO'!V22-'12_MODELO'!X22-'12_MODELO'!Y22-'12_MODELO'!Z22-'12_MODELO'!AA22</f>
        <v>3461010.2354650004</v>
      </c>
      <c r="BM22" s="6">
        <f>'12_MODELO'!AG22-'12_MODELO'!AV22</f>
        <v>194486.24424499949</v>
      </c>
      <c r="BN22" s="6">
        <f>MAX(ABS('15_CONCILIACAO'!F242),ABS('15_CONCILIACAO'!F243),ABS('15_CONCILIACAO'!F244),ABS('15_CONCILIACAO'!F245),ABS('15_CONCILIACAO'!F246),ABS('15_CONCILIACAO'!F247),ABS('15_CONCILIACAO'!F248),ABS('15_CONCILIACAO'!F249),ABS('15_CONCILIACAO'!F250),ABS('15_CONCILIACAO'!F251),ABS('15_CONCILIACAO'!F252),ABS('15_CONCILIACAO'!F253))</f>
        <v>3.6088749766349792e-09</v>
      </c>
      <c r="BO22" s="6">
        <f>'12_MODELO'!AV22+'12_MODELO'!U22+'12_MODELO'!V22</f>
        <v>5293078.357088334</v>
      </c>
      <c r="BP22" s="6">
        <f>'12_MODELO'!AC22-'12_MODELO'!AD22</f>
        <v>1683840.0</v>
      </c>
      <c r="BQ22" s="6">
        <f>MIN('12_MODELO'!AG22,'12_MODELO'!AF22*12)</f>
        <v>216000.0</v>
      </c>
      <c r="BR22" s="6">
        <f>'12_MODELO'!AG22-'12_MODELO'!BQ22</f>
        <v>556000.0</v>
      </c>
      <c r="BS22" s="6">
        <f>'12_MODELO'!AX22-'12_MODELO'!BR22</f>
        <v>1470554.3658683335</v>
      </c>
      <c r="BT22" s="6">
        <f>'12_MODELO'!BR22</f>
        <v>556000.0</v>
      </c>
      <c r="BU22" s="6">
        <f>IFERROR('12_MODELO'!BO22/'12_MODELO'!BS22,0)</f>
        <v>3.5993761808070763</v>
      </c>
    </row>
    <row r="23" spans="1:73">
      <c r="A23" s="5">
        <v>45931</v>
      </c>
      <c r="B23" t="s">
        <v>78</v>
      </c>
      <c r="C23" s="6">
        <f>SUMIFS('09_VENDAS'!I$2:I$433,'09_VENDAS'!A$2:A$433,'12_MODELO'!A23)</f>
        <v>1555988.89</v>
      </c>
      <c r="D23" s="6">
        <f>'12_MODELO'!C23*'12_MODELO'!BE23</f>
        <v>132259.05565</v>
      </c>
      <c r="E23" s="6">
        <f>'12_MODELO'!C23-'12_MODELO'!D23</f>
        <v>1423729.83435</v>
      </c>
      <c r="F23" s="6">
        <f>SUMIFS('09_VENDAS'!J$2:J$433,'09_VENDAS'!A$2:A$433,'12_MODELO'!A23)</f>
        <v>1065026.86</v>
      </c>
      <c r="G23" s="6">
        <f>'12_MODELO'!E23-'12_MODELO'!F23</f>
        <v>358702.9743499998</v>
      </c>
      <c r="H23" s="6">
        <f>SUMIFS('10_DESPESAS'!D$2:D$123,'10_DESPESAS'!A$2:A$123,'12_MODELO'!A23,'10_DESPESAS'!B$2:B$123,"Pessoal")</f>
        <v>110162.0</v>
      </c>
      <c r="I23" s="6">
        <f>SUMIFS('10_DESPESAS'!D$2:D$123,'10_DESPESAS'!A$2:A$123,'12_MODELO'!A23,'10_DESPESAS'!B$2:B$123,"Comercial")</f>
        <v>56015.6</v>
      </c>
      <c r="J23" s="6">
        <f>SUMIFS('10_DESPESAS'!D$2:D$123,'10_DESPESAS'!A$2:A$123,'12_MODELO'!A23,'10_DESPESAS'!B$2:B$123,"Administrativo")</f>
        <v>33920.0</v>
      </c>
      <c r="K23" s="6">
        <f>SUMIFS('10_DESPESAS'!D$2:D$123,'10_DESPESAS'!A$2:A$123,'12_MODELO'!A23,'10_DESPESAS'!B$2:B$123,"Tecnologia")</f>
        <v>20160.0</v>
      </c>
      <c r="L23" s="6">
        <f>SUMIFS('10_DESPESAS'!D$2:D$123,'10_DESPESAS'!A$2:A$123,'12_MODELO'!A23,'10_DESPESAS'!B$2:B$123,"Operações")</f>
        <v>34231.76</v>
      </c>
      <c r="M23" s="6">
        <f>SUM('12_MODELO'!H23:'12_MODELO'!L23)</f>
        <v>254489.36</v>
      </c>
      <c r="N23" s="6">
        <f>'12_MODELO'!G23-'12_MODELO'!M23</f>
        <v>104213.61434999981</v>
      </c>
      <c r="O23" s="6">
        <f>MIN('12_MODELO'!AC22*'12_MODELO'!BH23,'12_MODELO'!AC22-'12_MODELO'!AD22+'12_MODELO'!AB23)</f>
        <v>23820.0</v>
      </c>
      <c r="P23" s="6">
        <f>'12_MODELO'!N23-'12_MODELO'!O23</f>
        <v>80393.61434999981</v>
      </c>
      <c r="Q23" s="6">
        <f>'12_MODELO'!AG22*'12_MODELO'!BG23</f>
        <v>9264.0</v>
      </c>
      <c r="R23" s="6">
        <f>'12_MODELO'!P23-'12_MODELO'!Q23</f>
        <v>71129.61434999981</v>
      </c>
      <c r="S23" s="6">
        <f>MAX(0,'12_MODELO'!R23)*'12_MODELO'!BF23</f>
        <v>24184.06887899994</v>
      </c>
      <c r="T23" s="6">
        <f>'12_MODELO'!R23-'12_MODELO'!S23</f>
        <v>46945.545470999874</v>
      </c>
      <c r="U23" s="6">
        <f>'12_MODELO'!C23*'12_MODELO'!BB23/30</f>
        <v>2437715.9276666665</v>
      </c>
      <c r="V23" s="6">
        <f>'12_MODELO'!F23*'12_MODELO'!BC23/30</f>
        <v>1846046.5573333337</v>
      </c>
      <c r="W23" s="6">
        <f>'12_MODELO'!F23+'12_MODELO'!V23-'12_MODELO'!V22</f>
        <v>966131.5160000005</v>
      </c>
      <c r="X23" s="6">
        <f>'12_MODELO'!F23*'12_MODELO'!BD23/30</f>
        <v>1242531.3366666667</v>
      </c>
      <c r="Y23" s="6">
        <f>'12_MODELO'!H23*20%</f>
        <v>22032.4</v>
      </c>
      <c r="Z23" s="6">
        <f>'12_MODELO'!D23</f>
        <v>132259.05565</v>
      </c>
      <c r="AA23" s="6">
        <f>'12_MODELO'!S23</f>
        <v>24184.06887899994</v>
      </c>
      <c r="AB23" s="6">
        <f>'08_PREMISSAS'!V23</f>
        <v>18000.0</v>
      </c>
      <c r="AC23" s="6">
        <f>'12_MODELO'!AC22+'12_MODELO'!AB23</f>
        <v>2400000.0</v>
      </c>
      <c r="AD23" s="6">
        <f>'12_MODELO'!AD22+'12_MODELO'!O23</f>
        <v>721980.0</v>
      </c>
      <c r="AE23" s="6">
        <f>'08_PREMISSAS'!W23</f>
        <v>0.0</v>
      </c>
      <c r="AF23" s="6">
        <f>'08_PREMISSAS'!X23</f>
        <v>18000.0</v>
      </c>
      <c r="AG23" s="6">
        <f>'12_MODELO'!AG22+'12_MODELO'!AE23-'12_MODELO'!AF23</f>
        <v>754000.0</v>
      </c>
      <c r="AH23" s="6">
        <f>'08_PREMISSAS'!Y23</f>
        <v>0.0</v>
      </c>
      <c r="AI23" s="6">
        <f>'12_MODELO'!AI22</f>
        <v>3900000.0</v>
      </c>
      <c r="AJ23" s="6">
        <f>'12_MODELO'!AJ22+'12_MODELO'!T23-'12_MODELO'!AH23</f>
        <v>1097309.5366910002</v>
      </c>
      <c r="AK23" s="6">
        <f>'12_MODELO'!U22+'12_MODELO'!C23-'12_MODELO'!U23</f>
        <v>1888895.6623333334</v>
      </c>
      <c r="AL23" s="6">
        <f>'12_MODELO'!X22+'12_MODELO'!W23-'12_MODELO'!X23</f>
        <v>821551.2526666673</v>
      </c>
      <c r="AM23" s="6">
        <f>'12_MODELO'!M23+'12_MODELO'!Y22-'12_MODELO'!Y23</f>
        <v>254489.36000000002</v>
      </c>
      <c r="AN23" s="6">
        <f>'12_MODELO'!Z22+'12_MODELO'!D23-'12_MODELO'!Z23</f>
        <v>117751.46475000001</v>
      </c>
      <c r="AO23" s="6">
        <f>'12_MODELO'!AA22+'12_MODELO'!S23-'12_MODELO'!AA23</f>
        <v>16819.427785000007</v>
      </c>
      <c r="AP23" s="6">
        <f>'12_MODELO'!AK23-'12_MODELO'!AL23-'12_MODELO'!AM23-'12_MODELO'!AN23-'12_MODELO'!Q23-'12_MODELO'!AO23</f>
        <v>669020.1571316661</v>
      </c>
      <c r="AQ23" s="6">
        <f>'12_MODELO'!T23+'12_MODELO'!O23-('12_MODELO'!U23-'12_MODELO'!U22)-('12_MODELO'!V23-'12_MODELO'!V22)+('12_MODELO'!X23-'12_MODELO'!X22)+('12_MODELO'!Y23-'12_MODELO'!Y22)+('12_MODELO'!Z23-'12_MODELO'!Z22)+('12_MODELO'!AA23-'12_MODELO'!AA22)</f>
        <v>669020.1571316663</v>
      </c>
      <c r="AR23" s="6">
        <f>-'12_MODELO'!AB23</f>
        <v>-18000.0</v>
      </c>
      <c r="AS23" s="6">
        <f>'12_MODELO'!AE23-'12_MODELO'!AF23-'12_MODELO'!AH23</f>
        <v>-18000.0</v>
      </c>
      <c r="AT23" s="6">
        <f>'12_MODELO'!AQ23+'12_MODELO'!AR23+'12_MODELO'!AS23</f>
        <v>633020.1571316663</v>
      </c>
      <c r="AU23" s="6">
        <f>'12_MODELO'!AV22</f>
        <v>577513.7557550005</v>
      </c>
      <c r="AV23" s="6">
        <f>'12_MODELO'!AU23+'12_MODELO'!AT23</f>
        <v>1210533.9128866668</v>
      </c>
      <c r="AW23" s="6">
        <f>'12_MODELO'!AV23+'12_MODELO'!U23+'12_MODELO'!V23+'12_MODELO'!AC23-'12_MODELO'!AD23</f>
        <v>7172316.3978866665</v>
      </c>
      <c r="AX23" s="6">
        <f>'12_MODELO'!X23+'12_MODELO'!Y23+'12_MODELO'!Z23+'12_MODELO'!AA23+'12_MODELO'!AG23</f>
        <v>2175006.8611956667</v>
      </c>
      <c r="AY23" s="6">
        <f>'12_MODELO'!AI23+'12_MODELO'!AJ23</f>
        <v>4997309.536691001</v>
      </c>
      <c r="AZ23" s="6">
        <f>'12_MODELO'!AW23-'12_MODELO'!AX23-'12_MODELO'!AY23</f>
        <v>-9.313225746154785e-10</v>
      </c>
      <c r="BA23" s="6">
        <f>'12_MODELO'!AP23-'12_MODELO'!AQ23</f>
        <v>-2.3283064365386963e-10</v>
      </c>
      <c r="BB23" s="6">
        <f>'08_PREMISSAS'!O23</f>
        <v>47.0</v>
      </c>
      <c r="BC23" s="6">
        <f>'08_PREMISSAS'!P23</f>
        <v>52.0</v>
      </c>
      <c r="BD23" s="6">
        <f>'08_PREMISSAS'!Q23</f>
        <v>35.0</v>
      </c>
      <c r="BE23" s="9">
        <f>'08_PREMISSAS'!R23</f>
        <v>0.085</v>
      </c>
      <c r="BF23" s="9">
        <f>'08_PREMISSAS'!S23</f>
        <v>0.34</v>
      </c>
      <c r="BG23" s="9">
        <f>'08_PREMISSAS'!T23</f>
        <v>0.012</v>
      </c>
      <c r="BH23" s="9">
        <f>'08_PREMISSAS'!U23</f>
        <v>0.01</v>
      </c>
      <c r="BI23" s="9">
        <f>IFERROR('12_MODELO'!N23/'12_MODELO'!E23,0)</f>
        <v>0.07319760521670761</v>
      </c>
      <c r="BJ23" s="9">
        <f>IFERROR('12_MODELO'!T23/'12_MODELO'!E23,0)</f>
        <v>0.03297363329639906</v>
      </c>
      <c r="BK23" s="6">
        <f>'12_MODELO'!AQ23+'12_MODELO'!AR23</f>
        <v>651020.1571316663</v>
      </c>
      <c r="BL23" s="6">
        <f>'12_MODELO'!U23+'12_MODELO'!V23-'12_MODELO'!X23-'12_MODELO'!Y23-'12_MODELO'!Z23-'12_MODELO'!AA23</f>
        <v>2862755.6238043336</v>
      </c>
      <c r="BM23" s="6">
        <f>'12_MODELO'!AG23-'12_MODELO'!AV23</f>
        <v>-456533.91288666683</v>
      </c>
      <c r="BN23" s="6">
        <f>MAX(ABS('15_CONCILIACAO'!F254),ABS('15_CONCILIACAO'!F255),ABS('15_CONCILIACAO'!F256),ABS('15_CONCILIACAO'!F257),ABS('15_CONCILIACAO'!F258),ABS('15_CONCILIACAO'!F259),ABS('15_CONCILIACAO'!F260),ABS('15_CONCILIACAO'!F261),ABS('15_CONCILIACAO'!F262),ABS('15_CONCILIACAO'!F263),ABS('15_CONCILIACAO'!F264),ABS('15_CONCILIACAO'!F265))</f>
        <v>3.259629011154175e-09</v>
      </c>
      <c r="BO23" s="6">
        <f>'12_MODELO'!AV23+'12_MODELO'!U23+'12_MODELO'!V23</f>
        <v>5494296.3978866665</v>
      </c>
      <c r="BP23" s="6">
        <f>'12_MODELO'!AC23-'12_MODELO'!AD23</f>
        <v>1678020.0</v>
      </c>
      <c r="BQ23" s="6">
        <f>MIN('12_MODELO'!AG23,'12_MODELO'!AF23*12)</f>
        <v>216000.0</v>
      </c>
      <c r="BR23" s="6">
        <f>'12_MODELO'!AG23-'12_MODELO'!BQ23</f>
        <v>538000.0</v>
      </c>
      <c r="BS23" s="6">
        <f>'12_MODELO'!AX23-'12_MODELO'!BR23</f>
        <v>1637006.8611956667</v>
      </c>
      <c r="BT23" s="6">
        <f>'12_MODELO'!BR23</f>
        <v>538000.0</v>
      </c>
      <c r="BU23" s="6">
        <f>IFERROR('12_MODELO'!BO23/'12_MODELO'!BS23,0)</f>
        <v>3.356306273434702</v>
      </c>
    </row>
    <row r="24" spans="1:73">
      <c r="A24" s="5">
        <v>45962</v>
      </c>
      <c r="B24" t="s">
        <v>78</v>
      </c>
      <c r="C24" s="6">
        <f>SUMIFS('09_VENDAS'!I$2:I$433,'09_VENDAS'!A$2:A$433,'12_MODELO'!A24)</f>
        <v>1824414.72</v>
      </c>
      <c r="D24" s="6">
        <f>'12_MODELO'!C24*'12_MODELO'!BE24</f>
        <v>155075.2512</v>
      </c>
      <c r="E24" s="6">
        <f>'12_MODELO'!C24-'12_MODELO'!D24</f>
        <v>1669339.4688</v>
      </c>
      <c r="F24" s="6">
        <f>SUMIFS('09_VENDAS'!J$2:J$433,'09_VENDAS'!A$2:A$433,'12_MODELO'!A24)</f>
        <v>1249236.52</v>
      </c>
      <c r="G24" s="6">
        <f>'12_MODELO'!E24-'12_MODELO'!F24</f>
        <v>420102.9487999999</v>
      </c>
      <c r="H24" s="6">
        <f>SUMIFS('10_DESPESAS'!D$2:D$123,'10_DESPESAS'!A$2:A$123,'12_MODELO'!A24,'10_DESPESAS'!B$2:B$123,"Pessoal")</f>
        <v>110162.0</v>
      </c>
      <c r="I24" s="6">
        <f>SUMIFS('10_DESPESAS'!D$2:D$123,'10_DESPESAS'!A$2:A$123,'12_MODELO'!A24,'10_DESPESAS'!B$2:B$123,"Comercial")</f>
        <v>65678.93</v>
      </c>
      <c r="J24" s="6">
        <f>SUMIFS('10_DESPESAS'!D$2:D$123,'10_DESPESAS'!A$2:A$123,'12_MODELO'!A24,'10_DESPESAS'!B$2:B$123,"Administrativo")</f>
        <v>33920.0</v>
      </c>
      <c r="K24" s="6">
        <f>SUMIFS('10_DESPESAS'!D$2:D$123,'10_DESPESAS'!A$2:A$123,'12_MODELO'!A24,'10_DESPESAS'!B$2:B$123,"Tecnologia")</f>
        <v>20160.0</v>
      </c>
      <c r="L24" s="6">
        <f>SUMIFS('10_DESPESAS'!D$2:D$123,'10_DESPESAS'!A$2:A$123,'12_MODELO'!A24,'10_DESPESAS'!B$2:B$123,"Operações")</f>
        <v>40137.12</v>
      </c>
      <c r="M24" s="6">
        <f>SUM('12_MODELO'!H24:'12_MODELO'!L24)</f>
        <v>270058.05</v>
      </c>
      <c r="N24" s="6">
        <f>'12_MODELO'!G24-'12_MODELO'!M24</f>
        <v>150044.8987999999</v>
      </c>
      <c r="O24" s="6">
        <f>MIN('12_MODELO'!AC23*'12_MODELO'!BH24,'12_MODELO'!AC23-'12_MODELO'!AD23+'12_MODELO'!AB24)</f>
        <v>24000.0</v>
      </c>
      <c r="P24" s="6">
        <f>'12_MODELO'!N24-'12_MODELO'!O24</f>
        <v>126044.89879999991</v>
      </c>
      <c r="Q24" s="6">
        <f>'12_MODELO'!AG23*'12_MODELO'!BG24</f>
        <v>9048.0</v>
      </c>
      <c r="R24" s="6">
        <f>'12_MODELO'!P24-'12_MODELO'!Q24</f>
        <v>116996.89879999991</v>
      </c>
      <c r="S24" s="6">
        <f>MAX(0,'12_MODELO'!R24)*'12_MODELO'!BF24</f>
        <v>39778.945591999975</v>
      </c>
      <c r="T24" s="6">
        <f>'12_MODELO'!R24-'12_MODELO'!S24</f>
        <v>77217.95320799993</v>
      </c>
      <c r="U24" s="6">
        <f>'12_MODELO'!C24*'12_MODELO'!BB24/30</f>
        <v>2858249.728</v>
      </c>
      <c r="V24" s="6">
        <f>'12_MODELO'!F24*'12_MODELO'!BC24/30</f>
        <v>2165343.3013333334</v>
      </c>
      <c r="W24" s="6">
        <f>'12_MODELO'!F24+'12_MODELO'!V24-'12_MODELO'!V23</f>
        <v>1568533.2639999997</v>
      </c>
      <c r="X24" s="6">
        <f>'12_MODELO'!F24*'12_MODELO'!BD24/30</f>
        <v>1457442.6066666667</v>
      </c>
      <c r="Y24" s="6">
        <f>'12_MODELO'!H24*20%</f>
        <v>22032.4</v>
      </c>
      <c r="Z24" s="6">
        <f>'12_MODELO'!D24</f>
        <v>155075.2512</v>
      </c>
      <c r="AA24" s="6">
        <f>'12_MODELO'!S24</f>
        <v>39778.945591999975</v>
      </c>
      <c r="AB24" s="6">
        <f>'08_PREMISSAS'!V24</f>
        <v>18000.0</v>
      </c>
      <c r="AC24" s="6">
        <f>'12_MODELO'!AC23+'12_MODELO'!AB24</f>
        <v>2418000.0</v>
      </c>
      <c r="AD24" s="6">
        <f>'12_MODELO'!AD23+'12_MODELO'!O24</f>
        <v>745980.0</v>
      </c>
      <c r="AE24" s="6">
        <f>'08_PREMISSAS'!W24</f>
        <v>0.0</v>
      </c>
      <c r="AF24" s="6">
        <f>'08_PREMISSAS'!X24</f>
        <v>18000.0</v>
      </c>
      <c r="AG24" s="6">
        <f>'12_MODELO'!AG23+'12_MODELO'!AE24-'12_MODELO'!AF24</f>
        <v>736000.0</v>
      </c>
      <c r="AH24" s="6">
        <f>'08_PREMISSAS'!Y24</f>
        <v>0.0</v>
      </c>
      <c r="AI24" s="6">
        <f>'12_MODELO'!AI23</f>
        <v>3900000.0</v>
      </c>
      <c r="AJ24" s="6">
        <f>'12_MODELO'!AJ23+'12_MODELO'!T24-'12_MODELO'!AH24</f>
        <v>1174527.4898990002</v>
      </c>
      <c r="AK24" s="6">
        <f>'12_MODELO'!U23+'12_MODELO'!C24-'12_MODELO'!U24</f>
        <v>1403880.9196666665</v>
      </c>
      <c r="AL24" s="6">
        <f>'12_MODELO'!X23+'12_MODELO'!W24-'12_MODELO'!X24</f>
        <v>1353621.9939999997</v>
      </c>
      <c r="AM24" s="6">
        <f>'12_MODELO'!M24+'12_MODELO'!Y23-'12_MODELO'!Y24</f>
        <v>270058.05</v>
      </c>
      <c r="AN24" s="6">
        <f>'12_MODELO'!Z23+'12_MODELO'!D24-'12_MODELO'!Z24</f>
        <v>132259.05565</v>
      </c>
      <c r="AO24" s="6">
        <f>'12_MODELO'!AA23+'12_MODELO'!S24-'12_MODELO'!AA24</f>
        <v>24184.06887899994</v>
      </c>
      <c r="AP24" s="6">
        <f>'12_MODELO'!AK24-'12_MODELO'!AL24-'12_MODELO'!AM24-'12_MODELO'!AN24-'12_MODELO'!Q24-'12_MODELO'!AO24</f>
        <v>-385290.24886233313</v>
      </c>
      <c r="AQ24" s="6">
        <f>'12_MODELO'!T24+'12_MODELO'!O24-('12_MODELO'!U24-'12_MODELO'!U23)-('12_MODELO'!V24-'12_MODELO'!V23)+('12_MODELO'!X24-'12_MODELO'!X23)+('12_MODELO'!Y24-'12_MODELO'!Y23)+('12_MODELO'!Z24-'12_MODELO'!Z23)+('12_MODELO'!AA24-'12_MODELO'!AA23)</f>
        <v>-385290.24886233336</v>
      </c>
      <c r="AR24" s="6">
        <f>-'12_MODELO'!AB24</f>
        <v>-18000.0</v>
      </c>
      <c r="AS24" s="6">
        <f>'12_MODELO'!AE24-'12_MODELO'!AF24-'12_MODELO'!AH24</f>
        <v>-18000.0</v>
      </c>
      <c r="AT24" s="6">
        <f>'12_MODELO'!AQ24+'12_MODELO'!AR24+'12_MODELO'!AS24</f>
        <v>-421290.24886233336</v>
      </c>
      <c r="AU24" s="6">
        <f>'12_MODELO'!AV23</f>
        <v>1210533.9128866668</v>
      </c>
      <c r="AV24" s="6">
        <f>'12_MODELO'!AU24+'12_MODELO'!AT24</f>
        <v>789243.6640243335</v>
      </c>
      <c r="AW24" s="6">
        <f>'12_MODELO'!AV24+'12_MODELO'!U24+'12_MODELO'!V24+'12_MODELO'!AC24-'12_MODELO'!AD24</f>
        <v>7484856.693357667</v>
      </c>
      <c r="AX24" s="6">
        <f>'12_MODELO'!X24+'12_MODELO'!Y24+'12_MODELO'!Z24+'12_MODELO'!AA24+'12_MODELO'!AG24</f>
        <v>2410329.203458667</v>
      </c>
      <c r="AY24" s="6">
        <f>'12_MODELO'!AI24+'12_MODELO'!AJ24</f>
        <v>5074527.489899</v>
      </c>
      <c r="AZ24" s="6">
        <f>'12_MODELO'!AW24-'12_MODELO'!AX24-'12_MODELO'!AY24</f>
        <v>0.0</v>
      </c>
      <c r="BA24" s="6">
        <f>'12_MODELO'!AP24-'12_MODELO'!AQ24</f>
        <v>2.3283064365386963e-10</v>
      </c>
      <c r="BB24" s="6">
        <f>'08_PREMISSAS'!O24</f>
        <v>47.0</v>
      </c>
      <c r="BC24" s="6">
        <f>'08_PREMISSAS'!P24</f>
        <v>52.0</v>
      </c>
      <c r="BD24" s="6">
        <f>'08_PREMISSAS'!Q24</f>
        <v>35.0</v>
      </c>
      <c r="BE24" s="9">
        <f>'08_PREMISSAS'!R24</f>
        <v>0.085</v>
      </c>
      <c r="BF24" s="9">
        <f>'08_PREMISSAS'!S24</f>
        <v>0.34</v>
      </c>
      <c r="BG24" s="9">
        <f>'08_PREMISSAS'!T24</f>
        <v>0.012</v>
      </c>
      <c r="BH24" s="9">
        <f>'08_PREMISSAS'!U24</f>
        <v>0.01</v>
      </c>
      <c r="BI24" s="9">
        <f>IFERROR('12_MODELO'!N24/'12_MODELO'!E24,0)</f>
        <v>0.08988279592278452</v>
      </c>
      <c r="BJ24" s="9">
        <f>IFERROR('12_MODELO'!T24/'12_MODELO'!E24,0)</f>
        <v>0.04625659109558336</v>
      </c>
      <c r="BK24" s="6">
        <f>'12_MODELO'!AQ24+'12_MODELO'!AR24</f>
        <v>-403290.24886233336</v>
      </c>
      <c r="BL24" s="6">
        <f>'12_MODELO'!U24+'12_MODELO'!V24-'12_MODELO'!X24-'12_MODELO'!Y24-'12_MODELO'!Z24-'12_MODELO'!AA24</f>
        <v>3349263.825874667</v>
      </c>
      <c r="BM24" s="6">
        <f>'12_MODELO'!AG24-'12_MODELO'!AV24</f>
        <v>-53243.66402433347</v>
      </c>
      <c r="BN24" s="6">
        <f>MAX(ABS('15_CONCILIACAO'!F266),ABS('15_CONCILIACAO'!F267),ABS('15_CONCILIACAO'!F268),ABS('15_CONCILIACAO'!F269),ABS('15_CONCILIACAO'!F270),ABS('15_CONCILIACAO'!F271),ABS('15_CONCILIACAO'!F272),ABS('15_CONCILIACAO'!F273),ABS('15_CONCILIACAO'!F274),ABS('15_CONCILIACAO'!F275),ABS('15_CONCILIACAO'!F276),ABS('15_CONCILIACAO'!F277))</f>
        <v>3.4924596548080444e-09</v>
      </c>
      <c r="BO24" s="6">
        <f>'12_MODELO'!AV24+'12_MODELO'!U24+'12_MODELO'!V24</f>
        <v>5812836.693357667</v>
      </c>
      <c r="BP24" s="6">
        <f>'12_MODELO'!AC24-'12_MODELO'!AD24</f>
        <v>1672020.0</v>
      </c>
      <c r="BQ24" s="6">
        <f>MIN('12_MODELO'!AG24,'12_MODELO'!AF24*12)</f>
        <v>216000.0</v>
      </c>
      <c r="BR24" s="6">
        <f>'12_MODELO'!AG24-'12_MODELO'!BQ24</f>
        <v>520000.0</v>
      </c>
      <c r="BS24" s="6">
        <f>'12_MODELO'!AX24-'12_MODELO'!BR24</f>
        <v>1890329.2034586668</v>
      </c>
      <c r="BT24" s="6">
        <f>'12_MODELO'!BR24</f>
        <v>520000.0</v>
      </c>
      <c r="BU24" s="6">
        <f>IFERROR('12_MODELO'!BO24/'12_MODELO'!BS24,0)</f>
        <v>3.0750393543739</v>
      </c>
    </row>
    <row r="25" spans="1:73">
      <c r="A25" s="5">
        <v>45992</v>
      </c>
      <c r="B25" t="s">
        <v>78</v>
      </c>
      <c r="C25" s="6">
        <f>SUMIFS('09_VENDAS'!I$2:I$433,'09_VENDAS'!A$2:A$433,'12_MODELO'!A25)</f>
        <v>1695124.08</v>
      </c>
      <c r="D25" s="6">
        <f>'12_MODELO'!C25*'12_MODELO'!BE25</f>
        <v>144085.5468</v>
      </c>
      <c r="E25" s="6">
        <f>'12_MODELO'!C25-'12_MODELO'!D25</f>
        <v>1551038.5332</v>
      </c>
      <c r="F25" s="6">
        <f>SUMIFS('09_VENDAS'!J$2:J$433,'09_VENDAS'!A$2:A$433,'12_MODELO'!A25)</f>
        <v>1161908.16</v>
      </c>
      <c r="G25" s="6">
        <f>'12_MODELO'!E25-'12_MODELO'!F25</f>
        <v>389130.37320000003</v>
      </c>
      <c r="H25" s="6">
        <f>SUMIFS('10_DESPESAS'!D$2:D$123,'10_DESPESAS'!A$2:A$123,'12_MODELO'!A25,'10_DESPESAS'!B$2:B$123,"Pessoal")</f>
        <v>110162.0</v>
      </c>
      <c r="I25" s="6">
        <f>SUMIFS('10_DESPESAS'!D$2:D$123,'10_DESPESAS'!A$2:A$123,'12_MODELO'!A25,'10_DESPESAS'!B$2:B$123,"Comercial")</f>
        <v>61024.47</v>
      </c>
      <c r="J25" s="6">
        <f>SUMIFS('10_DESPESAS'!D$2:D$123,'10_DESPESAS'!A$2:A$123,'12_MODELO'!A25,'10_DESPESAS'!B$2:B$123,"Administrativo")</f>
        <v>33920.0</v>
      </c>
      <c r="K25" s="6">
        <f>SUMIFS('10_DESPESAS'!D$2:D$123,'10_DESPESAS'!A$2:A$123,'12_MODELO'!A25,'10_DESPESAS'!B$2:B$123,"Tecnologia")</f>
        <v>20160.0</v>
      </c>
      <c r="L25" s="6">
        <f>SUMIFS('10_DESPESAS'!D$2:D$123,'10_DESPESAS'!A$2:A$123,'12_MODELO'!A25,'10_DESPESAS'!B$2:B$123,"Operações")</f>
        <v>37292.73</v>
      </c>
      <c r="M25" s="6">
        <f>SUM('12_MODELO'!H25:'12_MODELO'!L25)</f>
        <v>262559.2</v>
      </c>
      <c r="N25" s="6">
        <f>'12_MODELO'!G25-'12_MODELO'!M25</f>
        <v>126571.17320000002</v>
      </c>
      <c r="O25" s="6">
        <f>MIN('12_MODELO'!AC24*'12_MODELO'!BH25,'12_MODELO'!AC24-'12_MODELO'!AD24+'12_MODELO'!AB25)</f>
        <v>24180.0</v>
      </c>
      <c r="P25" s="6">
        <f>'12_MODELO'!N25-'12_MODELO'!O25</f>
        <v>102391.17320000002</v>
      </c>
      <c r="Q25" s="6">
        <f>'12_MODELO'!AG24*'12_MODELO'!BG25</f>
        <v>8832.0</v>
      </c>
      <c r="R25" s="6">
        <f>'12_MODELO'!P25-'12_MODELO'!Q25</f>
        <v>93559.17320000002</v>
      </c>
      <c r="S25" s="6">
        <f>MAX(0,'12_MODELO'!R25)*'12_MODELO'!BF25</f>
        <v>31810.118888000008</v>
      </c>
      <c r="T25" s="6">
        <f>'12_MODELO'!R25-'12_MODELO'!S25</f>
        <v>61749.05431200001</v>
      </c>
      <c r="U25" s="6">
        <f>'12_MODELO'!C25*'12_MODELO'!BB25/30</f>
        <v>2655694.392</v>
      </c>
      <c r="V25" s="6">
        <f>'12_MODELO'!F25*'12_MODELO'!BC25/30</f>
        <v>2013974.1439999999</v>
      </c>
      <c r="W25" s="6">
        <f>'12_MODELO'!F25+'12_MODELO'!V25-'12_MODELO'!V24</f>
        <v>1010539.0026666662</v>
      </c>
      <c r="X25" s="6">
        <f>'12_MODELO'!F25*'12_MODELO'!BD25/30</f>
        <v>1355559.5199999998</v>
      </c>
      <c r="Y25" s="6">
        <f>'12_MODELO'!H25*20%</f>
        <v>22032.4</v>
      </c>
      <c r="Z25" s="6">
        <f>'12_MODELO'!D25</f>
        <v>144085.5468</v>
      </c>
      <c r="AA25" s="6">
        <f>'12_MODELO'!S25</f>
        <v>31810.118888000008</v>
      </c>
      <c r="AB25" s="6">
        <f>'08_PREMISSAS'!V25</f>
        <v>90000.0</v>
      </c>
      <c r="AC25" s="6">
        <f>'12_MODELO'!AC24+'12_MODELO'!AB25</f>
        <v>2508000.0</v>
      </c>
      <c r="AD25" s="6">
        <f>'12_MODELO'!AD24+'12_MODELO'!O25</f>
        <v>770160.0</v>
      </c>
      <c r="AE25" s="6">
        <f>'08_PREMISSAS'!W25</f>
        <v>0.0</v>
      </c>
      <c r="AF25" s="6">
        <f>'08_PREMISSAS'!X25</f>
        <v>18000.0</v>
      </c>
      <c r="AG25" s="6">
        <f>'12_MODELO'!AG24+'12_MODELO'!AE25-'12_MODELO'!AF25</f>
        <v>718000.0</v>
      </c>
      <c r="AH25" s="6">
        <f>'08_PREMISSAS'!Y25</f>
        <v>0.0</v>
      </c>
      <c r="AI25" s="6">
        <f>'12_MODELO'!AI24</f>
        <v>3900000.0</v>
      </c>
      <c r="AJ25" s="6">
        <f>'12_MODELO'!AJ24+'12_MODELO'!T25-'12_MODELO'!AH25</f>
        <v>1236276.5442110002</v>
      </c>
      <c r="AK25" s="6">
        <f>'12_MODELO'!U24+'12_MODELO'!C25-'12_MODELO'!U25</f>
        <v>1897679.4160000002</v>
      </c>
      <c r="AL25" s="6">
        <f>'12_MODELO'!X24+'12_MODELO'!W25-'12_MODELO'!X25</f>
        <v>1112422.0893333328</v>
      </c>
      <c r="AM25" s="6">
        <f>'12_MODELO'!M25+'12_MODELO'!Y24-'12_MODELO'!Y25</f>
        <v>262559.2</v>
      </c>
      <c r="AN25" s="6">
        <f>'12_MODELO'!Z24+'12_MODELO'!D25-'12_MODELO'!Z25</f>
        <v>155075.2512</v>
      </c>
      <c r="AO25" s="6">
        <f>'12_MODELO'!AA24+'12_MODELO'!S25-'12_MODELO'!AA25</f>
        <v>39778.945591999975</v>
      </c>
      <c r="AP25" s="6">
        <f>'12_MODELO'!AK25-'12_MODELO'!AL25-'12_MODELO'!AM25-'12_MODELO'!AN25-'12_MODELO'!Q25-'12_MODELO'!AO25</f>
        <v>319011.9298746674</v>
      </c>
      <c r="AQ25" s="6">
        <f>'12_MODELO'!T25+'12_MODELO'!O25-('12_MODELO'!U25-'12_MODELO'!U24)-('12_MODELO'!V25-'12_MODELO'!V24)+('12_MODELO'!X25-'12_MODELO'!X24)+('12_MODELO'!Y25-'12_MODELO'!Y24)+('12_MODELO'!Z25-'12_MODELO'!Z24)+('12_MODELO'!AA25-'12_MODELO'!AA24)</f>
        <v>319011.9298746668</v>
      </c>
      <c r="AR25" s="6">
        <f>-'12_MODELO'!AB25</f>
        <v>-90000.0</v>
      </c>
      <c r="AS25" s="6">
        <f>'12_MODELO'!AE25-'12_MODELO'!AF25-'12_MODELO'!AH25</f>
        <v>-18000.0</v>
      </c>
      <c r="AT25" s="6">
        <f>'12_MODELO'!AQ25+'12_MODELO'!AR25+'12_MODELO'!AS25</f>
        <v>211011.9298746668</v>
      </c>
      <c r="AU25" s="6">
        <f>'12_MODELO'!AV24</f>
        <v>789243.6640243335</v>
      </c>
      <c r="AV25" s="6">
        <f>'12_MODELO'!AU25+'12_MODELO'!AT25</f>
        <v>1000255.5938990002</v>
      </c>
      <c r="AW25" s="6">
        <f>'12_MODELO'!AV25+'12_MODELO'!U25+'12_MODELO'!V25+'12_MODELO'!AC25-'12_MODELO'!AD25</f>
        <v>7407764.129899001</v>
      </c>
      <c r="AX25" s="6">
        <f>'12_MODELO'!X25+'12_MODELO'!Y25+'12_MODELO'!Z25+'12_MODELO'!AA25+'12_MODELO'!AG25</f>
        <v>2271487.5856879996</v>
      </c>
      <c r="AY25" s="6">
        <f>'12_MODELO'!AI25+'12_MODELO'!AJ25</f>
        <v>5136276.544211</v>
      </c>
      <c r="AZ25" s="6">
        <f>'12_MODELO'!AW25-'12_MODELO'!AX25-'12_MODELO'!AY25</f>
        <v>9.313225746154785e-10</v>
      </c>
      <c r="BA25" s="6">
        <f>'12_MODELO'!AP25-'12_MODELO'!AQ25</f>
        <v>5.820766091346741e-10</v>
      </c>
      <c r="BB25" s="6">
        <f>'08_PREMISSAS'!O25</f>
        <v>47.0</v>
      </c>
      <c r="BC25" s="6">
        <f>'08_PREMISSAS'!P25</f>
        <v>52.0</v>
      </c>
      <c r="BD25" s="6">
        <f>'08_PREMISSAS'!Q25</f>
        <v>35.0</v>
      </c>
      <c r="BE25" s="9">
        <f>'08_PREMISSAS'!R25</f>
        <v>0.085</v>
      </c>
      <c r="BF25" s="9">
        <f>'08_PREMISSAS'!S25</f>
        <v>0.34</v>
      </c>
      <c r="BG25" s="9">
        <f>'08_PREMISSAS'!T25</f>
        <v>0.012</v>
      </c>
      <c r="BH25" s="9">
        <f>'08_PREMISSAS'!U25</f>
        <v>0.01</v>
      </c>
      <c r="BI25" s="9">
        <f>IFERROR('12_MODELO'!N25/'12_MODELO'!E25,0)</f>
        <v>0.08160414489436749</v>
      </c>
      <c r="BJ25" s="9">
        <f>IFERROR('12_MODELO'!T25/'12_MODELO'!E25,0)</f>
        <v>0.03981142504861143</v>
      </c>
      <c r="BK25" s="6">
        <f>'12_MODELO'!AQ25+'12_MODELO'!AR25</f>
        <v>229011.9298746668</v>
      </c>
      <c r="BL25" s="6">
        <f>'12_MODELO'!U25+'12_MODELO'!V25-'12_MODELO'!X25-'12_MODELO'!Y25-'12_MODELO'!Z25-'12_MODELO'!AA25</f>
        <v>3116180.9503120007</v>
      </c>
      <c r="BM25" s="6">
        <f>'12_MODELO'!AG25-'12_MODELO'!AV25</f>
        <v>-282255.5938990002</v>
      </c>
      <c r="BN25" s="6">
        <f>MAX(ABS('15_CONCILIACAO'!F278),ABS('15_CONCILIACAO'!F279),ABS('15_CONCILIACAO'!F280),ABS('15_CONCILIACAO'!F281),ABS('15_CONCILIACAO'!F282),ABS('15_CONCILIACAO'!F283),ABS('15_CONCILIACAO'!F284),ABS('15_CONCILIACAO'!F285),ABS('15_CONCILIACAO'!F286),ABS('15_CONCILIACAO'!F287),ABS('15_CONCILIACAO'!F288),ABS('15_CONCILIACAO'!F289))</f>
        <v>4.190951585769653e-09</v>
      </c>
      <c r="BO25" s="6">
        <f>'12_MODELO'!AV25+'12_MODELO'!U25+'12_MODELO'!V25</f>
        <v>5669924.129899001</v>
      </c>
      <c r="BP25" s="6">
        <f>'12_MODELO'!AC25-'12_MODELO'!AD25</f>
        <v>1737840.0</v>
      </c>
      <c r="BQ25" s="6">
        <f>MIN('12_MODELO'!AG25,'12_MODELO'!AF25*12)</f>
        <v>216000.0</v>
      </c>
      <c r="BR25" s="6">
        <f>'12_MODELO'!AG25-'12_MODELO'!BQ25</f>
        <v>502000.0</v>
      </c>
      <c r="BS25" s="6">
        <f>'12_MODELO'!AX25-'12_MODELO'!BR25</f>
        <v>1769487.5856879996</v>
      </c>
      <c r="BT25" s="6">
        <f>'12_MODELO'!BR25</f>
        <v>502000.0</v>
      </c>
      <c r="BU25" s="6">
        <f>IFERROR('12_MODELO'!BO25/'12_MODELO'!BS25,0)</f>
        <v>3.204274602296495</v>
      </c>
    </row>
    <row r="26" spans="1:73">
      <c r="A26" s="5">
        <v>45292</v>
      </c>
      <c r="B26" t="s">
        <v>79</v>
      </c>
      <c r="C26" s="6">
        <f>'08_PREMISSAS'!C26*'08_PREMISSAS'!D26</f>
        <v>888000.0</v>
      </c>
      <c r="D26" s="6">
        <f>'12_MODELO'!C26*'12_MODELO'!BE26</f>
        <v>75480.0</v>
      </c>
      <c r="E26" s="6">
        <f>'12_MODELO'!C26-'12_MODELO'!D26</f>
        <v>812520.0</v>
      </c>
      <c r="F26" s="6">
        <f>'12_MODELO'!C26*'08_PREMISSAS'!E26</f>
        <v>578088.0</v>
      </c>
      <c r="G26" s="6">
        <f>'12_MODELO'!E26-'12_MODELO'!F26</f>
        <v>234432.0</v>
      </c>
      <c r="H26" s="6">
        <f>'08_PREMISSAS'!J26</f>
        <v>95000.0</v>
      </c>
      <c r="I26" s="6">
        <f>'12_MODELO'!C26*'08_PREMISSAS'!F26</f>
        <v>30192.000000000004</v>
      </c>
      <c r="J26" s="6">
        <f>'08_PREMISSAS'!L26</f>
        <v>33000.0</v>
      </c>
      <c r="K26" s="6">
        <f>'08_PREMISSAS'!M26</f>
        <v>19000.0</v>
      </c>
      <c r="L26" s="6">
        <f>'12_MODELO'!C26*'08_PREMISSAS'!G26</f>
        <v>18648.0</v>
      </c>
      <c r="M26" s="6">
        <f>SUM('12_MODELO'!H26:'12_MODELO'!L26)</f>
        <v>195840.0</v>
      </c>
      <c r="N26" s="6">
        <f>'12_MODELO'!G26-'12_MODELO'!M26</f>
        <v>38592.0</v>
      </c>
      <c r="O26" s="6">
        <f>MIN('11_SALDO_INICIAL'!B9*'12_MODELO'!BH26,'11_SALDO_INICIAL'!B9-'11_SALDO_INICIAL'!B10+'12_MODELO'!AB26)</f>
        <v>15000.0</v>
      </c>
      <c r="P26" s="6">
        <f>'12_MODELO'!N26-'12_MODELO'!O26</f>
        <v>23592.0</v>
      </c>
      <c r="Q26" s="6">
        <f>'11_SALDO_INICIAL'!B11*'12_MODELO'!BG26</f>
        <v>9600.0</v>
      </c>
      <c r="R26" s="6">
        <f>'12_MODELO'!P26-'12_MODELO'!Q26</f>
        <v>13992.0</v>
      </c>
      <c r="S26" s="6">
        <f>MAX(0,'12_MODELO'!R26)*'12_MODELO'!BF26</f>
        <v>4757.280000000001</v>
      </c>
      <c r="T26" s="6">
        <f>'12_MODELO'!R26-'12_MODELO'!S26</f>
        <v>9234.72</v>
      </c>
      <c r="U26" s="6">
        <f>'12_MODELO'!C26*'12_MODELO'!BB26/30</f>
        <v>1184000.0</v>
      </c>
      <c r="V26" s="6">
        <f>'12_MODELO'!F26*'12_MODELO'!BC26/30</f>
        <v>867132.0</v>
      </c>
      <c r="W26" s="6">
        <f>'12_MODELO'!F26+'12_MODELO'!V26-'11_SALDO_INICIAL'!B4</f>
        <v>745220.0</v>
      </c>
      <c r="X26" s="6">
        <f>'12_MODELO'!F26*'12_MODELO'!BD26/30</f>
        <v>693705.6</v>
      </c>
      <c r="Y26" s="6">
        <f>'12_MODELO'!H26*20%</f>
        <v>19000.0</v>
      </c>
      <c r="Z26" s="6">
        <f>'12_MODELO'!D26</f>
        <v>75480.0</v>
      </c>
      <c r="AA26" s="6">
        <f>'12_MODELO'!S26</f>
        <v>4757.280000000001</v>
      </c>
      <c r="AB26" s="6">
        <f>'08_PREMISSAS'!V26</f>
        <v>18000.0</v>
      </c>
      <c r="AC26" s="6">
        <f>'11_SALDO_INICIAL'!B9+'12_MODELO'!AB26</f>
        <v>1518000.0</v>
      </c>
      <c r="AD26" s="6">
        <f>'11_SALDO_INICIAL'!B10+'12_MODELO'!O26</f>
        <v>315000.0</v>
      </c>
      <c r="AE26" s="6">
        <f>'08_PREMISSAS'!W26</f>
        <v>0.0</v>
      </c>
      <c r="AF26" s="6">
        <f>'08_PREMISSAS'!X26</f>
        <v>18000.0</v>
      </c>
      <c r="AG26" s="6">
        <f>'11_SALDO_INICIAL'!B11+'12_MODELO'!AE26-'12_MODELO'!AF26</f>
        <v>782000.0</v>
      </c>
      <c r="AH26" s="6">
        <f>'08_PREMISSAS'!Y26</f>
        <v>0.0</v>
      </c>
      <c r="AI26" s="6">
        <f>'11_SALDO_INICIAL'!B12</f>
        <v>3900000.0</v>
      </c>
      <c r="AJ26" s="6">
        <f>'11_SALDO_INICIAL'!B13+'12_MODELO'!T26-'12_MODELO'!AH26</f>
        <v>389234.72</v>
      </c>
      <c r="AK26" s="6">
        <f>'11_SALDO_INICIAL'!B3+'12_MODELO'!C26-'12_MODELO'!U26</f>
        <v>604000.0</v>
      </c>
      <c r="AL26" s="6">
        <f>'11_SALDO_INICIAL'!B5+'12_MODELO'!W26-'12_MODELO'!X26</f>
        <v>601514.4</v>
      </c>
      <c r="AM26" s="6">
        <f>'12_MODELO'!M26+'11_SALDO_INICIAL'!B6-'12_MODELO'!Y26</f>
        <v>216840.0</v>
      </c>
      <c r="AN26" s="6">
        <f>'11_SALDO_INICIAL'!B7+'12_MODELO'!D26-'12_MODELO'!Z26</f>
        <v>80000.0</v>
      </c>
      <c r="AO26" s="6">
        <f>'11_SALDO_INICIAL'!B8+'12_MODELO'!S26-'12_MODELO'!AA26</f>
        <v>50000.0</v>
      </c>
      <c r="AP26" s="6">
        <f>'12_MODELO'!AK26-'12_MODELO'!AL26-'12_MODELO'!AM26-'12_MODELO'!AN26-'12_MODELO'!Q26-'12_MODELO'!AO26</f>
        <v>-353954.4</v>
      </c>
      <c r="AQ26" s="6">
        <f>'12_MODELO'!T26+'12_MODELO'!O26-('12_MODELO'!U26-'11_SALDO_INICIAL'!B3)-('12_MODELO'!V26-'11_SALDO_INICIAL'!B4)+('12_MODELO'!X26-'11_SALDO_INICIAL'!B5)+('12_MODELO'!Y26-'11_SALDO_INICIAL'!B6)+('12_MODELO'!Z26-'11_SALDO_INICIAL'!B7)+('12_MODELO'!AA26-'11_SALDO_INICIAL'!B8)</f>
        <v>-353954.4</v>
      </c>
      <c r="AR26" s="6">
        <f>-'12_MODELO'!AB26</f>
        <v>-18000.0</v>
      </c>
      <c r="AS26" s="6">
        <f>'12_MODELO'!AE26-'12_MODELO'!AF26-'12_MODELO'!AH26</f>
        <v>-18000.0</v>
      </c>
      <c r="AT26" s="6">
        <f>'12_MODELO'!AQ26+'12_MODELO'!AR26+'12_MODELO'!AS26</f>
        <v>-389954.4</v>
      </c>
      <c r="AU26" s="6">
        <f>'11_SALDO_INICIAL'!B2</f>
        <v>3000000.0</v>
      </c>
      <c r="AV26" s="6">
        <f>'12_MODELO'!AU26+'12_MODELO'!AT26</f>
        <v>2610045.6</v>
      </c>
      <c r="AW26" s="6">
        <f>'12_MODELO'!AV26+'12_MODELO'!U26+'12_MODELO'!V26+'12_MODELO'!AC26-'12_MODELO'!AD26</f>
        <v>5864177.6</v>
      </c>
      <c r="AX26" s="6">
        <f>'12_MODELO'!X26+'12_MODELO'!Y26+'12_MODELO'!Z26+'12_MODELO'!AA26+'12_MODELO'!AG26</f>
        <v>1574942.88</v>
      </c>
      <c r="AY26" s="6">
        <f>'12_MODELO'!AI26+'12_MODELO'!AJ26</f>
        <v>4289234.72</v>
      </c>
      <c r="AZ26" s="6">
        <f>'12_MODELO'!AW26-'12_MODELO'!AX26-'12_MODELO'!AY26</f>
        <v>0.0</v>
      </c>
      <c r="BA26" s="6">
        <f>'12_MODELO'!AP26-'12_MODELO'!AQ26</f>
        <v>0.0</v>
      </c>
      <c r="BB26" s="6">
        <f>'08_PREMISSAS'!O26</f>
        <v>40.0</v>
      </c>
      <c r="BC26" s="6">
        <f>'08_PREMISSAS'!P26</f>
        <v>45.0</v>
      </c>
      <c r="BD26" s="6">
        <f>'08_PREMISSAS'!Q26</f>
        <v>36.0</v>
      </c>
      <c r="BE26" s="9">
        <f>'08_PREMISSAS'!R26</f>
        <v>0.085</v>
      </c>
      <c r="BF26" s="9">
        <f>'08_PREMISSAS'!S26</f>
        <v>0.34</v>
      </c>
      <c r="BG26" s="9">
        <f>'08_PREMISSAS'!T26</f>
        <v>0.012</v>
      </c>
      <c r="BH26" s="9">
        <f>'08_PREMISSAS'!U26</f>
        <v>0.01</v>
      </c>
      <c r="BI26" s="9">
        <f>IFERROR('12_MODELO'!N26/'12_MODELO'!E26,0)</f>
        <v>0.04749667700487373</v>
      </c>
      <c r="BJ26" s="9">
        <f>IFERROR('12_MODELO'!T26/'12_MODELO'!E26,0)</f>
        <v>0.011365529463890118</v>
      </c>
      <c r="BK26" s="6">
        <f>'12_MODELO'!AQ26+'12_MODELO'!AR26</f>
        <v>-371954.4</v>
      </c>
      <c r="BL26" s="6">
        <f>'12_MODELO'!U26+'12_MODELO'!V26-'12_MODELO'!X26-'12_MODELO'!Y26-'12_MODELO'!Z26-'12_MODELO'!AA26</f>
        <v>1258189.1199999999</v>
      </c>
      <c r="BM26" s="6">
        <f>'12_MODELO'!AG26-'12_MODELO'!AV26</f>
        <v>-1828045.6</v>
      </c>
      <c r="BN26" s="6">
        <f>0</f>
        <v>0</v>
      </c>
      <c r="BO26" s="6">
        <f>'12_MODELO'!AV26+'12_MODELO'!U26+'12_MODELO'!V26</f>
        <v>4661177.6</v>
      </c>
      <c r="BP26" s="6">
        <f>'12_MODELO'!AC26-'12_MODELO'!AD26</f>
        <v>1203000.0</v>
      </c>
      <c r="BQ26" s="6">
        <f>MIN('12_MODELO'!AG26,'12_MODELO'!AF26*12)</f>
        <v>216000.0</v>
      </c>
      <c r="BR26" s="6">
        <f>'12_MODELO'!AG26-'12_MODELO'!BQ26</f>
        <v>566000.0</v>
      </c>
      <c r="BS26" s="6">
        <f>'12_MODELO'!AX26-'12_MODELO'!BR26</f>
        <v>1008942.8799999999</v>
      </c>
      <c r="BT26" s="6">
        <f>'12_MODELO'!BR26</f>
        <v>566000.0</v>
      </c>
      <c r="BU26" s="6">
        <f>IFERROR('12_MODELO'!BO26/'12_MODELO'!BS26,0)</f>
        <v>4.619862722060143</v>
      </c>
    </row>
    <row r="27" spans="1:73">
      <c r="A27" s="5">
        <v>45323</v>
      </c>
      <c r="B27" t="s">
        <v>79</v>
      </c>
      <c r="C27" s="6">
        <f>'08_PREMISSAS'!C27*'08_PREMISSAS'!D27</f>
        <v>921300.0</v>
      </c>
      <c r="D27" s="6">
        <f>'12_MODELO'!C27*'12_MODELO'!BE27</f>
        <v>78310.5</v>
      </c>
      <c r="E27" s="6">
        <f>'12_MODELO'!C27-'12_MODELO'!D27</f>
        <v>842989.5</v>
      </c>
      <c r="F27" s="6">
        <f>'12_MODELO'!C27*'08_PREMISSAS'!E27</f>
        <v>599766.3</v>
      </c>
      <c r="G27" s="6">
        <f>'12_MODELO'!E27-'12_MODELO'!F27</f>
        <v>243223.19999999995</v>
      </c>
      <c r="H27" s="6">
        <f>'08_PREMISSAS'!J27</f>
        <v>95000.0</v>
      </c>
      <c r="I27" s="6">
        <f>'12_MODELO'!C27*'08_PREMISSAS'!F27</f>
        <v>31324.2</v>
      </c>
      <c r="J27" s="6">
        <f>'08_PREMISSAS'!L27</f>
        <v>33000.0</v>
      </c>
      <c r="K27" s="6">
        <f>'08_PREMISSAS'!M27</f>
        <v>19000.0</v>
      </c>
      <c r="L27" s="6">
        <f>'12_MODELO'!C27*'08_PREMISSAS'!G27</f>
        <v>19347.300000000003</v>
      </c>
      <c r="M27" s="6">
        <f>SUM('12_MODELO'!H27:'12_MODELO'!L27)</f>
        <v>197671.5</v>
      </c>
      <c r="N27" s="6">
        <f>'12_MODELO'!G27-'12_MODELO'!M27</f>
        <v>45551.69999999995</v>
      </c>
      <c r="O27" s="6">
        <f>MIN('12_MODELO'!AC26*'12_MODELO'!BH27,'12_MODELO'!AC26-'12_MODELO'!AD26+'12_MODELO'!AB27)</f>
        <v>15180.0</v>
      </c>
      <c r="P27" s="6">
        <f>'12_MODELO'!N27-'12_MODELO'!O27</f>
        <v>30371.699999999953</v>
      </c>
      <c r="Q27" s="6">
        <f>'12_MODELO'!AG26*'12_MODELO'!BG27</f>
        <v>9384.0</v>
      </c>
      <c r="R27" s="6">
        <f>'12_MODELO'!P27-'12_MODELO'!Q27</f>
        <v>20987.699999999953</v>
      </c>
      <c r="S27" s="6">
        <f>MAX(0,'12_MODELO'!R27)*'12_MODELO'!BF27</f>
        <v>7135.817999999985</v>
      </c>
      <c r="T27" s="6">
        <f>'12_MODELO'!R27-'12_MODELO'!S27</f>
        <v>13851.881999999969</v>
      </c>
      <c r="U27" s="6">
        <f>'12_MODELO'!C27*'12_MODELO'!BB27/30</f>
        <v>1228400.0</v>
      </c>
      <c r="V27" s="6">
        <f>'12_MODELO'!F27*'12_MODELO'!BC27/30</f>
        <v>899649.4500000001</v>
      </c>
      <c r="W27" s="6">
        <f>'12_MODELO'!F27+'12_MODELO'!V27-'12_MODELO'!V26</f>
        <v>632283.75</v>
      </c>
      <c r="X27" s="6">
        <f>'12_MODELO'!F27*'12_MODELO'!BD27/30</f>
        <v>719719.56</v>
      </c>
      <c r="Y27" s="6">
        <f>'12_MODELO'!H27*20%</f>
        <v>19000.0</v>
      </c>
      <c r="Z27" s="6">
        <f>'12_MODELO'!D27</f>
        <v>78310.5</v>
      </c>
      <c r="AA27" s="6">
        <f>'12_MODELO'!S27</f>
        <v>7135.817999999985</v>
      </c>
      <c r="AB27" s="6">
        <f>'08_PREMISSAS'!V27</f>
        <v>18000.0</v>
      </c>
      <c r="AC27" s="6">
        <f>'12_MODELO'!AC26+'12_MODELO'!AB27</f>
        <v>1536000.0</v>
      </c>
      <c r="AD27" s="6">
        <f>'12_MODELO'!AD26+'12_MODELO'!O27</f>
        <v>330180.0</v>
      </c>
      <c r="AE27" s="6">
        <f>'08_PREMISSAS'!W27</f>
        <v>0.0</v>
      </c>
      <c r="AF27" s="6">
        <f>'08_PREMISSAS'!X27</f>
        <v>18000.0</v>
      </c>
      <c r="AG27" s="6">
        <f>'12_MODELO'!AG26+'12_MODELO'!AE27-'12_MODELO'!AF27</f>
        <v>764000.0</v>
      </c>
      <c r="AH27" s="6">
        <f>'08_PREMISSAS'!Y27</f>
        <v>0.0</v>
      </c>
      <c r="AI27" s="6">
        <f>'12_MODELO'!AI26</f>
        <v>3900000.0</v>
      </c>
      <c r="AJ27" s="6">
        <f>'12_MODELO'!AJ26+'12_MODELO'!T27-'12_MODELO'!AH27</f>
        <v>403086.60199999996</v>
      </c>
      <c r="AK27" s="6">
        <f>'12_MODELO'!U26+'12_MODELO'!C27-'12_MODELO'!U27</f>
        <v>876900.0</v>
      </c>
      <c r="AL27" s="6">
        <f>'12_MODELO'!X26+'12_MODELO'!W27-'12_MODELO'!X27</f>
        <v>606269.79</v>
      </c>
      <c r="AM27" s="6">
        <f>'12_MODELO'!M27+'12_MODELO'!Y26-'12_MODELO'!Y27</f>
        <v>197671.5</v>
      </c>
      <c r="AN27" s="6">
        <f>'12_MODELO'!Z26+'12_MODELO'!D27-'12_MODELO'!Z27</f>
        <v>75480.0</v>
      </c>
      <c r="AO27" s="6">
        <f>'12_MODELO'!AA26+'12_MODELO'!S27-'12_MODELO'!AA27</f>
        <v>4757.280000000001</v>
      </c>
      <c r="AP27" s="6">
        <f>'12_MODELO'!AK27-'12_MODELO'!AL27-'12_MODELO'!AM27-'12_MODELO'!AN27-'12_MODELO'!Q27-'12_MODELO'!AO27</f>
        <v>-16662.570000000036</v>
      </c>
      <c r="AQ27" s="6">
        <f>'12_MODELO'!T27+'12_MODELO'!O27-('12_MODELO'!U27-'12_MODELO'!U26)-('12_MODELO'!V27-'12_MODELO'!V26)+('12_MODELO'!X27-'12_MODELO'!X26)+('12_MODELO'!Y27-'12_MODELO'!Y26)+('12_MODELO'!Z27-'12_MODELO'!Z26)+('12_MODELO'!AA27-'12_MODELO'!AA26)</f>
        <v>-16662.570000000036</v>
      </c>
      <c r="AR27" s="6">
        <f>-'12_MODELO'!AB27</f>
        <v>-18000.0</v>
      </c>
      <c r="AS27" s="6">
        <f>'12_MODELO'!AE27-'12_MODELO'!AF27-'12_MODELO'!AH27</f>
        <v>-18000.0</v>
      </c>
      <c r="AT27" s="6">
        <f>'12_MODELO'!AQ27+'12_MODELO'!AR27+'12_MODELO'!AS27</f>
        <v>-52662.570000000036</v>
      </c>
      <c r="AU27" s="6">
        <f>'12_MODELO'!AV26</f>
        <v>2610045.6</v>
      </c>
      <c r="AV27" s="6">
        <f>'12_MODELO'!AU27+'12_MODELO'!AT27</f>
        <v>2557383.0300000003</v>
      </c>
      <c r="AW27" s="6">
        <f>'12_MODELO'!AV27+'12_MODELO'!U27+'12_MODELO'!V27+'12_MODELO'!AC27-'12_MODELO'!AD27</f>
        <v>5891252.48</v>
      </c>
      <c r="AX27" s="6">
        <f>'12_MODELO'!X27+'12_MODELO'!Y27+'12_MODELO'!Z27+'12_MODELO'!AA27+'12_MODELO'!AG27</f>
        <v>1588165.878</v>
      </c>
      <c r="AY27" s="6">
        <f>'12_MODELO'!AI27+'12_MODELO'!AJ27</f>
        <v>4303086.602</v>
      </c>
      <c r="AZ27" s="6">
        <f>'12_MODELO'!AW27-'12_MODELO'!AX27-'12_MODELO'!AY27</f>
        <v>0.0</v>
      </c>
      <c r="BA27" s="6">
        <f>'12_MODELO'!AP27-'12_MODELO'!AQ27</f>
        <v>0.0</v>
      </c>
      <c r="BB27" s="6">
        <f>'08_PREMISSAS'!O27</f>
        <v>40.0</v>
      </c>
      <c r="BC27" s="6">
        <f>'08_PREMISSAS'!P27</f>
        <v>45.0</v>
      </c>
      <c r="BD27" s="6">
        <f>'08_PREMISSAS'!Q27</f>
        <v>36.0</v>
      </c>
      <c r="BE27" s="9">
        <f>'08_PREMISSAS'!R27</f>
        <v>0.085</v>
      </c>
      <c r="BF27" s="9">
        <f>'08_PREMISSAS'!S27</f>
        <v>0.34</v>
      </c>
      <c r="BG27" s="9">
        <f>'08_PREMISSAS'!T27</f>
        <v>0.012</v>
      </c>
      <c r="BH27" s="9">
        <f>'08_PREMISSAS'!U27</f>
        <v>0.01</v>
      </c>
      <c r="BI27" s="9">
        <f>IFERROR('12_MODELO'!N27/'12_MODELO'!E27,0)</f>
        <v>0.054035904361798046</v>
      </c>
      <c r="BJ27" s="9">
        <f>IFERROR('12_MODELO'!T27/'12_MODELO'!E27,0)</f>
        <v>0.01643185591279603</v>
      </c>
      <c r="BK27" s="6">
        <f>'12_MODELO'!AQ27+'12_MODELO'!AR27</f>
        <v>-34662.570000000036</v>
      </c>
      <c r="BL27" s="6">
        <f>'12_MODELO'!U27+'12_MODELO'!V27-'12_MODELO'!X27-'12_MODELO'!Y27-'12_MODELO'!Z27-'12_MODELO'!AA27</f>
        <v>1303883.5720000002</v>
      </c>
      <c r="BM27" s="6">
        <f>'12_MODELO'!AG27-'12_MODELO'!AV27</f>
        <v>-1793383.0300000003</v>
      </c>
      <c r="BN27" s="6">
        <f>0</f>
        <v>0</v>
      </c>
      <c r="BO27" s="6">
        <f>'12_MODELO'!AV27+'12_MODELO'!U27+'12_MODELO'!V27</f>
        <v>4685432.48</v>
      </c>
      <c r="BP27" s="6">
        <f>'12_MODELO'!AC27-'12_MODELO'!AD27</f>
        <v>1205820.0</v>
      </c>
      <c r="BQ27" s="6">
        <f>MIN('12_MODELO'!AG27,'12_MODELO'!AF27*12)</f>
        <v>216000.0</v>
      </c>
      <c r="BR27" s="6">
        <f>'12_MODELO'!AG27-'12_MODELO'!BQ27</f>
        <v>548000.0</v>
      </c>
      <c r="BS27" s="6">
        <f>'12_MODELO'!AX27-'12_MODELO'!BR27</f>
        <v>1040165.878</v>
      </c>
      <c r="BT27" s="6">
        <f>'12_MODELO'!BR27</f>
        <v>548000.0</v>
      </c>
      <c r="BU27" s="6">
        <f>IFERROR('12_MODELO'!BO27/'12_MODELO'!BS27,0)</f>
        <v>4.5045050785640175</v>
      </c>
    </row>
    <row r="28" spans="1:73">
      <c r="A28" s="5">
        <v>45352</v>
      </c>
      <c r="B28" t="s">
        <v>79</v>
      </c>
      <c r="C28" s="6">
        <f>'08_PREMISSAS'!C28*'08_PREMISSAS'!D28</f>
        <v>1098900.0</v>
      </c>
      <c r="D28" s="6">
        <f>'12_MODELO'!C28*'12_MODELO'!BE28</f>
        <v>93406.5</v>
      </c>
      <c r="E28" s="6">
        <f>'12_MODELO'!C28-'12_MODELO'!D28</f>
        <v>1005493.5</v>
      </c>
      <c r="F28" s="6">
        <f>'12_MODELO'!C28*'08_PREMISSAS'!E28</f>
        <v>715383.9</v>
      </c>
      <c r="G28" s="6">
        <f>'12_MODELO'!E28-'12_MODELO'!F28</f>
        <v>290109.6</v>
      </c>
      <c r="H28" s="6">
        <f>'08_PREMISSAS'!J28</f>
        <v>95000.0</v>
      </c>
      <c r="I28" s="6">
        <f>'12_MODELO'!C28*'08_PREMISSAS'!F28</f>
        <v>37362.600000000006</v>
      </c>
      <c r="J28" s="6">
        <f>'08_PREMISSAS'!L28</f>
        <v>33000.0</v>
      </c>
      <c r="K28" s="6">
        <f>'08_PREMISSAS'!M28</f>
        <v>19000.0</v>
      </c>
      <c r="L28" s="6">
        <f>'12_MODELO'!C28*'08_PREMISSAS'!G28</f>
        <v>23076.9</v>
      </c>
      <c r="M28" s="6">
        <f>SUM('12_MODELO'!H28:'12_MODELO'!L28)</f>
        <v>207439.5</v>
      </c>
      <c r="N28" s="6">
        <f>'12_MODELO'!G28-'12_MODELO'!M28</f>
        <v>82670.09999999998</v>
      </c>
      <c r="O28" s="6">
        <f>MIN('12_MODELO'!AC27*'12_MODELO'!BH28,'12_MODELO'!AC27-'12_MODELO'!AD27+'12_MODELO'!AB28)</f>
        <v>15360.0</v>
      </c>
      <c r="P28" s="6">
        <f>'12_MODELO'!N28-'12_MODELO'!O28</f>
        <v>67310.09999999998</v>
      </c>
      <c r="Q28" s="6">
        <f>'12_MODELO'!AG27*'12_MODELO'!BG28</f>
        <v>9168.0</v>
      </c>
      <c r="R28" s="6">
        <f>'12_MODELO'!P28-'12_MODELO'!Q28</f>
        <v>58142.09999999998</v>
      </c>
      <c r="S28" s="6">
        <f>MAX(0,'12_MODELO'!R28)*'12_MODELO'!BF28</f>
        <v>19768.313999999995</v>
      </c>
      <c r="T28" s="6">
        <f>'12_MODELO'!R28-'12_MODELO'!S28</f>
        <v>38373.78599999998</v>
      </c>
      <c r="U28" s="6">
        <f>'12_MODELO'!C28*'12_MODELO'!BB28/30</f>
        <v>1465200.0</v>
      </c>
      <c r="V28" s="6">
        <f>'12_MODELO'!F28*'12_MODELO'!BC28/30</f>
        <v>1073075.85</v>
      </c>
      <c r="W28" s="6">
        <f>'12_MODELO'!F28+'12_MODELO'!V28-'12_MODELO'!V27</f>
        <v>888810.2999999999</v>
      </c>
      <c r="X28" s="6">
        <f>'12_MODELO'!F28*'12_MODELO'!BD28/30</f>
        <v>858460.68</v>
      </c>
      <c r="Y28" s="6">
        <f>'12_MODELO'!H28*20%</f>
        <v>19000.0</v>
      </c>
      <c r="Z28" s="6">
        <f>'12_MODELO'!D28</f>
        <v>93406.5</v>
      </c>
      <c r="AA28" s="6">
        <f>'12_MODELO'!S28</f>
        <v>19768.313999999995</v>
      </c>
      <c r="AB28" s="6">
        <f>'08_PREMISSAS'!V28</f>
        <v>90000.0</v>
      </c>
      <c r="AC28" s="6">
        <f>'12_MODELO'!AC27+'12_MODELO'!AB28</f>
        <v>1626000.0</v>
      </c>
      <c r="AD28" s="6">
        <f>'12_MODELO'!AD27+'12_MODELO'!O28</f>
        <v>345540.0</v>
      </c>
      <c r="AE28" s="6">
        <f>'08_PREMISSAS'!W28</f>
        <v>0.0</v>
      </c>
      <c r="AF28" s="6">
        <f>'08_PREMISSAS'!X28</f>
        <v>18000.0</v>
      </c>
      <c r="AG28" s="6">
        <f>'12_MODELO'!AG27+'12_MODELO'!AE28-'12_MODELO'!AF28</f>
        <v>746000.0</v>
      </c>
      <c r="AH28" s="6">
        <f>'08_PREMISSAS'!Y28</f>
        <v>0.0</v>
      </c>
      <c r="AI28" s="6">
        <f>'12_MODELO'!AI27</f>
        <v>3900000.0</v>
      </c>
      <c r="AJ28" s="6">
        <f>'12_MODELO'!AJ27+'12_MODELO'!T28-'12_MODELO'!AH28</f>
        <v>441460.3879999999</v>
      </c>
      <c r="AK28" s="6">
        <f>'12_MODELO'!U27+'12_MODELO'!C28-'12_MODELO'!U28</f>
        <v>862100.0</v>
      </c>
      <c r="AL28" s="6">
        <f>'12_MODELO'!X27+'12_MODELO'!W28-'12_MODELO'!X28</f>
        <v>750069.1799999998</v>
      </c>
      <c r="AM28" s="6">
        <f>'12_MODELO'!M28+'12_MODELO'!Y27-'12_MODELO'!Y28</f>
        <v>207439.5</v>
      </c>
      <c r="AN28" s="6">
        <f>'12_MODELO'!Z27+'12_MODELO'!D28-'12_MODELO'!Z28</f>
        <v>78310.5</v>
      </c>
      <c r="AO28" s="6">
        <f>'12_MODELO'!AA27+'12_MODELO'!S28-'12_MODELO'!AA28</f>
        <v>7135.817999999985</v>
      </c>
      <c r="AP28" s="6">
        <f>'12_MODELO'!AK28-'12_MODELO'!AL28-'12_MODELO'!AM28-'12_MODELO'!AN28-'12_MODELO'!Q28-'12_MODELO'!AO28</f>
        <v>-190022.9979999998</v>
      </c>
      <c r="AQ28" s="6">
        <f>'12_MODELO'!T28+'12_MODELO'!O28-('12_MODELO'!U28-'12_MODELO'!U27)-('12_MODELO'!V28-'12_MODELO'!V27)+('12_MODELO'!X28-'12_MODELO'!X27)+('12_MODELO'!Y28-'12_MODELO'!Y27)+('12_MODELO'!Z28-'12_MODELO'!Z27)+('12_MODELO'!AA28-'12_MODELO'!AA27)</f>
        <v>-190022.99800000005</v>
      </c>
      <c r="AR28" s="6">
        <f>-'12_MODELO'!AB28</f>
        <v>-90000.0</v>
      </c>
      <c r="AS28" s="6">
        <f>'12_MODELO'!AE28-'12_MODELO'!AF28-'12_MODELO'!AH28</f>
        <v>-18000.0</v>
      </c>
      <c r="AT28" s="6">
        <f>'12_MODELO'!AQ28+'12_MODELO'!AR28+'12_MODELO'!AS28</f>
        <v>-298022.998</v>
      </c>
      <c r="AU28" s="6">
        <f>'12_MODELO'!AV27</f>
        <v>2557383.0300000003</v>
      </c>
      <c r="AV28" s="6">
        <f>'12_MODELO'!AU28+'12_MODELO'!AT28</f>
        <v>2259360.032</v>
      </c>
      <c r="AW28" s="6">
        <f>'12_MODELO'!AV28+'12_MODELO'!U28+'12_MODELO'!V28+'12_MODELO'!AC28-'12_MODELO'!AD28</f>
        <v>6078095.882</v>
      </c>
      <c r="AX28" s="6">
        <f>'12_MODELO'!X28+'12_MODELO'!Y28+'12_MODELO'!Z28+'12_MODELO'!AA28+'12_MODELO'!AG28</f>
        <v>1736635.494</v>
      </c>
      <c r="AY28" s="6">
        <f>'12_MODELO'!AI28+'12_MODELO'!AJ28</f>
        <v>4341460.388</v>
      </c>
      <c r="AZ28" s="6">
        <f>'12_MODELO'!AW28-'12_MODELO'!AX28-'12_MODELO'!AY28</f>
        <v>0.0</v>
      </c>
      <c r="BA28" s="6">
        <f>'12_MODELO'!AP28-'12_MODELO'!AQ28</f>
        <v>2.6193447411060333e-10</v>
      </c>
      <c r="BB28" s="6">
        <f>'08_PREMISSAS'!O28</f>
        <v>40.0</v>
      </c>
      <c r="BC28" s="6">
        <f>'08_PREMISSAS'!P28</f>
        <v>45.0</v>
      </c>
      <c r="BD28" s="6">
        <f>'08_PREMISSAS'!Q28</f>
        <v>36.0</v>
      </c>
      <c r="BE28" s="9">
        <f>'08_PREMISSAS'!R28</f>
        <v>0.085</v>
      </c>
      <c r="BF28" s="9">
        <f>'08_PREMISSAS'!S28</f>
        <v>0.34</v>
      </c>
      <c r="BG28" s="9">
        <f>'08_PREMISSAS'!T28</f>
        <v>0.012</v>
      </c>
      <c r="BH28" s="9">
        <f>'08_PREMISSAS'!U28</f>
        <v>0.01</v>
      </c>
      <c r="BI28" s="9">
        <f>IFERROR('12_MODELO'!N28/'12_MODELO'!E28,0)</f>
        <v>0.08221843303810515</v>
      </c>
      <c r="BJ28" s="9">
        <f>IFERROR('12_MODELO'!T28/'12_MODELO'!E28,0)</f>
        <v>0.038164131344459194</v>
      </c>
      <c r="BK28" s="6">
        <f>'12_MODELO'!AQ28+'12_MODELO'!AR28</f>
        <v>-280022.998</v>
      </c>
      <c r="BL28" s="6">
        <f>'12_MODELO'!U28+'12_MODELO'!V28-'12_MODELO'!X28-'12_MODELO'!Y28-'12_MODELO'!Z28-'12_MODELO'!AA28</f>
        <v>1547640.356</v>
      </c>
      <c r="BM28" s="6">
        <f>'12_MODELO'!AG28-'12_MODELO'!AV28</f>
        <v>-1513360.0320000001</v>
      </c>
      <c r="BN28" s="6">
        <f>0</f>
        <v>0</v>
      </c>
      <c r="BO28" s="6">
        <f>'12_MODELO'!AV28+'12_MODELO'!U28+'12_MODELO'!V28</f>
        <v>4797635.882</v>
      </c>
      <c r="BP28" s="6">
        <f>'12_MODELO'!AC28-'12_MODELO'!AD28</f>
        <v>1280460.0</v>
      </c>
      <c r="BQ28" s="6">
        <f>MIN('12_MODELO'!AG28,'12_MODELO'!AF28*12)</f>
        <v>216000.0</v>
      </c>
      <c r="BR28" s="6">
        <f>'12_MODELO'!AG28-'12_MODELO'!BQ28</f>
        <v>530000.0</v>
      </c>
      <c r="BS28" s="6">
        <f>'12_MODELO'!AX28-'12_MODELO'!BR28</f>
        <v>1206635.494</v>
      </c>
      <c r="BT28" s="6">
        <f>'12_MODELO'!BR28</f>
        <v>530000.0</v>
      </c>
      <c r="BU28" s="6">
        <f>IFERROR('12_MODELO'!BO28/'12_MODELO'!BS28,0)</f>
        <v>3.9760440546099174</v>
      </c>
    </row>
    <row r="29" spans="1:73">
      <c r="A29" s="5">
        <v>45383</v>
      </c>
      <c r="B29" t="s">
        <v>79</v>
      </c>
      <c r="C29" s="6">
        <f>'08_PREMISSAS'!C29*'08_PREMISSAS'!D29</f>
        <v>1076700.0</v>
      </c>
      <c r="D29" s="6">
        <f>'12_MODELO'!C29*'12_MODELO'!BE29</f>
        <v>91519.5</v>
      </c>
      <c r="E29" s="6">
        <f>'12_MODELO'!C29-'12_MODELO'!D29</f>
        <v>985180.5</v>
      </c>
      <c r="F29" s="6">
        <f>'12_MODELO'!C29*'08_PREMISSAS'!E29</f>
        <v>700931.7000000001</v>
      </c>
      <c r="G29" s="6">
        <f>'12_MODELO'!E29-'12_MODELO'!F29</f>
        <v>284248.79999999993</v>
      </c>
      <c r="H29" s="6">
        <f>'08_PREMISSAS'!J29</f>
        <v>95000.0</v>
      </c>
      <c r="I29" s="6">
        <f>'12_MODELO'!C29*'08_PREMISSAS'!F29</f>
        <v>36607.8</v>
      </c>
      <c r="J29" s="6">
        <f>'08_PREMISSAS'!L29</f>
        <v>33000.0</v>
      </c>
      <c r="K29" s="6">
        <f>'08_PREMISSAS'!M29</f>
        <v>19000.0</v>
      </c>
      <c r="L29" s="6">
        <f>'12_MODELO'!C29*'08_PREMISSAS'!G29</f>
        <v>22610.7</v>
      </c>
      <c r="M29" s="6">
        <f>SUM('12_MODELO'!H29:'12_MODELO'!L29)</f>
        <v>206218.5</v>
      </c>
      <c r="N29" s="6">
        <f>'12_MODELO'!G29-'12_MODELO'!M29</f>
        <v>78030.29999999993</v>
      </c>
      <c r="O29" s="6">
        <f>MIN('12_MODELO'!AC28*'12_MODELO'!BH29,'12_MODELO'!AC28-'12_MODELO'!AD28+'12_MODELO'!AB29)</f>
        <v>16260.0</v>
      </c>
      <c r="P29" s="6">
        <f>'12_MODELO'!N29-'12_MODELO'!O29</f>
        <v>61770.29999999993</v>
      </c>
      <c r="Q29" s="6">
        <f>'12_MODELO'!AG28*'12_MODELO'!BG29</f>
        <v>8952.0</v>
      </c>
      <c r="R29" s="6">
        <f>'12_MODELO'!P29-'12_MODELO'!Q29</f>
        <v>52818.29999999993</v>
      </c>
      <c r="S29" s="6">
        <f>MAX(0,'12_MODELO'!R29)*'12_MODELO'!BF29</f>
        <v>17958.221999999976</v>
      </c>
      <c r="T29" s="6">
        <f>'12_MODELO'!R29-'12_MODELO'!S29</f>
        <v>34860.07799999995</v>
      </c>
      <c r="U29" s="6">
        <f>'12_MODELO'!C29*'12_MODELO'!BB29/30</f>
        <v>1435600.0</v>
      </c>
      <c r="V29" s="6">
        <f>'12_MODELO'!F29*'12_MODELO'!BC29/30</f>
        <v>1051397.55</v>
      </c>
      <c r="W29" s="6">
        <f>'12_MODELO'!F29+'12_MODELO'!V29-'12_MODELO'!V28</f>
        <v>679253.3999999999</v>
      </c>
      <c r="X29" s="6">
        <f>'12_MODELO'!F29*'12_MODELO'!BD29/30</f>
        <v>841118.0400000002</v>
      </c>
      <c r="Y29" s="6">
        <f>'12_MODELO'!H29*20%</f>
        <v>19000.0</v>
      </c>
      <c r="Z29" s="6">
        <f>'12_MODELO'!D29</f>
        <v>91519.5</v>
      </c>
      <c r="AA29" s="6">
        <f>'12_MODELO'!S29</f>
        <v>17958.221999999976</v>
      </c>
      <c r="AB29" s="6">
        <f>'08_PREMISSAS'!V29</f>
        <v>18000.0</v>
      </c>
      <c r="AC29" s="6">
        <f>'12_MODELO'!AC28+'12_MODELO'!AB29</f>
        <v>1644000.0</v>
      </c>
      <c r="AD29" s="6">
        <f>'12_MODELO'!AD28+'12_MODELO'!O29</f>
        <v>361800.0</v>
      </c>
      <c r="AE29" s="6">
        <f>'08_PREMISSAS'!W29</f>
        <v>0.0</v>
      </c>
      <c r="AF29" s="6">
        <f>'08_PREMISSAS'!X29</f>
        <v>18000.0</v>
      </c>
      <c r="AG29" s="6">
        <f>'12_MODELO'!AG28+'12_MODELO'!AE29-'12_MODELO'!AF29</f>
        <v>728000.0</v>
      </c>
      <c r="AH29" s="6">
        <f>'08_PREMISSAS'!Y29</f>
        <v>0.0</v>
      </c>
      <c r="AI29" s="6">
        <f>'12_MODELO'!AI28</f>
        <v>3900000.0</v>
      </c>
      <c r="AJ29" s="6">
        <f>'12_MODELO'!AJ28+'12_MODELO'!T29-'12_MODELO'!AH29</f>
        <v>476320.4659999999</v>
      </c>
      <c r="AK29" s="6">
        <f>'12_MODELO'!U28+'12_MODELO'!C29-'12_MODELO'!U29</f>
        <v>1106300.0</v>
      </c>
      <c r="AL29" s="6">
        <f>'12_MODELO'!X28+'12_MODELO'!W29-'12_MODELO'!X29</f>
        <v>696596.0399999999</v>
      </c>
      <c r="AM29" s="6">
        <f>'12_MODELO'!M29+'12_MODELO'!Y28-'12_MODELO'!Y29</f>
        <v>206218.5</v>
      </c>
      <c r="AN29" s="6">
        <f>'12_MODELO'!Z28+'12_MODELO'!D29-'12_MODELO'!Z29</f>
        <v>93406.5</v>
      </c>
      <c r="AO29" s="6">
        <f>'12_MODELO'!AA28+'12_MODELO'!S29-'12_MODELO'!AA29</f>
        <v>19768.313999999995</v>
      </c>
      <c r="AP29" s="6">
        <f>'12_MODELO'!AK29-'12_MODELO'!AL29-'12_MODELO'!AM29-'12_MODELO'!AN29-'12_MODELO'!Q29-'12_MODELO'!AO29</f>
        <v>81358.64600000008</v>
      </c>
      <c r="AQ29" s="6">
        <f>'12_MODELO'!T29+'12_MODELO'!O29-('12_MODELO'!U29-'12_MODELO'!U28)-('12_MODELO'!V29-'12_MODELO'!V28)+('12_MODELO'!X29-'12_MODELO'!X28)+('12_MODELO'!Y29-'12_MODELO'!Y28)+('12_MODELO'!Z29-'12_MODELO'!Z28)+('12_MODELO'!AA29-'12_MODELO'!AA28)</f>
        <v>81358.64600000008</v>
      </c>
      <c r="AR29" s="6">
        <f>-'12_MODELO'!AB29</f>
        <v>-18000.0</v>
      </c>
      <c r="AS29" s="6">
        <f>'12_MODELO'!AE29-'12_MODELO'!AF29-'12_MODELO'!AH29</f>
        <v>-18000.0</v>
      </c>
      <c r="AT29" s="6">
        <f>'12_MODELO'!AQ29+'12_MODELO'!AR29+'12_MODELO'!AS29</f>
        <v>45358.64600000008</v>
      </c>
      <c r="AU29" s="6">
        <f>'12_MODELO'!AV28</f>
        <v>2259360.032</v>
      </c>
      <c r="AV29" s="6">
        <f>'12_MODELO'!AU29+'12_MODELO'!AT29</f>
        <v>2304718.6780000003</v>
      </c>
      <c r="AW29" s="6">
        <f>'12_MODELO'!AV29+'12_MODELO'!U29+'12_MODELO'!V29+'12_MODELO'!AC29-'12_MODELO'!AD29</f>
        <v>6073916.228</v>
      </c>
      <c r="AX29" s="6">
        <f>'12_MODELO'!X29+'12_MODELO'!Y29+'12_MODELO'!Z29+'12_MODELO'!AA29+'12_MODELO'!AG29</f>
        <v>1697595.762</v>
      </c>
      <c r="AY29" s="6">
        <f>'12_MODELO'!AI29+'12_MODELO'!AJ29</f>
        <v>4376320.466</v>
      </c>
      <c r="AZ29" s="6">
        <f>'12_MODELO'!AW29-'12_MODELO'!AX29-'12_MODELO'!AY29</f>
        <v>0.0</v>
      </c>
      <c r="BA29" s="6">
        <f>'12_MODELO'!AP29-'12_MODELO'!AQ29</f>
        <v>0.0</v>
      </c>
      <c r="BB29" s="6">
        <f>'08_PREMISSAS'!O29</f>
        <v>40.0</v>
      </c>
      <c r="BC29" s="6">
        <f>'08_PREMISSAS'!P29</f>
        <v>45.0</v>
      </c>
      <c r="BD29" s="6">
        <f>'08_PREMISSAS'!Q29</f>
        <v>36.0</v>
      </c>
      <c r="BE29" s="9">
        <f>'08_PREMISSAS'!R29</f>
        <v>0.085</v>
      </c>
      <c r="BF29" s="9">
        <f>'08_PREMISSAS'!S29</f>
        <v>0.34</v>
      </c>
      <c r="BG29" s="9">
        <f>'08_PREMISSAS'!T29</f>
        <v>0.012</v>
      </c>
      <c r="BH29" s="9">
        <f>'08_PREMISSAS'!U29</f>
        <v>0.01</v>
      </c>
      <c r="BI29" s="9">
        <f>IFERROR('12_MODELO'!N29/'12_MODELO'!E29,0)</f>
        <v>0.07920406463587122</v>
      </c>
      <c r="BJ29" s="9">
        <f>IFERROR('12_MODELO'!T29/'12_MODELO'!E29,0)</f>
        <v>0.03538445797495987</v>
      </c>
      <c r="BK29" s="6">
        <f>'12_MODELO'!AQ29+'12_MODELO'!AR29</f>
        <v>63358.64600000008</v>
      </c>
      <c r="BL29" s="6">
        <f>'12_MODELO'!U29+'12_MODELO'!V29-'12_MODELO'!X29-'12_MODELO'!Y29-'12_MODELO'!Z29-'12_MODELO'!AA29</f>
        <v>1517401.7879999997</v>
      </c>
      <c r="BM29" s="6">
        <f>'12_MODELO'!AG29-'12_MODELO'!AV29</f>
        <v>-1576718.6780000003</v>
      </c>
      <c r="BN29" s="6">
        <f>0</f>
        <v>0</v>
      </c>
      <c r="BO29" s="6">
        <f>'12_MODELO'!AV29+'12_MODELO'!U29+'12_MODELO'!V29</f>
        <v>4791716.228</v>
      </c>
      <c r="BP29" s="6">
        <f>'12_MODELO'!AC29-'12_MODELO'!AD29</f>
        <v>1282200.0</v>
      </c>
      <c r="BQ29" s="6">
        <f>MIN('12_MODELO'!AG29,'12_MODELO'!AF29*12)</f>
        <v>216000.0</v>
      </c>
      <c r="BR29" s="6">
        <f>'12_MODELO'!AG29-'12_MODELO'!BQ29</f>
        <v>512000.0</v>
      </c>
      <c r="BS29" s="6">
        <f>'12_MODELO'!AX29-'12_MODELO'!BR29</f>
        <v>1185595.762</v>
      </c>
      <c r="BT29" s="6">
        <f>'12_MODELO'!BR29</f>
        <v>512000.0</v>
      </c>
      <c r="BU29" s="6">
        <f>IFERROR('12_MODELO'!BO29/'12_MODELO'!BS29,0)</f>
        <v>4.041610455756673</v>
      </c>
    </row>
    <row r="30" spans="1:73">
      <c r="A30" s="5">
        <v>45413</v>
      </c>
      <c r="B30" t="s">
        <v>79</v>
      </c>
      <c r="C30" s="6">
        <f>'08_PREMISSAS'!C30*'08_PREMISSAS'!D30</f>
        <v>1143300.0</v>
      </c>
      <c r="D30" s="6">
        <f>'12_MODELO'!C30*'12_MODELO'!BE30</f>
        <v>97180.5</v>
      </c>
      <c r="E30" s="6">
        <f>'12_MODELO'!C30-'12_MODELO'!D30</f>
        <v>1046119.5</v>
      </c>
      <c r="F30" s="6">
        <f>'12_MODELO'!C30*'08_PREMISSAS'!E30</f>
        <v>744288.3</v>
      </c>
      <c r="G30" s="6">
        <f>'12_MODELO'!E30-'12_MODELO'!F30</f>
        <v>301831.19999999995</v>
      </c>
      <c r="H30" s="6">
        <f>'08_PREMISSAS'!J30</f>
        <v>95000.0</v>
      </c>
      <c r="I30" s="6">
        <f>'12_MODELO'!C30*'08_PREMISSAS'!F30</f>
        <v>38872.200000000004</v>
      </c>
      <c r="J30" s="6">
        <f>'08_PREMISSAS'!L30</f>
        <v>33000.0</v>
      </c>
      <c r="K30" s="6">
        <f>'08_PREMISSAS'!M30</f>
        <v>19000.0</v>
      </c>
      <c r="L30" s="6">
        <f>'12_MODELO'!C30*'08_PREMISSAS'!G30</f>
        <v>24009.300000000003</v>
      </c>
      <c r="M30" s="6">
        <f>SUM('12_MODELO'!H30:'12_MODELO'!L30)</f>
        <v>209881.5</v>
      </c>
      <c r="N30" s="6">
        <f>'12_MODELO'!G30-'12_MODELO'!M30</f>
        <v>91949.69999999995</v>
      </c>
      <c r="O30" s="6">
        <f>MIN('12_MODELO'!AC29*'12_MODELO'!BH30,'12_MODELO'!AC29-'12_MODELO'!AD29+'12_MODELO'!AB30)</f>
        <v>16440.0</v>
      </c>
      <c r="P30" s="6">
        <f>'12_MODELO'!N30-'12_MODELO'!O30</f>
        <v>75509.69999999995</v>
      </c>
      <c r="Q30" s="6">
        <f>'12_MODELO'!AG29*'12_MODELO'!BG30</f>
        <v>8736.0</v>
      </c>
      <c r="R30" s="6">
        <f>'12_MODELO'!P30-'12_MODELO'!Q30</f>
        <v>66773.69999999995</v>
      </c>
      <c r="S30" s="6">
        <f>MAX(0,'12_MODELO'!R30)*'12_MODELO'!BF30</f>
        <v>22703.057999999986</v>
      </c>
      <c r="T30" s="6">
        <f>'12_MODELO'!R30-'12_MODELO'!S30</f>
        <v>44070.64199999996</v>
      </c>
      <c r="U30" s="6">
        <f>'12_MODELO'!C30*'12_MODELO'!BB30/30</f>
        <v>1524400.0</v>
      </c>
      <c r="V30" s="6">
        <f>'12_MODELO'!F30*'12_MODELO'!BC30/30</f>
        <v>1116432.4500000002</v>
      </c>
      <c r="W30" s="6">
        <f>'12_MODELO'!F30+'12_MODELO'!V30-'12_MODELO'!V29</f>
        <v>809323.2000000002</v>
      </c>
      <c r="X30" s="6">
        <f>'12_MODELO'!F30*'12_MODELO'!BD30/30</f>
        <v>893145.9600000001</v>
      </c>
      <c r="Y30" s="6">
        <f>'12_MODELO'!H30*20%</f>
        <v>19000.0</v>
      </c>
      <c r="Z30" s="6">
        <f>'12_MODELO'!D30</f>
        <v>97180.5</v>
      </c>
      <c r="AA30" s="6">
        <f>'12_MODELO'!S30</f>
        <v>22703.057999999986</v>
      </c>
      <c r="AB30" s="6">
        <f>'08_PREMISSAS'!V30</f>
        <v>18000.0</v>
      </c>
      <c r="AC30" s="6">
        <f>'12_MODELO'!AC29+'12_MODELO'!AB30</f>
        <v>1662000.0</v>
      </c>
      <c r="AD30" s="6">
        <f>'12_MODELO'!AD29+'12_MODELO'!O30</f>
        <v>378240.0</v>
      </c>
      <c r="AE30" s="6">
        <f>'08_PREMISSAS'!W30</f>
        <v>0.0</v>
      </c>
      <c r="AF30" s="6">
        <f>'08_PREMISSAS'!X30</f>
        <v>18000.0</v>
      </c>
      <c r="AG30" s="6">
        <f>'12_MODELO'!AG29+'12_MODELO'!AE30-'12_MODELO'!AF30</f>
        <v>710000.0</v>
      </c>
      <c r="AH30" s="6">
        <f>'08_PREMISSAS'!Y30</f>
        <v>0.0</v>
      </c>
      <c r="AI30" s="6">
        <f>'12_MODELO'!AI29</f>
        <v>3900000.0</v>
      </c>
      <c r="AJ30" s="6">
        <f>'12_MODELO'!AJ29+'12_MODELO'!T30-'12_MODELO'!AH30</f>
        <v>520391.1079999999</v>
      </c>
      <c r="AK30" s="6">
        <f>'12_MODELO'!U29+'12_MODELO'!C30-'12_MODELO'!U30</f>
        <v>1054500.0</v>
      </c>
      <c r="AL30" s="6">
        <f>'12_MODELO'!X29+'12_MODELO'!W30-'12_MODELO'!X30</f>
        <v>757295.2800000001</v>
      </c>
      <c r="AM30" s="6">
        <f>'12_MODELO'!M30+'12_MODELO'!Y29-'12_MODELO'!Y30</f>
        <v>209881.5</v>
      </c>
      <c r="AN30" s="6">
        <f>'12_MODELO'!Z29+'12_MODELO'!D30-'12_MODELO'!Z30</f>
        <v>91519.5</v>
      </c>
      <c r="AO30" s="6">
        <f>'12_MODELO'!AA29+'12_MODELO'!S30-'12_MODELO'!AA30</f>
        <v>17958.221999999976</v>
      </c>
      <c r="AP30" s="6">
        <f>'12_MODELO'!AK30-'12_MODELO'!AL30-'12_MODELO'!AM30-'12_MODELO'!AN30-'12_MODELO'!Q30-'12_MODELO'!AO30</f>
        <v>-30890.50200000012</v>
      </c>
      <c r="AQ30" s="6">
        <f>'12_MODELO'!T30+'12_MODELO'!O30-('12_MODELO'!U30-'12_MODELO'!U29)-('12_MODELO'!V30-'12_MODELO'!V29)+('12_MODELO'!X30-'12_MODELO'!X29)+('12_MODELO'!Y30-'12_MODELO'!Y29)+('12_MODELO'!Z30-'12_MODELO'!Z29)+('12_MODELO'!AA30-'12_MODELO'!AA29)</f>
        <v>-30890.50200000024</v>
      </c>
      <c r="AR30" s="6">
        <f>-'12_MODELO'!AB30</f>
        <v>-18000.0</v>
      </c>
      <c r="AS30" s="6">
        <f>'12_MODELO'!AE30-'12_MODELO'!AF30-'12_MODELO'!AH30</f>
        <v>-18000.0</v>
      </c>
      <c r="AT30" s="6">
        <f>'12_MODELO'!AQ30+'12_MODELO'!AR30+'12_MODELO'!AS30</f>
        <v>-66890.50200000024</v>
      </c>
      <c r="AU30" s="6">
        <f>'12_MODELO'!AV29</f>
        <v>2304718.6780000003</v>
      </c>
      <c r="AV30" s="6">
        <f>'12_MODELO'!AU30+'12_MODELO'!AT30</f>
        <v>2237828.176</v>
      </c>
      <c r="AW30" s="6">
        <f>'12_MODELO'!AV30+'12_MODELO'!U30+'12_MODELO'!V30+'12_MODELO'!AC30-'12_MODELO'!AD30</f>
        <v>6162420.626</v>
      </c>
      <c r="AX30" s="6">
        <f>'12_MODELO'!X30+'12_MODELO'!Y30+'12_MODELO'!Z30+'12_MODELO'!AA30+'12_MODELO'!AG30</f>
        <v>1742029.5180000002</v>
      </c>
      <c r="AY30" s="6">
        <f>'12_MODELO'!AI30+'12_MODELO'!AJ30</f>
        <v>4420391.108</v>
      </c>
      <c r="AZ30" s="6">
        <f>'12_MODELO'!AW30-'12_MODELO'!AX30-'12_MODELO'!AY30</f>
        <v>0.0</v>
      </c>
      <c r="BA30" s="6">
        <f>'12_MODELO'!AP30-'12_MODELO'!AQ30</f>
        <v>1.2005330063402653e-10</v>
      </c>
      <c r="BB30" s="6">
        <f>'08_PREMISSAS'!O30</f>
        <v>40.0</v>
      </c>
      <c r="BC30" s="6">
        <f>'08_PREMISSAS'!P30</f>
        <v>45.0</v>
      </c>
      <c r="BD30" s="6">
        <f>'08_PREMISSAS'!Q30</f>
        <v>36.0</v>
      </c>
      <c r="BE30" s="9">
        <f>'08_PREMISSAS'!R30</f>
        <v>0.085</v>
      </c>
      <c r="BF30" s="9">
        <f>'08_PREMISSAS'!S30</f>
        <v>0.34</v>
      </c>
      <c r="BG30" s="9">
        <f>'08_PREMISSAS'!T30</f>
        <v>0.012</v>
      </c>
      <c r="BH30" s="9">
        <f>'08_PREMISSAS'!U30</f>
        <v>0.01</v>
      </c>
      <c r="BI30" s="9">
        <f>IFERROR('12_MODELO'!N30/'12_MODELO'!E30,0)</f>
        <v>0.08789598129085631</v>
      </c>
      <c r="BJ30" s="9">
        <f>IFERROR('12_MODELO'!T30/'12_MODELO'!E30,0)</f>
        <v>0.0421277320612033</v>
      </c>
      <c r="BK30" s="6">
        <f>'12_MODELO'!AQ30+'12_MODELO'!AR30</f>
        <v>-48890.50200000024</v>
      </c>
      <c r="BL30" s="6">
        <f>'12_MODELO'!U30+'12_MODELO'!V30-'12_MODELO'!X30-'12_MODELO'!Y30-'12_MODELO'!Z30-'12_MODELO'!AA30</f>
        <v>1608802.9320000003</v>
      </c>
      <c r="BM30" s="6">
        <f>'12_MODELO'!AG30-'12_MODELO'!AV30</f>
        <v>-1527828.176</v>
      </c>
      <c r="BN30" s="6">
        <f>0</f>
        <v>0</v>
      </c>
      <c r="BO30" s="6">
        <f>'12_MODELO'!AV30+'12_MODELO'!U30+'12_MODELO'!V30</f>
        <v>4878660.626</v>
      </c>
      <c r="BP30" s="6">
        <f>'12_MODELO'!AC30-'12_MODELO'!AD30</f>
        <v>1283760.0</v>
      </c>
      <c r="BQ30" s="6">
        <f>MIN('12_MODELO'!AG30,'12_MODELO'!AF30*12)</f>
        <v>216000.0</v>
      </c>
      <c r="BR30" s="6">
        <f>'12_MODELO'!AG30-'12_MODELO'!BQ30</f>
        <v>494000.0</v>
      </c>
      <c r="BS30" s="6">
        <f>'12_MODELO'!AX30-'12_MODELO'!BR30</f>
        <v>1248029.5180000002</v>
      </c>
      <c r="BT30" s="6">
        <f>'12_MODELO'!BR30</f>
        <v>494000.0</v>
      </c>
      <c r="BU30" s="6">
        <f>IFERROR('12_MODELO'!BO30/'12_MODELO'!BS30,0)</f>
        <v>3.909090735143974</v>
      </c>
    </row>
    <row r="31" spans="1:73">
      <c r="A31" s="5">
        <v>45444</v>
      </c>
      <c r="B31" t="s">
        <v>79</v>
      </c>
      <c r="C31" s="6">
        <f>'08_PREMISSAS'!C31*'08_PREMISSAS'!D31</f>
        <v>1154400.0</v>
      </c>
      <c r="D31" s="6">
        <f>'12_MODELO'!C31*'12_MODELO'!BE31</f>
        <v>98124.0</v>
      </c>
      <c r="E31" s="6">
        <f>'12_MODELO'!C31-'12_MODELO'!D31</f>
        <v>1056276.0</v>
      </c>
      <c r="F31" s="6">
        <f>'12_MODELO'!C31*'08_PREMISSAS'!E31</f>
        <v>751514.4</v>
      </c>
      <c r="G31" s="6">
        <f>'12_MODELO'!E31-'12_MODELO'!F31</f>
        <v>304761.6</v>
      </c>
      <c r="H31" s="6">
        <f>'08_PREMISSAS'!J31</f>
        <v>95000.0</v>
      </c>
      <c r="I31" s="6">
        <f>'12_MODELO'!C31*'08_PREMISSAS'!F31</f>
        <v>39249.600000000006</v>
      </c>
      <c r="J31" s="6">
        <f>'08_PREMISSAS'!L31</f>
        <v>33000.0</v>
      </c>
      <c r="K31" s="6">
        <f>'08_PREMISSAS'!M31</f>
        <v>19000.0</v>
      </c>
      <c r="L31" s="6">
        <f>'12_MODELO'!C31*'08_PREMISSAS'!G31</f>
        <v>24242.4</v>
      </c>
      <c r="M31" s="6">
        <f>SUM('12_MODELO'!H31:'12_MODELO'!L31)</f>
        <v>210492.0</v>
      </c>
      <c r="N31" s="6">
        <f>'12_MODELO'!G31-'12_MODELO'!M31</f>
        <v>94269.59999999998</v>
      </c>
      <c r="O31" s="6">
        <f>MIN('12_MODELO'!AC30*'12_MODELO'!BH31,'12_MODELO'!AC30-'12_MODELO'!AD30+'12_MODELO'!AB31)</f>
        <v>16620.0</v>
      </c>
      <c r="P31" s="6">
        <f>'12_MODELO'!N31-'12_MODELO'!O31</f>
        <v>77649.59999999998</v>
      </c>
      <c r="Q31" s="6">
        <f>'12_MODELO'!AG30*'12_MODELO'!BG31</f>
        <v>8520.0</v>
      </c>
      <c r="R31" s="6">
        <f>'12_MODELO'!P31-'12_MODELO'!Q31</f>
        <v>69129.59999999998</v>
      </c>
      <c r="S31" s="6">
        <f>MAX(0,'12_MODELO'!R31)*'12_MODELO'!BF31</f>
        <v>23504.063999999995</v>
      </c>
      <c r="T31" s="6">
        <f>'12_MODELO'!R31-'12_MODELO'!S31</f>
        <v>45625.53599999998</v>
      </c>
      <c r="U31" s="6">
        <f>'12_MODELO'!C31*'12_MODELO'!BB31/30</f>
        <v>1539200.0</v>
      </c>
      <c r="V31" s="6">
        <f>'12_MODELO'!F31*'12_MODELO'!BC31/30</f>
        <v>1127271.6</v>
      </c>
      <c r="W31" s="6">
        <f>'12_MODELO'!F31+'12_MODELO'!V31-'12_MODELO'!V30</f>
        <v>762353.5499999998</v>
      </c>
      <c r="X31" s="6">
        <f>'12_MODELO'!F31*'12_MODELO'!BD31/30</f>
        <v>901817.28</v>
      </c>
      <c r="Y31" s="6">
        <f>'12_MODELO'!H31*20%</f>
        <v>19000.0</v>
      </c>
      <c r="Z31" s="6">
        <f>'12_MODELO'!D31</f>
        <v>98124.0</v>
      </c>
      <c r="AA31" s="6">
        <f>'12_MODELO'!S31</f>
        <v>23504.063999999995</v>
      </c>
      <c r="AB31" s="6">
        <f>'08_PREMISSAS'!V31</f>
        <v>90000.0</v>
      </c>
      <c r="AC31" s="6">
        <f>'12_MODELO'!AC30+'12_MODELO'!AB31</f>
        <v>1752000.0</v>
      </c>
      <c r="AD31" s="6">
        <f>'12_MODELO'!AD30+'12_MODELO'!O31</f>
        <v>394860.0</v>
      </c>
      <c r="AE31" s="6">
        <f>'08_PREMISSAS'!W31</f>
        <v>0.0</v>
      </c>
      <c r="AF31" s="6">
        <f>'08_PREMISSAS'!X31</f>
        <v>18000.0</v>
      </c>
      <c r="AG31" s="6">
        <f>'12_MODELO'!AG30+'12_MODELO'!AE31-'12_MODELO'!AF31</f>
        <v>692000.0</v>
      </c>
      <c r="AH31" s="6">
        <f>'08_PREMISSAS'!Y31</f>
        <v>0.0</v>
      </c>
      <c r="AI31" s="6">
        <f>'12_MODELO'!AI30</f>
        <v>3900000.0</v>
      </c>
      <c r="AJ31" s="6">
        <f>'12_MODELO'!AJ30+'12_MODELO'!T31-'12_MODELO'!AH31</f>
        <v>566016.6439999999</v>
      </c>
      <c r="AK31" s="6">
        <f>'12_MODELO'!U30+'12_MODELO'!C31-'12_MODELO'!U31</f>
        <v>1139600.0</v>
      </c>
      <c r="AL31" s="6">
        <f>'12_MODELO'!X30+'12_MODELO'!W31-'12_MODELO'!X31</f>
        <v>753682.2299999997</v>
      </c>
      <c r="AM31" s="6">
        <f>'12_MODELO'!M31+'12_MODELO'!Y30-'12_MODELO'!Y31</f>
        <v>210492.0</v>
      </c>
      <c r="AN31" s="6">
        <f>'12_MODELO'!Z30+'12_MODELO'!D31-'12_MODELO'!Z31</f>
        <v>97180.5</v>
      </c>
      <c r="AO31" s="6">
        <f>'12_MODELO'!AA30+'12_MODELO'!S31-'12_MODELO'!AA31</f>
        <v>22703.057999999986</v>
      </c>
      <c r="AP31" s="6">
        <f>'12_MODELO'!AK31-'12_MODELO'!AL31-'12_MODELO'!AM31-'12_MODELO'!AN31-'12_MODELO'!Q31-'12_MODELO'!AO31</f>
        <v>47022.21200000026</v>
      </c>
      <c r="AQ31" s="6">
        <f>'12_MODELO'!T31+'12_MODELO'!O31-('12_MODELO'!U31-'12_MODELO'!U30)-('12_MODELO'!V31-'12_MODELO'!V30)+('12_MODELO'!X31-'12_MODELO'!X30)+('12_MODELO'!Y31-'12_MODELO'!Y30)+('12_MODELO'!Z31-'12_MODELO'!Z30)+('12_MODELO'!AA31-'12_MODELO'!AA30)</f>
        <v>47022.21200000003</v>
      </c>
      <c r="AR31" s="6">
        <f>-'12_MODELO'!AB31</f>
        <v>-90000.0</v>
      </c>
      <c r="AS31" s="6">
        <f>'12_MODELO'!AE31-'12_MODELO'!AF31-'12_MODELO'!AH31</f>
        <v>-18000.0</v>
      </c>
      <c r="AT31" s="6">
        <f>'12_MODELO'!AQ31+'12_MODELO'!AR31+'12_MODELO'!AS31</f>
        <v>-60977.78799999997</v>
      </c>
      <c r="AU31" s="6">
        <f>'12_MODELO'!AV30</f>
        <v>2237828.176</v>
      </c>
      <c r="AV31" s="6">
        <f>'12_MODELO'!AU31+'12_MODELO'!AT31</f>
        <v>2176850.388</v>
      </c>
      <c r="AW31" s="6">
        <f>'12_MODELO'!AV31+'12_MODELO'!U31+'12_MODELO'!V31+'12_MODELO'!AC31-'12_MODELO'!AD31</f>
        <v>6200461.988</v>
      </c>
      <c r="AX31" s="6">
        <f>'12_MODELO'!X31+'12_MODELO'!Y31+'12_MODELO'!Z31+'12_MODELO'!AA31+'12_MODELO'!AG31</f>
        <v>1734445.344</v>
      </c>
      <c r="AY31" s="6">
        <f>'12_MODELO'!AI31+'12_MODELO'!AJ31</f>
        <v>4466016.643999999</v>
      </c>
      <c r="AZ31" s="6">
        <f>'12_MODELO'!AW31-'12_MODELO'!AX31-'12_MODELO'!AY31</f>
        <v>0.0</v>
      </c>
      <c r="BA31" s="6">
        <f>'12_MODELO'!AP31-'12_MODELO'!AQ31</f>
        <v>2.3283064365386963e-10</v>
      </c>
      <c r="BB31" s="6">
        <f>'08_PREMISSAS'!O31</f>
        <v>40.0</v>
      </c>
      <c r="BC31" s="6">
        <f>'08_PREMISSAS'!P31</f>
        <v>45.0</v>
      </c>
      <c r="BD31" s="6">
        <f>'08_PREMISSAS'!Q31</f>
        <v>36.0</v>
      </c>
      <c r="BE31" s="9">
        <f>'08_PREMISSAS'!R31</f>
        <v>0.085</v>
      </c>
      <c r="BF31" s="9">
        <f>'08_PREMISSAS'!S31</f>
        <v>0.34</v>
      </c>
      <c r="BG31" s="9">
        <f>'08_PREMISSAS'!T31</f>
        <v>0.012</v>
      </c>
      <c r="BH31" s="9">
        <f>'08_PREMISSAS'!U31</f>
        <v>0.01</v>
      </c>
      <c r="BI31" s="9">
        <f>IFERROR('12_MODELO'!N31/'12_MODELO'!E31,0)</f>
        <v>0.08924712859139086</v>
      </c>
      <c r="BJ31" s="9">
        <f>IFERROR('12_MODELO'!T31/'12_MODELO'!E31,0)</f>
        <v>0.04319471047339898</v>
      </c>
      <c r="BK31" s="6">
        <f>'12_MODELO'!AQ31+'12_MODELO'!AR31</f>
        <v>-42977.78799999997</v>
      </c>
      <c r="BL31" s="6">
        <f>'12_MODELO'!U31+'12_MODELO'!V31-'12_MODELO'!X31-'12_MODELO'!Y31-'12_MODELO'!Z31-'12_MODELO'!AA31</f>
        <v>1624026.256</v>
      </c>
      <c r="BM31" s="6">
        <f>'12_MODELO'!AG31-'12_MODELO'!AV31</f>
        <v>-1484850.3879999998</v>
      </c>
      <c r="BN31" s="6">
        <f>0</f>
        <v>0</v>
      </c>
      <c r="BO31" s="6">
        <f>'12_MODELO'!AV31+'12_MODELO'!U31+'12_MODELO'!V31</f>
        <v>4843321.988</v>
      </c>
      <c r="BP31" s="6">
        <f>'12_MODELO'!AC31-'12_MODELO'!AD31</f>
        <v>1357140.0</v>
      </c>
      <c r="BQ31" s="6">
        <f>MIN('12_MODELO'!AG31,'12_MODELO'!AF31*12)</f>
        <v>216000.0</v>
      </c>
      <c r="BR31" s="6">
        <f>'12_MODELO'!AG31-'12_MODELO'!BQ31</f>
        <v>476000.0</v>
      </c>
      <c r="BS31" s="6">
        <f>'12_MODELO'!AX31-'12_MODELO'!BR31</f>
        <v>1258445.344</v>
      </c>
      <c r="BT31" s="6">
        <f>'12_MODELO'!BR31</f>
        <v>476000.0</v>
      </c>
      <c r="BU31" s="6">
        <f>IFERROR('12_MODELO'!BO31/'12_MODELO'!BS31,0)</f>
        <v>3.848655017948876</v>
      </c>
    </row>
    <row r="32" spans="1:73">
      <c r="A32" s="5">
        <v>45474</v>
      </c>
      <c r="B32" t="s">
        <v>79</v>
      </c>
      <c r="C32" s="6">
        <f>'08_PREMISSAS'!C32*'08_PREMISSAS'!D32</f>
        <v>1043399.9999999998</v>
      </c>
      <c r="D32" s="6">
        <f>'12_MODELO'!C32*'12_MODELO'!BE32</f>
        <v>88688.99999999999</v>
      </c>
      <c r="E32" s="6">
        <f>'12_MODELO'!C32-'12_MODELO'!D32</f>
        <v>954710.9999999998</v>
      </c>
      <c r="F32" s="6">
        <f>'12_MODELO'!C32*'08_PREMISSAS'!E32</f>
        <v>679253.3999999999</v>
      </c>
      <c r="G32" s="6">
        <f>'12_MODELO'!E32-'12_MODELO'!F32</f>
        <v>275457.59999999986</v>
      </c>
      <c r="H32" s="6">
        <f>'08_PREMISSAS'!J32</f>
        <v>95000.0</v>
      </c>
      <c r="I32" s="6">
        <f>'12_MODELO'!C32*'08_PREMISSAS'!F32</f>
        <v>35475.59999999999</v>
      </c>
      <c r="J32" s="6">
        <f>'08_PREMISSAS'!L32</f>
        <v>33000.0</v>
      </c>
      <c r="K32" s="6">
        <f>'08_PREMISSAS'!M32</f>
        <v>19000.0</v>
      </c>
      <c r="L32" s="6">
        <f>'12_MODELO'!C32*'08_PREMISSAS'!G32</f>
        <v>21911.399999999998</v>
      </c>
      <c r="M32" s="6">
        <f>SUM('12_MODELO'!H32:'12_MODELO'!L32)</f>
        <v>204387.0</v>
      </c>
      <c r="N32" s="6">
        <f>'12_MODELO'!G32-'12_MODELO'!M32</f>
        <v>71070.59999999986</v>
      </c>
      <c r="O32" s="6">
        <f>MIN('12_MODELO'!AC31*'12_MODELO'!BH32,'12_MODELO'!AC31-'12_MODELO'!AD31+'12_MODELO'!AB32)</f>
        <v>17520.0</v>
      </c>
      <c r="P32" s="6">
        <f>'12_MODELO'!N32-'12_MODELO'!O32</f>
        <v>53550.59999999986</v>
      </c>
      <c r="Q32" s="6">
        <f>'12_MODELO'!AG31*'12_MODELO'!BG32</f>
        <v>8304.0</v>
      </c>
      <c r="R32" s="6">
        <f>'12_MODELO'!P32-'12_MODELO'!Q32</f>
        <v>45246.59999999986</v>
      </c>
      <c r="S32" s="6">
        <f>MAX(0,'12_MODELO'!R32)*'12_MODELO'!BF32</f>
        <v>15383.843999999954</v>
      </c>
      <c r="T32" s="6">
        <f>'12_MODELO'!R32-'12_MODELO'!S32</f>
        <v>29862.755999999907</v>
      </c>
      <c r="U32" s="6">
        <f>'12_MODELO'!C32*'12_MODELO'!BB32/30</f>
        <v>1391199.9999999998</v>
      </c>
      <c r="V32" s="6">
        <f>'12_MODELO'!F32*'12_MODELO'!BC32/30</f>
        <v>1018880.0999999999</v>
      </c>
      <c r="W32" s="6">
        <f>'12_MODELO'!F32+'12_MODELO'!V32-'12_MODELO'!V31</f>
        <v>570861.8999999997</v>
      </c>
      <c r="X32" s="6">
        <f>'12_MODELO'!F32*'12_MODELO'!BD32/30</f>
        <v>815104.08</v>
      </c>
      <c r="Y32" s="6">
        <f>'12_MODELO'!H32*20%</f>
        <v>19000.0</v>
      </c>
      <c r="Z32" s="6">
        <f>'12_MODELO'!D32</f>
        <v>88688.99999999999</v>
      </c>
      <c r="AA32" s="6">
        <f>'12_MODELO'!S32</f>
        <v>15383.843999999954</v>
      </c>
      <c r="AB32" s="6">
        <f>'08_PREMISSAS'!V32</f>
        <v>18000.0</v>
      </c>
      <c r="AC32" s="6">
        <f>'12_MODELO'!AC31+'12_MODELO'!AB32</f>
        <v>1770000.0</v>
      </c>
      <c r="AD32" s="6">
        <f>'12_MODELO'!AD31+'12_MODELO'!O32</f>
        <v>412380.0</v>
      </c>
      <c r="AE32" s="6">
        <f>'08_PREMISSAS'!W32</f>
        <v>0.0</v>
      </c>
      <c r="AF32" s="6">
        <f>'08_PREMISSAS'!X32</f>
        <v>18000.0</v>
      </c>
      <c r="AG32" s="6">
        <f>'12_MODELO'!AG31+'12_MODELO'!AE32-'12_MODELO'!AF32</f>
        <v>674000.0</v>
      </c>
      <c r="AH32" s="6">
        <f>'08_PREMISSAS'!Y32</f>
        <v>0.0</v>
      </c>
      <c r="AI32" s="6">
        <f>'12_MODELO'!AI31</f>
        <v>3900000.0</v>
      </c>
      <c r="AJ32" s="6">
        <f>'12_MODELO'!AJ31+'12_MODELO'!T32-'12_MODELO'!AH32</f>
        <v>595879.3999999998</v>
      </c>
      <c r="AK32" s="6">
        <f>'12_MODELO'!U31+'12_MODELO'!C32-'12_MODELO'!U32</f>
        <v>1191400.0000000002</v>
      </c>
      <c r="AL32" s="6">
        <f>'12_MODELO'!X31+'12_MODELO'!W32-'12_MODELO'!X32</f>
        <v>657575.0999999997</v>
      </c>
      <c r="AM32" s="6">
        <f>'12_MODELO'!M32+'12_MODELO'!Y31-'12_MODELO'!Y32</f>
        <v>204387.0</v>
      </c>
      <c r="AN32" s="6">
        <f>'12_MODELO'!Z31+'12_MODELO'!D32-'12_MODELO'!Z32</f>
        <v>98124.00000000001</v>
      </c>
      <c r="AO32" s="6">
        <f>'12_MODELO'!AA31+'12_MODELO'!S32-'12_MODELO'!AA32</f>
        <v>23504.064</v>
      </c>
      <c r="AP32" s="6">
        <f>'12_MODELO'!AK32-'12_MODELO'!AL32-'12_MODELO'!AM32-'12_MODELO'!AN32-'12_MODELO'!Q32-'12_MODELO'!AO32</f>
        <v>199505.83600000048</v>
      </c>
      <c r="AQ32" s="6">
        <f>'12_MODELO'!T32+'12_MODELO'!O32-('12_MODELO'!U32-'12_MODELO'!U31)-('12_MODELO'!V32-'12_MODELO'!V31)+('12_MODELO'!X32-'12_MODELO'!X31)+('12_MODELO'!Y32-'12_MODELO'!Y31)+('12_MODELO'!Z32-'12_MODELO'!Z31)+('12_MODELO'!AA32-'12_MODELO'!AA31)</f>
        <v>199505.83600000027</v>
      </c>
      <c r="AR32" s="6">
        <f>-'12_MODELO'!AB32</f>
        <v>-18000.0</v>
      </c>
      <c r="AS32" s="6">
        <f>'12_MODELO'!AE32-'12_MODELO'!AF32-'12_MODELO'!AH32</f>
        <v>-18000.0</v>
      </c>
      <c r="AT32" s="6">
        <f>'12_MODELO'!AQ32+'12_MODELO'!AR32+'12_MODELO'!AS32</f>
        <v>163505.83600000027</v>
      </c>
      <c r="AU32" s="6">
        <f>'12_MODELO'!AV31</f>
        <v>2176850.388</v>
      </c>
      <c r="AV32" s="6">
        <f>'12_MODELO'!AU32+'12_MODELO'!AT32</f>
        <v>2340356.224</v>
      </c>
      <c r="AW32" s="6">
        <f>'12_MODELO'!AV32+'12_MODELO'!U32+'12_MODELO'!V32+'12_MODELO'!AC32-'12_MODELO'!AD32</f>
        <v>6108056.323999999</v>
      </c>
      <c r="AX32" s="6">
        <f>'12_MODELO'!X32+'12_MODELO'!Y32+'12_MODELO'!Z32+'12_MODELO'!AA32+'12_MODELO'!AG32</f>
        <v>1612176.9239999999</v>
      </c>
      <c r="AY32" s="6">
        <f>'12_MODELO'!AI32+'12_MODELO'!AJ32</f>
        <v>4495879.399999999</v>
      </c>
      <c r="AZ32" s="6">
        <f>'12_MODELO'!AW32-'12_MODELO'!AX32-'12_MODELO'!AY32</f>
        <v>0.0</v>
      </c>
      <c r="BA32" s="6">
        <f>'12_MODELO'!AP32-'12_MODELO'!AQ32</f>
        <v>2.0372681319713593e-10</v>
      </c>
      <c r="BB32" s="6">
        <f>'08_PREMISSAS'!O32</f>
        <v>40.0</v>
      </c>
      <c r="BC32" s="6">
        <f>'08_PREMISSAS'!P32</f>
        <v>45.0</v>
      </c>
      <c r="BD32" s="6">
        <f>'08_PREMISSAS'!Q32</f>
        <v>36.0</v>
      </c>
      <c r="BE32" s="9">
        <f>'08_PREMISSAS'!R32</f>
        <v>0.085</v>
      </c>
      <c r="BF32" s="9">
        <f>'08_PREMISSAS'!S32</f>
        <v>0.34</v>
      </c>
      <c r="BG32" s="9">
        <f>'08_PREMISSAS'!T32</f>
        <v>0.012</v>
      </c>
      <c r="BH32" s="9">
        <f>'08_PREMISSAS'!U32</f>
        <v>0.01</v>
      </c>
      <c r="BI32" s="9">
        <f>IFERROR('12_MODELO'!N32/'12_MODELO'!E32,0)</f>
        <v>0.07444200391532084</v>
      </c>
      <c r="BJ32" s="9">
        <f>IFERROR('12_MODELO'!T32/'12_MODELO'!E32,0)</f>
        <v>0.03127936726402012</v>
      </c>
      <c r="BK32" s="6">
        <f>'12_MODELO'!AQ32+'12_MODELO'!AR32</f>
        <v>181505.83600000027</v>
      </c>
      <c r="BL32" s="6">
        <f>'12_MODELO'!U32+'12_MODELO'!V32-'12_MODELO'!X32-'12_MODELO'!Y32-'12_MODELO'!Z32-'12_MODELO'!AA32</f>
        <v>1471903.1759999995</v>
      </c>
      <c r="BM32" s="6">
        <f>'12_MODELO'!AG32-'12_MODELO'!AV32</f>
        <v>-1666356.224</v>
      </c>
      <c r="BN32" s="6">
        <f>0</f>
        <v>0</v>
      </c>
      <c r="BO32" s="6">
        <f>'12_MODELO'!AV32+'12_MODELO'!U32+'12_MODELO'!V32</f>
        <v>4750436.323999999</v>
      </c>
      <c r="BP32" s="6">
        <f>'12_MODELO'!AC32-'12_MODELO'!AD32</f>
        <v>1357620.0</v>
      </c>
      <c r="BQ32" s="6">
        <f>MIN('12_MODELO'!AG32,'12_MODELO'!AF32*12)</f>
        <v>216000.0</v>
      </c>
      <c r="BR32" s="6">
        <f>'12_MODELO'!AG32-'12_MODELO'!BQ32</f>
        <v>458000.0</v>
      </c>
      <c r="BS32" s="6">
        <f>'12_MODELO'!AX32-'12_MODELO'!BR32</f>
        <v>1154176.9239999999</v>
      </c>
      <c r="BT32" s="6">
        <f>'12_MODELO'!BR32</f>
        <v>458000.0</v>
      </c>
      <c r="BU32" s="6">
        <f>IFERROR('12_MODELO'!BO32/'12_MODELO'!BS32,0)</f>
        <v>4.115864929560834</v>
      </c>
    </row>
    <row r="33" spans="1:73">
      <c r="A33" s="5">
        <v>45505</v>
      </c>
      <c r="B33" t="s">
        <v>79</v>
      </c>
      <c r="C33" s="6">
        <f>'08_PREMISSAS'!C33*'08_PREMISSAS'!D33</f>
        <v>1132200.0</v>
      </c>
      <c r="D33" s="6">
        <f>'12_MODELO'!C33*'12_MODELO'!BE33</f>
        <v>96237.0</v>
      </c>
      <c r="E33" s="6">
        <f>'12_MODELO'!C33-'12_MODELO'!D33</f>
        <v>1035963.0</v>
      </c>
      <c r="F33" s="6">
        <f>'12_MODELO'!C33*'08_PREMISSAS'!E33</f>
        <v>737062.2000000001</v>
      </c>
      <c r="G33" s="6">
        <f>'12_MODELO'!E33-'12_MODELO'!F33</f>
        <v>298900.79999999993</v>
      </c>
      <c r="H33" s="6">
        <f>'08_PREMISSAS'!J33</f>
        <v>95000.0</v>
      </c>
      <c r="I33" s="6">
        <f>'12_MODELO'!C33*'08_PREMISSAS'!F33</f>
        <v>38494.8</v>
      </c>
      <c r="J33" s="6">
        <f>'08_PREMISSAS'!L33</f>
        <v>33000.0</v>
      </c>
      <c r="K33" s="6">
        <f>'08_PREMISSAS'!M33</f>
        <v>19000.0</v>
      </c>
      <c r="L33" s="6">
        <f>'12_MODELO'!C33*'08_PREMISSAS'!G33</f>
        <v>23776.2</v>
      </c>
      <c r="M33" s="6">
        <f>SUM('12_MODELO'!H33:'12_MODELO'!L33)</f>
        <v>209271.0</v>
      </c>
      <c r="N33" s="6">
        <f>'12_MODELO'!G33-'12_MODELO'!M33</f>
        <v>89629.79999999993</v>
      </c>
      <c r="O33" s="6">
        <f>MIN('12_MODELO'!AC32*'12_MODELO'!BH33,'12_MODELO'!AC32-'12_MODELO'!AD32+'12_MODELO'!AB33)</f>
        <v>17700.0</v>
      </c>
      <c r="P33" s="6">
        <f>'12_MODELO'!N33-'12_MODELO'!O33</f>
        <v>71929.79999999993</v>
      </c>
      <c r="Q33" s="6">
        <f>'12_MODELO'!AG32*'12_MODELO'!BG33</f>
        <v>8088.0</v>
      </c>
      <c r="R33" s="6">
        <f>'12_MODELO'!P33-'12_MODELO'!Q33</f>
        <v>63841.79999999993</v>
      </c>
      <c r="S33" s="6">
        <f>MAX(0,'12_MODELO'!R33)*'12_MODELO'!BF33</f>
        <v>21706.211999999978</v>
      </c>
      <c r="T33" s="6">
        <f>'12_MODELO'!R33-'12_MODELO'!S33</f>
        <v>42135.58799999995</v>
      </c>
      <c r="U33" s="6">
        <f>'12_MODELO'!C33*'12_MODELO'!BB33/30</f>
        <v>1509600.0</v>
      </c>
      <c r="V33" s="6">
        <f>'12_MODELO'!F33*'12_MODELO'!BC33/30</f>
        <v>1105593.3</v>
      </c>
      <c r="W33" s="6">
        <f>'12_MODELO'!F33+'12_MODELO'!V33-'12_MODELO'!V32</f>
        <v>823775.4000000001</v>
      </c>
      <c r="X33" s="6">
        <f>'12_MODELO'!F33*'12_MODELO'!BD33/30</f>
        <v>884474.6400000001</v>
      </c>
      <c r="Y33" s="6">
        <f>'12_MODELO'!H33*20%</f>
        <v>19000.0</v>
      </c>
      <c r="Z33" s="6">
        <f>'12_MODELO'!D33</f>
        <v>96237.0</v>
      </c>
      <c r="AA33" s="6">
        <f>'12_MODELO'!S33</f>
        <v>21706.211999999978</v>
      </c>
      <c r="AB33" s="6">
        <f>'08_PREMISSAS'!V33</f>
        <v>18000.0</v>
      </c>
      <c r="AC33" s="6">
        <f>'12_MODELO'!AC32+'12_MODELO'!AB33</f>
        <v>1788000.0</v>
      </c>
      <c r="AD33" s="6">
        <f>'12_MODELO'!AD32+'12_MODELO'!O33</f>
        <v>430080.0</v>
      </c>
      <c r="AE33" s="6">
        <f>'08_PREMISSAS'!W33</f>
        <v>0.0</v>
      </c>
      <c r="AF33" s="6">
        <f>'08_PREMISSAS'!X33</f>
        <v>18000.0</v>
      </c>
      <c r="AG33" s="6">
        <f>'12_MODELO'!AG32+'12_MODELO'!AE33-'12_MODELO'!AF33</f>
        <v>656000.0</v>
      </c>
      <c r="AH33" s="6">
        <f>'08_PREMISSAS'!Y33</f>
        <v>0.0</v>
      </c>
      <c r="AI33" s="6">
        <f>'12_MODELO'!AI32</f>
        <v>3900000.0</v>
      </c>
      <c r="AJ33" s="6">
        <f>'12_MODELO'!AJ32+'12_MODELO'!T33-'12_MODELO'!AH33</f>
        <v>638014.9879999998</v>
      </c>
      <c r="AK33" s="6">
        <f>'12_MODELO'!U32+'12_MODELO'!C33-'12_MODELO'!U33</f>
        <v>1013800.0</v>
      </c>
      <c r="AL33" s="6">
        <f>'12_MODELO'!X32+'12_MODELO'!W33-'12_MODELO'!X33</f>
        <v>754404.8399999999</v>
      </c>
      <c r="AM33" s="6">
        <f>'12_MODELO'!M33+'12_MODELO'!Y32-'12_MODELO'!Y33</f>
        <v>209271.0</v>
      </c>
      <c r="AN33" s="6">
        <f>'12_MODELO'!Z32+'12_MODELO'!D33-'12_MODELO'!Z33</f>
        <v>88689.0</v>
      </c>
      <c r="AO33" s="6">
        <f>'12_MODELO'!AA32+'12_MODELO'!S33-'12_MODELO'!AA33</f>
        <v>15383.843999999954</v>
      </c>
      <c r="AP33" s="6">
        <f>'12_MODELO'!AK33-'12_MODELO'!AL33-'12_MODELO'!AM33-'12_MODELO'!AN33-'12_MODELO'!Q33-'12_MODELO'!AO33</f>
        <v>-62036.683999999805</v>
      </c>
      <c r="AQ33" s="6">
        <f>'12_MODELO'!T33+'12_MODELO'!O33-('12_MODELO'!U33-'12_MODELO'!U32)-('12_MODELO'!V33-'12_MODELO'!V32)+('12_MODELO'!X33-'12_MODELO'!X32)+('12_MODELO'!Y33-'12_MODELO'!Y32)+('12_MODELO'!Z33-'12_MODELO'!Z32)+('12_MODELO'!AA33-'12_MODELO'!AA32)</f>
        <v>-62036.68400000024</v>
      </c>
      <c r="AR33" s="6">
        <f>-'12_MODELO'!AB33</f>
        <v>-18000.0</v>
      </c>
      <c r="AS33" s="6">
        <f>'12_MODELO'!AE33-'12_MODELO'!AF33-'12_MODELO'!AH33</f>
        <v>-18000.0</v>
      </c>
      <c r="AT33" s="6">
        <f>'12_MODELO'!AQ33+'12_MODELO'!AR33+'12_MODELO'!AS33</f>
        <v>-98036.68400000024</v>
      </c>
      <c r="AU33" s="6">
        <f>'12_MODELO'!AV32</f>
        <v>2340356.224</v>
      </c>
      <c r="AV33" s="6">
        <f>'12_MODELO'!AU33+'12_MODELO'!AT33</f>
        <v>2242319.5399999996</v>
      </c>
      <c r="AW33" s="6">
        <f>'12_MODELO'!AV33+'12_MODELO'!U33+'12_MODELO'!V33+'12_MODELO'!AC33-'12_MODELO'!AD33</f>
        <v>6215432.84</v>
      </c>
      <c r="AX33" s="6">
        <f>'12_MODELO'!X33+'12_MODELO'!Y33+'12_MODELO'!Z33+'12_MODELO'!AA33+'12_MODELO'!AG33</f>
        <v>1677417.8520000002</v>
      </c>
      <c r="AY33" s="6">
        <f>'12_MODELO'!AI33+'12_MODELO'!AJ33</f>
        <v>4538014.988</v>
      </c>
      <c r="AZ33" s="6">
        <f>'12_MODELO'!AW33-'12_MODELO'!AX33-'12_MODELO'!AY33</f>
        <v>0.0</v>
      </c>
      <c r="BA33" s="6">
        <f>'12_MODELO'!AP33-'12_MODELO'!AQ33</f>
        <v>4.3655745685100555e-10</v>
      </c>
      <c r="BB33" s="6">
        <f>'08_PREMISSAS'!O33</f>
        <v>40.0</v>
      </c>
      <c r="BC33" s="6">
        <f>'08_PREMISSAS'!P33</f>
        <v>45.0</v>
      </c>
      <c r="BD33" s="6">
        <f>'08_PREMISSAS'!Q33</f>
        <v>36.0</v>
      </c>
      <c r="BE33" s="9">
        <f>'08_PREMISSAS'!R33</f>
        <v>0.085</v>
      </c>
      <c r="BF33" s="9">
        <f>'08_PREMISSAS'!S33</f>
        <v>0.34</v>
      </c>
      <c r="BG33" s="9">
        <f>'08_PREMISSAS'!T33</f>
        <v>0.012</v>
      </c>
      <c r="BH33" s="9">
        <f>'08_PREMISSAS'!U33</f>
        <v>0.01</v>
      </c>
      <c r="BI33" s="9">
        <f>IFERROR('12_MODELO'!N33/'12_MODELO'!E33,0)</f>
        <v>0.08651834090599754</v>
      </c>
      <c r="BJ33" s="9">
        <f>IFERROR('12_MODELO'!T33/'12_MODELO'!E33,0)</f>
        <v>0.040672869590902334</v>
      </c>
      <c r="BK33" s="6">
        <f>'12_MODELO'!AQ33+'12_MODELO'!AR33</f>
        <v>-80036.68400000024</v>
      </c>
      <c r="BL33" s="6">
        <f>'12_MODELO'!U33+'12_MODELO'!V33-'12_MODELO'!X33-'12_MODELO'!Y33-'12_MODELO'!Z33-'12_MODELO'!AA33</f>
        <v>1593775.4479999996</v>
      </c>
      <c r="BM33" s="6">
        <f>'12_MODELO'!AG33-'12_MODELO'!AV33</f>
        <v>-1586319.5399999996</v>
      </c>
      <c r="BN33" s="6">
        <f>0</f>
        <v>0</v>
      </c>
      <c r="BO33" s="6">
        <f>'12_MODELO'!AV33+'12_MODELO'!U33+'12_MODELO'!V33</f>
        <v>4857512.84</v>
      </c>
      <c r="BP33" s="6">
        <f>'12_MODELO'!AC33-'12_MODELO'!AD33</f>
        <v>1357920.0</v>
      </c>
      <c r="BQ33" s="6">
        <f>MIN('12_MODELO'!AG33,'12_MODELO'!AF33*12)</f>
        <v>216000.0</v>
      </c>
      <c r="BR33" s="6">
        <f>'12_MODELO'!AG33-'12_MODELO'!BQ33</f>
        <v>440000.0</v>
      </c>
      <c r="BS33" s="6">
        <f>'12_MODELO'!AX33-'12_MODELO'!BR33</f>
        <v>1237417.8520000002</v>
      </c>
      <c r="BT33" s="6">
        <f>'12_MODELO'!BR33</f>
        <v>440000.0</v>
      </c>
      <c r="BU33" s="6">
        <f>IFERROR('12_MODELO'!BO33/'12_MODELO'!BS33,0)</f>
        <v>3.9255234859824855</v>
      </c>
    </row>
    <row r="34" spans="1:73">
      <c r="A34" s="5">
        <v>45536</v>
      </c>
      <c r="B34" t="s">
        <v>79</v>
      </c>
      <c r="C34" s="6">
        <f>'08_PREMISSAS'!C34*'08_PREMISSAS'!D34</f>
        <v>1176600.0</v>
      </c>
      <c r="D34" s="6">
        <f>'12_MODELO'!C34*'12_MODELO'!BE34</f>
        <v>100011.0</v>
      </c>
      <c r="E34" s="6">
        <f>'12_MODELO'!C34-'12_MODELO'!D34</f>
        <v>1076589.0</v>
      </c>
      <c r="F34" s="6">
        <f>'12_MODELO'!C34*'08_PREMISSAS'!E34</f>
        <v>765966.6</v>
      </c>
      <c r="G34" s="6">
        <f>'12_MODELO'!E34-'12_MODELO'!F34</f>
        <v>310622.4</v>
      </c>
      <c r="H34" s="6">
        <f>'08_PREMISSAS'!J34</f>
        <v>95000.0</v>
      </c>
      <c r="I34" s="6">
        <f>'12_MODELO'!C34*'08_PREMISSAS'!F34</f>
        <v>40004.4</v>
      </c>
      <c r="J34" s="6">
        <f>'08_PREMISSAS'!L34</f>
        <v>33000.0</v>
      </c>
      <c r="K34" s="6">
        <f>'08_PREMISSAS'!M34</f>
        <v>19000.0</v>
      </c>
      <c r="L34" s="6">
        <f>'12_MODELO'!C34*'08_PREMISSAS'!G34</f>
        <v>24708.600000000002</v>
      </c>
      <c r="M34" s="6">
        <f>SUM('12_MODELO'!H34:'12_MODELO'!L34)</f>
        <v>211713.0</v>
      </c>
      <c r="N34" s="6">
        <f>'12_MODELO'!G34-'12_MODELO'!M34</f>
        <v>98909.40000000002</v>
      </c>
      <c r="O34" s="6">
        <f>MIN('12_MODELO'!AC33*'12_MODELO'!BH34,'12_MODELO'!AC33-'12_MODELO'!AD33+'12_MODELO'!AB34)</f>
        <v>17880.0</v>
      </c>
      <c r="P34" s="6">
        <f>'12_MODELO'!N34-'12_MODELO'!O34</f>
        <v>81029.40000000002</v>
      </c>
      <c r="Q34" s="6">
        <f>'12_MODELO'!AG33*'12_MODELO'!BG34</f>
        <v>7872.0</v>
      </c>
      <c r="R34" s="6">
        <f>'12_MODELO'!P34-'12_MODELO'!Q34</f>
        <v>73157.40000000002</v>
      </c>
      <c r="S34" s="6">
        <f>MAX(0,'12_MODELO'!R34)*'12_MODELO'!BF34</f>
        <v>24873.51600000001</v>
      </c>
      <c r="T34" s="6">
        <f>'12_MODELO'!R34-'12_MODELO'!S34</f>
        <v>48283.88400000001</v>
      </c>
      <c r="U34" s="6">
        <f>'12_MODELO'!C34*'12_MODELO'!BB34/30</f>
        <v>1568800.0</v>
      </c>
      <c r="V34" s="6">
        <f>'12_MODELO'!F34*'12_MODELO'!BC34/30</f>
        <v>1148949.9</v>
      </c>
      <c r="W34" s="6">
        <f>'12_MODELO'!F34+'12_MODELO'!V34-'12_MODELO'!V33</f>
        <v>809323.2</v>
      </c>
      <c r="X34" s="6">
        <f>'12_MODELO'!F34*'12_MODELO'!BD34/30</f>
        <v>919159.9199999999</v>
      </c>
      <c r="Y34" s="6">
        <f>'12_MODELO'!H34*20%</f>
        <v>19000.0</v>
      </c>
      <c r="Z34" s="6">
        <f>'12_MODELO'!D34</f>
        <v>100011.0</v>
      </c>
      <c r="AA34" s="6">
        <f>'12_MODELO'!S34</f>
        <v>24873.51600000001</v>
      </c>
      <c r="AB34" s="6">
        <f>'08_PREMISSAS'!V34</f>
        <v>90000.0</v>
      </c>
      <c r="AC34" s="6">
        <f>'12_MODELO'!AC33+'12_MODELO'!AB34</f>
        <v>1878000.0</v>
      </c>
      <c r="AD34" s="6">
        <f>'12_MODELO'!AD33+'12_MODELO'!O34</f>
        <v>447960.0</v>
      </c>
      <c r="AE34" s="6">
        <f>'08_PREMISSAS'!W34</f>
        <v>0.0</v>
      </c>
      <c r="AF34" s="6">
        <f>'08_PREMISSAS'!X34</f>
        <v>18000.0</v>
      </c>
      <c r="AG34" s="6">
        <f>'12_MODELO'!AG33+'12_MODELO'!AE34-'12_MODELO'!AF34</f>
        <v>638000.0</v>
      </c>
      <c r="AH34" s="6">
        <f>'08_PREMISSAS'!Y34</f>
        <v>0.0</v>
      </c>
      <c r="AI34" s="6">
        <f>'12_MODELO'!AI33</f>
        <v>3900000.0</v>
      </c>
      <c r="AJ34" s="6">
        <f>'12_MODELO'!AJ33+'12_MODELO'!T34-'12_MODELO'!AH34</f>
        <v>686298.8719999997</v>
      </c>
      <c r="AK34" s="6">
        <f>'12_MODELO'!U33+'12_MODELO'!C34-'12_MODELO'!U34</f>
        <v>1117400.0</v>
      </c>
      <c r="AL34" s="6">
        <f>'12_MODELO'!X33+'12_MODELO'!W34-'12_MODELO'!X34</f>
        <v>774637.9200000002</v>
      </c>
      <c r="AM34" s="6">
        <f>'12_MODELO'!M34+'12_MODELO'!Y33-'12_MODELO'!Y34</f>
        <v>211713.0</v>
      </c>
      <c r="AN34" s="6">
        <f>'12_MODELO'!Z33+'12_MODELO'!D34-'12_MODELO'!Z34</f>
        <v>96237.0</v>
      </c>
      <c r="AO34" s="6">
        <f>'12_MODELO'!AA33+'12_MODELO'!S34-'12_MODELO'!AA34</f>
        <v>21706.211999999978</v>
      </c>
      <c r="AP34" s="6">
        <f>'12_MODELO'!AK34-'12_MODELO'!AL34-'12_MODELO'!AM34-'12_MODELO'!AN34-'12_MODELO'!Q34-'12_MODELO'!AO34</f>
        <v>5233.867999999864</v>
      </c>
      <c r="AQ34" s="6">
        <f>'12_MODELO'!T34+'12_MODELO'!O34-('12_MODELO'!U34-'12_MODELO'!U33)-('12_MODELO'!V34-'12_MODELO'!V33)+('12_MODELO'!X34-'12_MODELO'!X33)+('12_MODELO'!Y34-'12_MODELO'!Y33)+('12_MODELO'!Z34-'12_MODELO'!Z33)+('12_MODELO'!AA34-'12_MODELO'!AA33)</f>
        <v>5233.867999999988</v>
      </c>
      <c r="AR34" s="6">
        <f>-'12_MODELO'!AB34</f>
        <v>-90000.0</v>
      </c>
      <c r="AS34" s="6">
        <f>'12_MODELO'!AE34-'12_MODELO'!AF34-'12_MODELO'!AH34</f>
        <v>-18000.0</v>
      </c>
      <c r="AT34" s="6">
        <f>'12_MODELO'!AQ34+'12_MODELO'!AR34+'12_MODELO'!AS34</f>
        <v>-102766.13200000001</v>
      </c>
      <c r="AU34" s="6">
        <f>'12_MODELO'!AV33</f>
        <v>2242319.5399999996</v>
      </c>
      <c r="AV34" s="6">
        <f>'12_MODELO'!AU34+'12_MODELO'!AT34</f>
        <v>2139553.4079999994</v>
      </c>
      <c r="AW34" s="6">
        <f>'12_MODELO'!AV34+'12_MODELO'!U34+'12_MODELO'!V34+'12_MODELO'!AC34-'12_MODELO'!AD34</f>
        <v>6287343.307999999</v>
      </c>
      <c r="AX34" s="6">
        <f>'12_MODELO'!X34+'12_MODELO'!Y34+'12_MODELO'!Z34+'12_MODELO'!AA34+'12_MODELO'!AG34</f>
        <v>1701044.436</v>
      </c>
      <c r="AY34" s="6">
        <f>'12_MODELO'!AI34+'12_MODELO'!AJ34</f>
        <v>4586298.8719999995</v>
      </c>
      <c r="AZ34" s="6">
        <f>'12_MODELO'!AW34-'12_MODELO'!AX34-'12_MODELO'!AY34</f>
        <v>0.0</v>
      </c>
      <c r="BA34" s="6">
        <f>'12_MODELO'!AP34-'12_MODELO'!AQ34</f>
        <v>-1.2369127944111824e-10</v>
      </c>
      <c r="BB34" s="6">
        <f>'08_PREMISSAS'!O34</f>
        <v>40.0</v>
      </c>
      <c r="BC34" s="6">
        <f>'08_PREMISSAS'!P34</f>
        <v>45.0</v>
      </c>
      <c r="BD34" s="6">
        <f>'08_PREMISSAS'!Q34</f>
        <v>36.0</v>
      </c>
      <c r="BE34" s="9">
        <f>'08_PREMISSAS'!R34</f>
        <v>0.085</v>
      </c>
      <c r="BF34" s="9">
        <f>'08_PREMISSAS'!S34</f>
        <v>0.34</v>
      </c>
      <c r="BG34" s="9">
        <f>'08_PREMISSAS'!T34</f>
        <v>0.012</v>
      </c>
      <c r="BH34" s="9">
        <f>'08_PREMISSAS'!U34</f>
        <v>0.01</v>
      </c>
      <c r="BI34" s="9">
        <f>IFERROR('12_MODELO'!N34/'12_MODELO'!E34,0)</f>
        <v>0.09187294315658066</v>
      </c>
      <c r="BJ34" s="9">
        <f>IFERROR('12_MODELO'!T34/'12_MODELO'!E34,0)</f>
        <v>0.04484894792720343</v>
      </c>
      <c r="BK34" s="6">
        <f>'12_MODELO'!AQ34+'12_MODELO'!AR34</f>
        <v>-84766.13200000001</v>
      </c>
      <c r="BL34" s="6">
        <f>'12_MODELO'!U34+'12_MODELO'!V34-'12_MODELO'!X34-'12_MODELO'!Y34-'12_MODELO'!Z34-'12_MODELO'!AA34</f>
        <v>1654705.464</v>
      </c>
      <c r="BM34" s="6">
        <f>'12_MODELO'!AG34-'12_MODELO'!AV34</f>
        <v>-1501553.4079999994</v>
      </c>
      <c r="BN34" s="6">
        <f>0</f>
        <v>0</v>
      </c>
      <c r="BO34" s="6">
        <f>'12_MODELO'!AV34+'12_MODELO'!U34+'12_MODELO'!V34</f>
        <v>4857303.307999999</v>
      </c>
      <c r="BP34" s="6">
        <f>'12_MODELO'!AC34-'12_MODELO'!AD34</f>
        <v>1430040.0</v>
      </c>
      <c r="BQ34" s="6">
        <f>MIN('12_MODELO'!AG34,'12_MODELO'!AF34*12)</f>
        <v>216000.0</v>
      </c>
      <c r="BR34" s="6">
        <f>'12_MODELO'!AG34-'12_MODELO'!BQ34</f>
        <v>422000.0</v>
      </c>
      <c r="BS34" s="6">
        <f>'12_MODELO'!AX34-'12_MODELO'!BR34</f>
        <v>1279044.436</v>
      </c>
      <c r="BT34" s="6">
        <f>'12_MODELO'!BR34</f>
        <v>422000.0</v>
      </c>
      <c r="BU34" s="6">
        <f>IFERROR('12_MODELO'!BO34/'12_MODELO'!BS34,0)</f>
        <v>3.7976032507442916</v>
      </c>
    </row>
    <row r="35" spans="1:73">
      <c r="A35" s="5">
        <v>45566</v>
      </c>
      <c r="B35" t="s">
        <v>79</v>
      </c>
      <c r="C35" s="6">
        <f>'08_PREMISSAS'!C35*'08_PREMISSAS'!D35</f>
        <v>1243200.0000000002</v>
      </c>
      <c r="D35" s="6">
        <f>'12_MODELO'!C35*'12_MODELO'!BE35</f>
        <v>105672.00000000003</v>
      </c>
      <c r="E35" s="6">
        <f>'12_MODELO'!C35-'12_MODELO'!D35</f>
        <v>1137528.0000000002</v>
      </c>
      <c r="F35" s="6">
        <f>'12_MODELO'!C35*'08_PREMISSAS'!E35</f>
        <v>809323.2000000002</v>
      </c>
      <c r="G35" s="6">
        <f>'12_MODELO'!E35-'12_MODELO'!F35</f>
        <v>328204.80000000005</v>
      </c>
      <c r="H35" s="6">
        <f>'08_PREMISSAS'!J35</f>
        <v>95000.0</v>
      </c>
      <c r="I35" s="6">
        <f>'12_MODELO'!C35*'08_PREMISSAS'!F35</f>
        <v>42268.80000000001</v>
      </c>
      <c r="J35" s="6">
        <f>'08_PREMISSAS'!L35</f>
        <v>33000.0</v>
      </c>
      <c r="K35" s="6">
        <f>'08_PREMISSAS'!M35</f>
        <v>19000.0</v>
      </c>
      <c r="L35" s="6">
        <f>'12_MODELO'!C35*'08_PREMISSAS'!G35</f>
        <v>26107.200000000008</v>
      </c>
      <c r="M35" s="6">
        <f>SUM('12_MODELO'!H35:'12_MODELO'!L35)</f>
        <v>215376.00000000003</v>
      </c>
      <c r="N35" s="6">
        <f>'12_MODELO'!G35-'12_MODELO'!M35</f>
        <v>112828.80000000002</v>
      </c>
      <c r="O35" s="6">
        <f>MIN('12_MODELO'!AC34*'12_MODELO'!BH35,'12_MODELO'!AC34-'12_MODELO'!AD34+'12_MODELO'!AB35)</f>
        <v>18780.0</v>
      </c>
      <c r="P35" s="6">
        <f>'12_MODELO'!N35-'12_MODELO'!O35</f>
        <v>94048.80000000002</v>
      </c>
      <c r="Q35" s="6">
        <f>'12_MODELO'!AG34*'12_MODELO'!BG35</f>
        <v>7656.0</v>
      </c>
      <c r="R35" s="6">
        <f>'12_MODELO'!P35-'12_MODELO'!Q35</f>
        <v>86392.80000000002</v>
      </c>
      <c r="S35" s="6">
        <f>MAX(0,'12_MODELO'!R35)*'12_MODELO'!BF35</f>
        <v>29373.552000000007</v>
      </c>
      <c r="T35" s="6">
        <f>'12_MODELO'!R35-'12_MODELO'!S35</f>
        <v>57019.24800000001</v>
      </c>
      <c r="U35" s="6">
        <f>'12_MODELO'!C35*'12_MODELO'!BB35/30</f>
        <v>1657600.0000000002</v>
      </c>
      <c r="V35" s="6">
        <f>'12_MODELO'!F35*'12_MODELO'!BC35/30</f>
        <v>1213984.8000000003</v>
      </c>
      <c r="W35" s="6">
        <f>'12_MODELO'!F35+'12_MODELO'!V35-'12_MODELO'!V34</f>
        <v>874358.1000000006</v>
      </c>
      <c r="X35" s="6">
        <f>'12_MODELO'!F35*'12_MODELO'!BD35/30</f>
        <v>971187.8400000002</v>
      </c>
      <c r="Y35" s="6">
        <f>'12_MODELO'!H35*20%</f>
        <v>19000.0</v>
      </c>
      <c r="Z35" s="6">
        <f>'12_MODELO'!D35</f>
        <v>105672.00000000003</v>
      </c>
      <c r="AA35" s="6">
        <f>'12_MODELO'!S35</f>
        <v>29373.552000000007</v>
      </c>
      <c r="AB35" s="6">
        <f>'08_PREMISSAS'!V35</f>
        <v>18000.0</v>
      </c>
      <c r="AC35" s="6">
        <f>'12_MODELO'!AC34+'12_MODELO'!AB35</f>
        <v>1896000.0</v>
      </c>
      <c r="AD35" s="6">
        <f>'12_MODELO'!AD34+'12_MODELO'!O35</f>
        <v>466740.0</v>
      </c>
      <c r="AE35" s="6">
        <f>'08_PREMISSAS'!W35</f>
        <v>0.0</v>
      </c>
      <c r="AF35" s="6">
        <f>'08_PREMISSAS'!X35</f>
        <v>18000.0</v>
      </c>
      <c r="AG35" s="6">
        <f>'12_MODELO'!AG34+'12_MODELO'!AE35-'12_MODELO'!AF35</f>
        <v>620000.0</v>
      </c>
      <c r="AH35" s="6">
        <f>'08_PREMISSAS'!Y35</f>
        <v>0.0</v>
      </c>
      <c r="AI35" s="6">
        <f>'12_MODELO'!AI34</f>
        <v>3900000.0</v>
      </c>
      <c r="AJ35" s="6">
        <f>'12_MODELO'!AJ34+'12_MODELO'!T35-'12_MODELO'!AH35</f>
        <v>743318.1199999998</v>
      </c>
      <c r="AK35" s="6">
        <f>'12_MODELO'!U34+'12_MODELO'!C35-'12_MODELO'!U35</f>
        <v>1154399.9999999998</v>
      </c>
      <c r="AL35" s="6">
        <f>'12_MODELO'!X34+'12_MODELO'!W35-'12_MODELO'!X35</f>
        <v>822330.1800000003</v>
      </c>
      <c r="AM35" s="6">
        <f>'12_MODELO'!M35+'12_MODELO'!Y34-'12_MODELO'!Y35</f>
        <v>215376.00000000003</v>
      </c>
      <c r="AN35" s="6">
        <f>'12_MODELO'!Z34+'12_MODELO'!D35-'12_MODELO'!Z35</f>
        <v>100011.0</v>
      </c>
      <c r="AO35" s="6">
        <f>'12_MODELO'!AA34+'12_MODELO'!S35-'12_MODELO'!AA35</f>
        <v>24873.516000000007</v>
      </c>
      <c r="AP35" s="6">
        <f>'12_MODELO'!AK35-'12_MODELO'!AL35-'12_MODELO'!AM35-'12_MODELO'!AN35-'12_MODELO'!Q35-'12_MODELO'!AO35</f>
        <v>-15846.696000000553</v>
      </c>
      <c r="AQ35" s="6">
        <f>'12_MODELO'!T35+'12_MODELO'!O35-('12_MODELO'!U35-'12_MODELO'!U34)-('12_MODELO'!V35-'12_MODELO'!V34)+('12_MODELO'!X35-'12_MODELO'!X34)+('12_MODELO'!Y35-'12_MODELO'!Y34)+('12_MODELO'!Z35-'12_MODELO'!Z34)+('12_MODELO'!AA35-'12_MODELO'!AA34)</f>
        <v>-15846.696000000302</v>
      </c>
      <c r="AR35" s="6">
        <f>-'12_MODELO'!AB35</f>
        <v>-18000.0</v>
      </c>
      <c r="AS35" s="6">
        <f>'12_MODELO'!AE35-'12_MODELO'!AF35-'12_MODELO'!AH35</f>
        <v>-18000.0</v>
      </c>
      <c r="AT35" s="6">
        <f>'12_MODELO'!AQ35+'12_MODELO'!AR35+'12_MODELO'!AS35</f>
        <v>-51846.6960000003</v>
      </c>
      <c r="AU35" s="6">
        <f>'12_MODELO'!AV34</f>
        <v>2139553.4079999994</v>
      </c>
      <c r="AV35" s="6">
        <f>'12_MODELO'!AU35+'12_MODELO'!AT35</f>
        <v>2087706.7119999991</v>
      </c>
      <c r="AW35" s="6">
        <f>'12_MODELO'!AV35+'12_MODELO'!U35+'12_MODELO'!V35+'12_MODELO'!AC35-'12_MODELO'!AD35</f>
        <v>6388551.512</v>
      </c>
      <c r="AX35" s="6">
        <f>'12_MODELO'!X35+'12_MODELO'!Y35+'12_MODELO'!Z35+'12_MODELO'!AA35+'12_MODELO'!AG35</f>
        <v>1745233.3920000002</v>
      </c>
      <c r="AY35" s="6">
        <f>'12_MODELO'!AI35+'12_MODELO'!AJ35</f>
        <v>4643318.12</v>
      </c>
      <c r="AZ35" s="6">
        <f>'12_MODELO'!AW35-'12_MODELO'!AX35-'12_MODELO'!AY35</f>
        <v>0.0</v>
      </c>
      <c r="BA35" s="6">
        <f>'12_MODELO'!AP35-'12_MODELO'!AQ35</f>
        <v>-2.510205376893282e-10</v>
      </c>
      <c r="BB35" s="6">
        <f>'08_PREMISSAS'!O35</f>
        <v>40.0</v>
      </c>
      <c r="BC35" s="6">
        <f>'08_PREMISSAS'!P35</f>
        <v>45.0</v>
      </c>
      <c r="BD35" s="6">
        <f>'08_PREMISSAS'!Q35</f>
        <v>36.0</v>
      </c>
      <c r="BE35" s="9">
        <f>'08_PREMISSAS'!R35</f>
        <v>0.085</v>
      </c>
      <c r="BF35" s="9">
        <f>'08_PREMISSAS'!S35</f>
        <v>0.34</v>
      </c>
      <c r="BG35" s="9">
        <f>'08_PREMISSAS'!T35</f>
        <v>0.012</v>
      </c>
      <c r="BH35" s="9">
        <f>'08_PREMISSAS'!U35</f>
        <v>0.01</v>
      </c>
      <c r="BI35" s="9">
        <f>IFERROR('12_MODELO'!N35/'12_MODELO'!E35,0)</f>
        <v>0.0991877123024664</v>
      </c>
      <c r="BJ35" s="9">
        <f>IFERROR('12_MODELO'!T35/'12_MODELO'!E35,0)</f>
        <v>0.05012557756820051</v>
      </c>
      <c r="BK35" s="6">
        <f>'12_MODELO'!AQ35+'12_MODELO'!AR35</f>
        <v>-33846.6960000003</v>
      </c>
      <c r="BL35" s="6">
        <f>'12_MODELO'!U35+'12_MODELO'!V35-'12_MODELO'!X35-'12_MODELO'!Y35-'12_MODELO'!Z35-'12_MODELO'!AA35</f>
        <v>1746351.4080000005</v>
      </c>
      <c r="BM35" s="6">
        <f>'12_MODELO'!AG35-'12_MODELO'!AV35</f>
        <v>-1467706.7119999991</v>
      </c>
      <c r="BN35" s="6">
        <f>0</f>
        <v>0</v>
      </c>
      <c r="BO35" s="6">
        <f>'12_MODELO'!AV35+'12_MODELO'!U35+'12_MODELO'!V35</f>
        <v>4959291.512</v>
      </c>
      <c r="BP35" s="6">
        <f>'12_MODELO'!AC35-'12_MODELO'!AD35</f>
        <v>1429260.0</v>
      </c>
      <c r="BQ35" s="6">
        <f>MIN('12_MODELO'!AG35,'12_MODELO'!AF35*12)</f>
        <v>216000.0</v>
      </c>
      <c r="BR35" s="6">
        <f>'12_MODELO'!AG35-'12_MODELO'!BQ35</f>
        <v>404000.0</v>
      </c>
      <c r="BS35" s="6">
        <f>'12_MODELO'!AX35-'12_MODELO'!BR35</f>
        <v>1341233.3920000002</v>
      </c>
      <c r="BT35" s="6">
        <f>'12_MODELO'!BR35</f>
        <v>404000.0</v>
      </c>
      <c r="BU35" s="6">
        <f>IFERROR('12_MODELO'!BO35/'12_MODELO'!BS35,0)</f>
        <v>3.6975604257845673</v>
      </c>
    </row>
    <row r="36" spans="1:73">
      <c r="A36" s="5">
        <v>45597</v>
      </c>
      <c r="B36" t="s">
        <v>79</v>
      </c>
      <c r="C36" s="6">
        <f>'08_PREMISSAS'!C36*'08_PREMISSAS'!D36</f>
        <v>1431900.0</v>
      </c>
      <c r="D36" s="6">
        <f>'12_MODELO'!C36*'12_MODELO'!BE36</f>
        <v>121711.50000000001</v>
      </c>
      <c r="E36" s="6">
        <f>'12_MODELO'!C36-'12_MODELO'!D36</f>
        <v>1310188.5</v>
      </c>
      <c r="F36" s="6">
        <f>'12_MODELO'!C36*'08_PREMISSAS'!E36</f>
        <v>932166.9</v>
      </c>
      <c r="G36" s="6">
        <f>'12_MODELO'!E36-'12_MODELO'!F36</f>
        <v>378021.6</v>
      </c>
      <c r="H36" s="6">
        <f>'08_PREMISSAS'!J36</f>
        <v>95000.0</v>
      </c>
      <c r="I36" s="6">
        <f>'12_MODELO'!C36*'08_PREMISSAS'!F36</f>
        <v>48684.600000000006</v>
      </c>
      <c r="J36" s="6">
        <f>'08_PREMISSAS'!L36</f>
        <v>33000.0</v>
      </c>
      <c r="K36" s="6">
        <f>'08_PREMISSAS'!M36</f>
        <v>19000.0</v>
      </c>
      <c r="L36" s="6">
        <f>'12_MODELO'!C36*'08_PREMISSAS'!G36</f>
        <v>30069.9</v>
      </c>
      <c r="M36" s="6">
        <f>SUM('12_MODELO'!H36:'12_MODELO'!L36)</f>
        <v>225754.5</v>
      </c>
      <c r="N36" s="6">
        <f>'12_MODELO'!G36-'12_MODELO'!M36</f>
        <v>152267.09999999998</v>
      </c>
      <c r="O36" s="6">
        <f>MIN('12_MODELO'!AC35*'12_MODELO'!BH36,'12_MODELO'!AC35-'12_MODELO'!AD35+'12_MODELO'!AB36)</f>
        <v>18960.0</v>
      </c>
      <c r="P36" s="6">
        <f>'12_MODELO'!N36-'12_MODELO'!O36</f>
        <v>133307.09999999998</v>
      </c>
      <c r="Q36" s="6">
        <f>'12_MODELO'!AG35*'12_MODELO'!BG36</f>
        <v>7440.0</v>
      </c>
      <c r="R36" s="6">
        <f>'12_MODELO'!P36-'12_MODELO'!Q36</f>
        <v>125867.09999999998</v>
      </c>
      <c r="S36" s="6">
        <f>MAX(0,'12_MODELO'!R36)*'12_MODELO'!BF36</f>
        <v>42794.814</v>
      </c>
      <c r="T36" s="6">
        <f>'12_MODELO'!R36-'12_MODELO'!S36</f>
        <v>83072.28599999998</v>
      </c>
      <c r="U36" s="6">
        <f>'12_MODELO'!C36*'12_MODELO'!BB36/30</f>
        <v>1909200.0</v>
      </c>
      <c r="V36" s="6">
        <f>'12_MODELO'!F36*'12_MODELO'!BC36/30</f>
        <v>1398250.35</v>
      </c>
      <c r="W36" s="6">
        <f>'12_MODELO'!F36+'12_MODELO'!V36-'12_MODELO'!V35</f>
        <v>1116432.4499999997</v>
      </c>
      <c r="X36" s="6">
        <f>'12_MODELO'!F36*'12_MODELO'!BD36/30</f>
        <v>1118600.28</v>
      </c>
      <c r="Y36" s="6">
        <f>'12_MODELO'!H36*20%</f>
        <v>19000.0</v>
      </c>
      <c r="Z36" s="6">
        <f>'12_MODELO'!D36</f>
        <v>121711.50000000001</v>
      </c>
      <c r="AA36" s="6">
        <f>'12_MODELO'!S36</f>
        <v>42794.814</v>
      </c>
      <c r="AB36" s="6">
        <f>'08_PREMISSAS'!V36</f>
        <v>18000.0</v>
      </c>
      <c r="AC36" s="6">
        <f>'12_MODELO'!AC35+'12_MODELO'!AB36</f>
        <v>1914000.0</v>
      </c>
      <c r="AD36" s="6">
        <f>'12_MODELO'!AD35+'12_MODELO'!O36</f>
        <v>485700.0</v>
      </c>
      <c r="AE36" s="6">
        <f>'08_PREMISSAS'!W36</f>
        <v>0.0</v>
      </c>
      <c r="AF36" s="6">
        <f>'08_PREMISSAS'!X36</f>
        <v>18000.0</v>
      </c>
      <c r="AG36" s="6">
        <f>'12_MODELO'!AG35+'12_MODELO'!AE36-'12_MODELO'!AF36</f>
        <v>602000.0</v>
      </c>
      <c r="AH36" s="6">
        <f>'08_PREMISSAS'!Y36</f>
        <v>0.0</v>
      </c>
      <c r="AI36" s="6">
        <f>'12_MODELO'!AI35</f>
        <v>3900000.0</v>
      </c>
      <c r="AJ36" s="6">
        <f>'12_MODELO'!AJ35+'12_MODELO'!T36-'12_MODELO'!AH36</f>
        <v>826390.4059999997</v>
      </c>
      <c r="AK36" s="6">
        <f>'12_MODELO'!U35+'12_MODELO'!C36-'12_MODELO'!U36</f>
        <v>1180300.0</v>
      </c>
      <c r="AL36" s="6">
        <f>'12_MODELO'!X35+'12_MODELO'!W36-'12_MODELO'!X36</f>
        <v>969020.01</v>
      </c>
      <c r="AM36" s="6">
        <f>'12_MODELO'!M36+'12_MODELO'!Y35-'12_MODELO'!Y36</f>
        <v>225754.5</v>
      </c>
      <c r="AN36" s="6">
        <f>'12_MODELO'!Z35+'12_MODELO'!D36-'12_MODELO'!Z36</f>
        <v>105672.00000000004</v>
      </c>
      <c r="AO36" s="6">
        <f>'12_MODELO'!AA35+'12_MODELO'!S36-'12_MODELO'!AA36</f>
        <v>29373.55200000001</v>
      </c>
      <c r="AP36" s="6">
        <f>'12_MODELO'!AK36-'12_MODELO'!AL36-'12_MODELO'!AM36-'12_MODELO'!AN36-'12_MODELO'!Q36-'12_MODELO'!AO36</f>
        <v>-156960.06200000006</v>
      </c>
      <c r="AQ36" s="6">
        <f>'12_MODELO'!T36+'12_MODELO'!O36-('12_MODELO'!U36-'12_MODELO'!U35)-('12_MODELO'!V36-'12_MODELO'!V35)+('12_MODELO'!X36-'12_MODELO'!X35)+('12_MODELO'!Y36-'12_MODELO'!Y35)+('12_MODELO'!Z36-'12_MODELO'!Z35)+('12_MODELO'!AA36-'12_MODELO'!AA35)</f>
        <v>-156960.0619999998</v>
      </c>
      <c r="AR36" s="6">
        <f>-'12_MODELO'!AB36</f>
        <v>-18000.0</v>
      </c>
      <c r="AS36" s="6">
        <f>'12_MODELO'!AE36-'12_MODELO'!AF36-'12_MODELO'!AH36</f>
        <v>-18000.0</v>
      </c>
      <c r="AT36" s="6">
        <f>'12_MODELO'!AQ36+'12_MODELO'!AR36+'12_MODELO'!AS36</f>
        <v>-192960.0619999998</v>
      </c>
      <c r="AU36" s="6">
        <f>'12_MODELO'!AV35</f>
        <v>2087706.7119999991</v>
      </c>
      <c r="AV36" s="6">
        <f>'12_MODELO'!AU36+'12_MODELO'!AT36</f>
        <v>1894746.6499999994</v>
      </c>
      <c r="AW36" s="6">
        <f>'12_MODELO'!AV36+'12_MODELO'!U36+'12_MODELO'!V36+'12_MODELO'!AC36-'12_MODELO'!AD36</f>
        <v>6630497.0</v>
      </c>
      <c r="AX36" s="6">
        <f>'12_MODELO'!X36+'12_MODELO'!Y36+'12_MODELO'!Z36+'12_MODELO'!AA36+'12_MODELO'!AG36</f>
        <v>1904106.594</v>
      </c>
      <c r="AY36" s="6">
        <f>'12_MODELO'!AI36+'12_MODELO'!AJ36</f>
        <v>4726390.4059999995</v>
      </c>
      <c r="AZ36" s="6">
        <f>'12_MODELO'!AW36-'12_MODELO'!AX36-'12_MODELO'!AY36</f>
        <v>0.0</v>
      </c>
      <c r="BA36" s="6">
        <f>'12_MODELO'!AP36-'12_MODELO'!AQ36</f>
        <v>-2.6193447411060333e-10</v>
      </c>
      <c r="BB36" s="6">
        <f>'08_PREMISSAS'!O36</f>
        <v>40.0</v>
      </c>
      <c r="BC36" s="6">
        <f>'08_PREMISSAS'!P36</f>
        <v>45.0</v>
      </c>
      <c r="BD36" s="6">
        <f>'08_PREMISSAS'!Q36</f>
        <v>36.0</v>
      </c>
      <c r="BE36" s="9">
        <f>'08_PREMISSAS'!R36</f>
        <v>0.085</v>
      </c>
      <c r="BF36" s="9">
        <f>'08_PREMISSAS'!S36</f>
        <v>0.34</v>
      </c>
      <c r="BG36" s="9">
        <f>'08_PREMISSAS'!T36</f>
        <v>0.012</v>
      </c>
      <c r="BH36" s="9">
        <f>'08_PREMISSAS'!U36</f>
        <v>0.01</v>
      </c>
      <c r="BI36" s="9">
        <f>IFERROR('12_MODELO'!N36/'12_MODELO'!E36,0)</f>
        <v>0.11621770455167327</v>
      </c>
      <c r="BJ36" s="9">
        <f>IFERROR('12_MODELO'!T36/'12_MODELO'!E36,0)</f>
        <v>0.06340483525843799</v>
      </c>
      <c r="BK36" s="6">
        <f>'12_MODELO'!AQ36+'12_MODELO'!AR36</f>
        <v>-174960.0619999998</v>
      </c>
      <c r="BL36" s="6">
        <f>'12_MODELO'!U36+'12_MODELO'!V36-'12_MODELO'!X36-'12_MODELO'!Y36-'12_MODELO'!Z36-'12_MODELO'!AA36</f>
        <v>2005343.7560000003</v>
      </c>
      <c r="BM36" s="6">
        <f>'12_MODELO'!AG36-'12_MODELO'!AV36</f>
        <v>-1292746.6499999994</v>
      </c>
      <c r="BN36" s="6">
        <f>0</f>
        <v>0</v>
      </c>
      <c r="BO36" s="6">
        <f>'12_MODELO'!AV36+'12_MODELO'!U36+'12_MODELO'!V36</f>
        <v>5202197.0</v>
      </c>
      <c r="BP36" s="6">
        <f>'12_MODELO'!AC36-'12_MODELO'!AD36</f>
        <v>1428300.0</v>
      </c>
      <c r="BQ36" s="6">
        <f>MIN('12_MODELO'!AG36,'12_MODELO'!AF36*12)</f>
        <v>216000.0</v>
      </c>
      <c r="BR36" s="6">
        <f>'12_MODELO'!AG36-'12_MODELO'!BQ36</f>
        <v>386000.0</v>
      </c>
      <c r="BS36" s="6">
        <f>'12_MODELO'!AX36-'12_MODELO'!BR36</f>
        <v>1518106.594</v>
      </c>
      <c r="BT36" s="6">
        <f>'12_MODELO'!BR36</f>
        <v>386000.0</v>
      </c>
      <c r="BU36" s="6">
        <f>IFERROR('12_MODELO'!BO36/'12_MODELO'!BS36,0)</f>
        <v>3.426766618734547</v>
      </c>
    </row>
    <row r="37" spans="1:73">
      <c r="A37" s="5">
        <v>45627</v>
      </c>
      <c r="B37" t="s">
        <v>79</v>
      </c>
      <c r="C37" s="6">
        <f>'08_PREMISSAS'!C37*'08_PREMISSAS'!D37</f>
        <v>1309800.0</v>
      </c>
      <c r="D37" s="6">
        <f>'12_MODELO'!C37*'12_MODELO'!BE37</f>
        <v>111333.00000000001</v>
      </c>
      <c r="E37" s="6">
        <f>'12_MODELO'!C37-'12_MODELO'!D37</f>
        <v>1198467.0</v>
      </c>
      <c r="F37" s="6">
        <f>'12_MODELO'!C37*'08_PREMISSAS'!E37</f>
        <v>852679.8</v>
      </c>
      <c r="G37" s="6">
        <f>'12_MODELO'!E37-'12_MODELO'!F37</f>
        <v>345787.19999999995</v>
      </c>
      <c r="H37" s="6">
        <f>'08_PREMISSAS'!J37</f>
        <v>95000.0</v>
      </c>
      <c r="I37" s="6">
        <f>'12_MODELO'!C37*'08_PREMISSAS'!F37</f>
        <v>44533.200000000004</v>
      </c>
      <c r="J37" s="6">
        <f>'08_PREMISSAS'!L37</f>
        <v>33000.0</v>
      </c>
      <c r="K37" s="6">
        <f>'08_PREMISSAS'!M37</f>
        <v>19000.0</v>
      </c>
      <c r="L37" s="6">
        <f>'12_MODELO'!C37*'08_PREMISSAS'!G37</f>
        <v>27505.800000000003</v>
      </c>
      <c r="M37" s="6">
        <f>SUM('12_MODELO'!H37:'12_MODELO'!L37)</f>
        <v>219039.0</v>
      </c>
      <c r="N37" s="6">
        <f>'12_MODELO'!G37-'12_MODELO'!M37</f>
        <v>126748.19999999995</v>
      </c>
      <c r="O37" s="6">
        <f>MIN('12_MODELO'!AC36*'12_MODELO'!BH37,'12_MODELO'!AC36-'12_MODELO'!AD36+'12_MODELO'!AB37)</f>
        <v>19140.0</v>
      </c>
      <c r="P37" s="6">
        <f>'12_MODELO'!N37-'12_MODELO'!O37</f>
        <v>107608.19999999995</v>
      </c>
      <c r="Q37" s="6">
        <f>'12_MODELO'!AG36*'12_MODELO'!BG37</f>
        <v>7224.0</v>
      </c>
      <c r="R37" s="6">
        <f>'12_MODELO'!P37-'12_MODELO'!Q37</f>
        <v>100384.19999999995</v>
      </c>
      <c r="S37" s="6">
        <f>MAX(0,'12_MODELO'!R37)*'12_MODELO'!BF37</f>
        <v>34130.62799999999</v>
      </c>
      <c r="T37" s="6">
        <f>'12_MODELO'!R37-'12_MODELO'!S37</f>
        <v>66253.57199999996</v>
      </c>
      <c r="U37" s="6">
        <f>'12_MODELO'!C37*'12_MODELO'!BB37/30</f>
        <v>1746400.0</v>
      </c>
      <c r="V37" s="6">
        <f>'12_MODELO'!F37*'12_MODELO'!BC37/30</f>
        <v>1279019.7</v>
      </c>
      <c r="W37" s="6">
        <f>'12_MODELO'!F37+'12_MODELO'!V37-'12_MODELO'!V36</f>
        <v>733449.1499999999</v>
      </c>
      <c r="X37" s="6">
        <f>'12_MODELO'!F37*'12_MODELO'!BD37/30</f>
        <v>1023215.76</v>
      </c>
      <c r="Y37" s="6">
        <f>'12_MODELO'!H37*20%</f>
        <v>19000.0</v>
      </c>
      <c r="Z37" s="6">
        <f>'12_MODELO'!D37</f>
        <v>111333.00000000001</v>
      </c>
      <c r="AA37" s="6">
        <f>'12_MODELO'!S37</f>
        <v>34130.62799999999</v>
      </c>
      <c r="AB37" s="6">
        <f>'08_PREMISSAS'!V37</f>
        <v>90000.0</v>
      </c>
      <c r="AC37" s="6">
        <f>'12_MODELO'!AC36+'12_MODELO'!AB37</f>
        <v>2004000.0</v>
      </c>
      <c r="AD37" s="6">
        <f>'12_MODELO'!AD36+'12_MODELO'!O37</f>
        <v>504840.0</v>
      </c>
      <c r="AE37" s="6">
        <f>'08_PREMISSAS'!W37</f>
        <v>0.0</v>
      </c>
      <c r="AF37" s="6">
        <f>'08_PREMISSAS'!X37</f>
        <v>18000.0</v>
      </c>
      <c r="AG37" s="6">
        <f>'12_MODELO'!AG36+'12_MODELO'!AE37-'12_MODELO'!AF37</f>
        <v>584000.0</v>
      </c>
      <c r="AH37" s="6">
        <f>'08_PREMISSAS'!Y37</f>
        <v>0.0</v>
      </c>
      <c r="AI37" s="6">
        <f>'12_MODELO'!AI36</f>
        <v>3900000.0</v>
      </c>
      <c r="AJ37" s="6">
        <f>'12_MODELO'!AJ36+'12_MODELO'!T37-'12_MODELO'!AH37</f>
        <v>892643.9779999997</v>
      </c>
      <c r="AK37" s="6">
        <f>'12_MODELO'!U36+'12_MODELO'!C37-'12_MODELO'!U37</f>
        <v>1472600.0</v>
      </c>
      <c r="AL37" s="6">
        <f>'12_MODELO'!X36+'12_MODELO'!W37-'12_MODELO'!X37</f>
        <v>828833.6699999999</v>
      </c>
      <c r="AM37" s="6">
        <f>'12_MODELO'!M37+'12_MODELO'!Y36-'12_MODELO'!Y37</f>
        <v>219039.0</v>
      </c>
      <c r="AN37" s="6">
        <f>'12_MODELO'!Z36+'12_MODELO'!D37-'12_MODELO'!Z37</f>
        <v>121711.50000000001</v>
      </c>
      <c r="AO37" s="6">
        <f>'12_MODELO'!AA36+'12_MODELO'!S37-'12_MODELO'!AA37</f>
        <v>42794.81399999999</v>
      </c>
      <c r="AP37" s="6">
        <f>'12_MODELO'!AK37-'12_MODELO'!AL37-'12_MODELO'!AM37-'12_MODELO'!AN37-'12_MODELO'!Q37-'12_MODELO'!AO37</f>
        <v>252997.0160000001</v>
      </c>
      <c r="AQ37" s="6">
        <f>'12_MODELO'!T37+'12_MODELO'!O37-('12_MODELO'!U37-'12_MODELO'!U36)-('12_MODELO'!V37-'12_MODELO'!V36)+('12_MODELO'!X37-'12_MODELO'!X36)+('12_MODELO'!Y37-'12_MODELO'!Y36)+('12_MODELO'!Z37-'12_MODELO'!Z36)+('12_MODELO'!AA37-'12_MODELO'!AA36)</f>
        <v>252997.01600000003</v>
      </c>
      <c r="AR37" s="6">
        <f>-'12_MODELO'!AB37</f>
        <v>-90000.0</v>
      </c>
      <c r="AS37" s="6">
        <f>'12_MODELO'!AE37-'12_MODELO'!AF37-'12_MODELO'!AH37</f>
        <v>-18000.0</v>
      </c>
      <c r="AT37" s="6">
        <f>'12_MODELO'!AQ37+'12_MODELO'!AR37+'12_MODELO'!AS37</f>
        <v>144997.01600000003</v>
      </c>
      <c r="AU37" s="6">
        <f>'12_MODELO'!AV36</f>
        <v>1894746.6499999994</v>
      </c>
      <c r="AV37" s="6">
        <f>'12_MODELO'!AU37+'12_MODELO'!AT37</f>
        <v>2039743.6659999995</v>
      </c>
      <c r="AW37" s="6">
        <f>'12_MODELO'!AV37+'12_MODELO'!U37+'12_MODELO'!V37+'12_MODELO'!AC37-'12_MODELO'!AD37</f>
        <v>6564323.365999999</v>
      </c>
      <c r="AX37" s="6">
        <f>'12_MODELO'!X37+'12_MODELO'!Y37+'12_MODELO'!Z37+'12_MODELO'!AA37+'12_MODELO'!AG37</f>
        <v>1771679.388</v>
      </c>
      <c r="AY37" s="6">
        <f>'12_MODELO'!AI37+'12_MODELO'!AJ37</f>
        <v>4792643.978</v>
      </c>
      <c r="AZ37" s="6">
        <f>'12_MODELO'!AW37-'12_MODELO'!AX37-'12_MODELO'!AY37</f>
        <v>-9.313225746154785e-10</v>
      </c>
      <c r="BA37" s="6">
        <f>'12_MODELO'!AP37-'12_MODELO'!AQ37</f>
        <v>5.820766091346741e-11</v>
      </c>
      <c r="BB37" s="6">
        <f>'08_PREMISSAS'!O37</f>
        <v>40.0</v>
      </c>
      <c r="BC37" s="6">
        <f>'08_PREMISSAS'!P37</f>
        <v>45.0</v>
      </c>
      <c r="BD37" s="6">
        <f>'08_PREMISSAS'!Q37</f>
        <v>36.0</v>
      </c>
      <c r="BE37" s="9">
        <f>'08_PREMISSAS'!R37</f>
        <v>0.085</v>
      </c>
      <c r="BF37" s="9">
        <f>'08_PREMISSAS'!S37</f>
        <v>0.34</v>
      </c>
      <c r="BG37" s="9">
        <f>'08_PREMISSAS'!T37</f>
        <v>0.012</v>
      </c>
      <c r="BH37" s="9">
        <f>'08_PREMISSAS'!U37</f>
        <v>0.01</v>
      </c>
      <c r="BI37" s="9">
        <f>IFERROR('12_MODELO'!N37/'12_MODELO'!E37,0)</f>
        <v>0.10575860661995695</v>
      </c>
      <c r="BJ37" s="9">
        <f>IFERROR('12_MODELO'!T37/'12_MODELO'!E37,0)</f>
        <v>0.05528193266898459</v>
      </c>
      <c r="BK37" s="6">
        <f>'12_MODELO'!AQ37+'12_MODELO'!AR37</f>
        <v>162997.01600000003</v>
      </c>
      <c r="BL37" s="6">
        <f>'12_MODELO'!U37+'12_MODELO'!V37-'12_MODELO'!X37-'12_MODELO'!Y37-'12_MODELO'!Z37-'12_MODELO'!AA37</f>
        <v>1837740.3120000002</v>
      </c>
      <c r="BM37" s="6">
        <f>'12_MODELO'!AG37-'12_MODELO'!AV37</f>
        <v>-1455743.6659999995</v>
      </c>
      <c r="BN37" s="6">
        <f>0</f>
        <v>0</v>
      </c>
      <c r="BO37" s="6">
        <f>'12_MODELO'!AV37+'12_MODELO'!U37+'12_MODELO'!V37</f>
        <v>5065163.365999999</v>
      </c>
      <c r="BP37" s="6">
        <f>'12_MODELO'!AC37-'12_MODELO'!AD37</f>
        <v>1499160.0</v>
      </c>
      <c r="BQ37" s="6">
        <f>MIN('12_MODELO'!AG37,'12_MODELO'!AF37*12)</f>
        <v>216000.0</v>
      </c>
      <c r="BR37" s="6">
        <f>'12_MODELO'!AG37-'12_MODELO'!BQ37</f>
        <v>368000.0</v>
      </c>
      <c r="BS37" s="6">
        <f>'12_MODELO'!AX37-'12_MODELO'!BR37</f>
        <v>1403679.388</v>
      </c>
      <c r="BT37" s="6">
        <f>'12_MODELO'!BR37</f>
        <v>368000.0</v>
      </c>
      <c r="BU37" s="6">
        <f>IFERROR('12_MODELO'!BO37/'12_MODELO'!BS37,0)</f>
        <v>3.608490235948381</v>
      </c>
    </row>
    <row r="38" spans="1:73">
      <c r="A38" s="5">
        <v>45658</v>
      </c>
      <c r="B38" t="s">
        <v>79</v>
      </c>
      <c r="C38" s="6">
        <f>'08_PREMISSAS'!C38*'08_PREMISSAS'!D38</f>
        <v>1047840.0</v>
      </c>
      <c r="D38" s="6">
        <f>'12_MODELO'!C38*'12_MODELO'!BE38</f>
        <v>89066.40000000001</v>
      </c>
      <c r="E38" s="6">
        <f>'12_MODELO'!C38-'12_MODELO'!D38</f>
        <v>958773.6</v>
      </c>
      <c r="F38" s="6">
        <f>'12_MODELO'!C38*'08_PREMISSAS'!E38</f>
        <v>682143.84</v>
      </c>
      <c r="G38" s="6">
        <f>'12_MODELO'!E38-'12_MODELO'!F38</f>
        <v>276629.76</v>
      </c>
      <c r="H38" s="6">
        <f>'08_PREMISSAS'!J38</f>
        <v>102600.0</v>
      </c>
      <c r="I38" s="6">
        <f>'12_MODELO'!C38*'08_PREMISSAS'!F38</f>
        <v>35626.560000000005</v>
      </c>
      <c r="J38" s="6">
        <f>'08_PREMISSAS'!L38</f>
        <v>33000.0</v>
      </c>
      <c r="K38" s="6">
        <f>'08_PREMISSAS'!M38</f>
        <v>19000.0</v>
      </c>
      <c r="L38" s="6">
        <f>'12_MODELO'!C38*'08_PREMISSAS'!G38</f>
        <v>22004.640000000003</v>
      </c>
      <c r="M38" s="6">
        <f>SUM('12_MODELO'!H38:'12_MODELO'!L38)</f>
        <v>212231.2</v>
      </c>
      <c r="N38" s="6">
        <f>'12_MODELO'!G38-'12_MODELO'!M38</f>
        <v>64398.56</v>
      </c>
      <c r="O38" s="6">
        <f>MIN('12_MODELO'!AC37*'12_MODELO'!BH38,'12_MODELO'!AC37-'12_MODELO'!AD37+'12_MODELO'!AB38)</f>
        <v>20040.0</v>
      </c>
      <c r="P38" s="6">
        <f>'12_MODELO'!N38-'12_MODELO'!O38</f>
        <v>44358.56</v>
      </c>
      <c r="Q38" s="6">
        <f>'12_MODELO'!AG37*'12_MODELO'!BG38</f>
        <v>7008.0</v>
      </c>
      <c r="R38" s="6">
        <f>'12_MODELO'!P38-'12_MODELO'!Q38</f>
        <v>37350.56</v>
      </c>
      <c r="S38" s="6">
        <f>MAX(0,'12_MODELO'!R38)*'12_MODELO'!BF38</f>
        <v>12699.1904</v>
      </c>
      <c r="T38" s="6">
        <f>'12_MODELO'!R38-'12_MODELO'!S38</f>
        <v>24651.369599999998</v>
      </c>
      <c r="U38" s="6">
        <f>'12_MODELO'!C38*'12_MODELO'!BB38/30</f>
        <v>1397120.0</v>
      </c>
      <c r="V38" s="6">
        <f>'12_MODELO'!F38*'12_MODELO'!BC38/30</f>
        <v>1023215.7599999999</v>
      </c>
      <c r="W38" s="6">
        <f>'12_MODELO'!F38+'12_MODELO'!V38-'12_MODELO'!V37</f>
        <v>426339.8999999999</v>
      </c>
      <c r="X38" s="6">
        <f>'12_MODELO'!F38*'12_MODELO'!BD38/30</f>
        <v>818572.6079999999</v>
      </c>
      <c r="Y38" s="6">
        <f>'12_MODELO'!H38*20%</f>
        <v>20520.0</v>
      </c>
      <c r="Z38" s="6">
        <f>'12_MODELO'!D38</f>
        <v>89066.40000000001</v>
      </c>
      <c r="AA38" s="6">
        <f>'12_MODELO'!S38</f>
        <v>12699.1904</v>
      </c>
      <c r="AB38" s="6">
        <f>'08_PREMISSAS'!V38</f>
        <v>18000.0</v>
      </c>
      <c r="AC38" s="6">
        <f>'12_MODELO'!AC37+'12_MODELO'!AB38</f>
        <v>2022000.0</v>
      </c>
      <c r="AD38" s="6">
        <f>'12_MODELO'!AD37+'12_MODELO'!O38</f>
        <v>524880.0</v>
      </c>
      <c r="AE38" s="6">
        <f>'08_PREMISSAS'!W38</f>
        <v>0.0</v>
      </c>
      <c r="AF38" s="6">
        <f>'08_PREMISSAS'!X38</f>
        <v>18000.0</v>
      </c>
      <c r="AG38" s="6">
        <f>'12_MODELO'!AG37+'12_MODELO'!AE38-'12_MODELO'!AF38</f>
        <v>566000.0</v>
      </c>
      <c r="AH38" s="6">
        <f>'08_PREMISSAS'!Y38</f>
        <v>0.0</v>
      </c>
      <c r="AI38" s="6">
        <f>'12_MODELO'!AI37</f>
        <v>3900000.0</v>
      </c>
      <c r="AJ38" s="6">
        <f>'12_MODELO'!AJ37+'12_MODELO'!T38-'12_MODELO'!AH38</f>
        <v>917295.3475999996</v>
      </c>
      <c r="AK38" s="6">
        <f>'12_MODELO'!U37+'12_MODELO'!C38-'12_MODELO'!U38</f>
        <v>1397120.0</v>
      </c>
      <c r="AL38" s="6">
        <f>'12_MODELO'!X37+'12_MODELO'!W38-'12_MODELO'!X38</f>
        <v>630983.052</v>
      </c>
      <c r="AM38" s="6">
        <f>'12_MODELO'!M38+'12_MODELO'!Y37-'12_MODELO'!Y38</f>
        <v>210711.2</v>
      </c>
      <c r="AN38" s="6">
        <f>'12_MODELO'!Z37+'12_MODELO'!D38-'12_MODELO'!Z38</f>
        <v>111333.00000000001</v>
      </c>
      <c r="AO38" s="6">
        <f>'12_MODELO'!AA37+'12_MODELO'!S38-'12_MODELO'!AA38</f>
        <v>34130.62799999999</v>
      </c>
      <c r="AP38" s="6">
        <f>'12_MODELO'!AK38-'12_MODELO'!AL38-'12_MODELO'!AM38-'12_MODELO'!AN38-'12_MODELO'!Q38-'12_MODELO'!AO38</f>
        <v>402954.11999999994</v>
      </c>
      <c r="AQ38" s="6">
        <f>'12_MODELO'!T38+'12_MODELO'!O38-('12_MODELO'!U38-'12_MODELO'!U37)-('12_MODELO'!V38-'12_MODELO'!V37)+('12_MODELO'!X38-'12_MODELO'!X37)+('12_MODELO'!Y38-'12_MODELO'!Y37)+('12_MODELO'!Z38-'12_MODELO'!Z37)+('12_MODELO'!AA38-'12_MODELO'!AA37)</f>
        <v>402954.11999999994</v>
      </c>
      <c r="AR38" s="6">
        <f>-'12_MODELO'!AB38</f>
        <v>-18000.0</v>
      </c>
      <c r="AS38" s="6">
        <f>'12_MODELO'!AE38-'12_MODELO'!AF38-'12_MODELO'!AH38</f>
        <v>-18000.0</v>
      </c>
      <c r="AT38" s="6">
        <f>'12_MODELO'!AQ38+'12_MODELO'!AR38+'12_MODELO'!AS38</f>
        <v>366954.11999999994</v>
      </c>
      <c r="AU38" s="6">
        <f>'12_MODELO'!AV37</f>
        <v>2039743.6659999995</v>
      </c>
      <c r="AV38" s="6">
        <f>'12_MODELO'!AU38+'12_MODELO'!AT38</f>
        <v>2406697.7859999994</v>
      </c>
      <c r="AW38" s="6">
        <f>'12_MODELO'!AV38+'12_MODELO'!U38+'12_MODELO'!V38+'12_MODELO'!AC38-'12_MODELO'!AD38</f>
        <v>6324153.545999999</v>
      </c>
      <c r="AX38" s="6">
        <f>'12_MODELO'!X38+'12_MODELO'!Y38+'12_MODELO'!Z38+'12_MODELO'!AA38+'12_MODELO'!AG38</f>
        <v>1506858.1983999999</v>
      </c>
      <c r="AY38" s="6">
        <f>'12_MODELO'!AI38+'12_MODELO'!AJ38</f>
        <v>4817295.3476</v>
      </c>
      <c r="AZ38" s="6">
        <f>'12_MODELO'!AW38-'12_MODELO'!AX38-'12_MODELO'!AY38</f>
        <v>-9.313225746154785e-10</v>
      </c>
      <c r="BA38" s="6">
        <f>'12_MODELO'!AP38-'12_MODELO'!AQ38</f>
        <v>0.0</v>
      </c>
      <c r="BB38" s="6">
        <f>'08_PREMISSAS'!O38</f>
        <v>40.0</v>
      </c>
      <c r="BC38" s="6">
        <f>'08_PREMISSAS'!P38</f>
        <v>45.0</v>
      </c>
      <c r="BD38" s="6">
        <f>'08_PREMISSAS'!Q38</f>
        <v>36.0</v>
      </c>
      <c r="BE38" s="9">
        <f>'08_PREMISSAS'!R38</f>
        <v>0.085</v>
      </c>
      <c r="BF38" s="9">
        <f>'08_PREMISSAS'!S38</f>
        <v>0.34</v>
      </c>
      <c r="BG38" s="9">
        <f>'08_PREMISSAS'!T38</f>
        <v>0.012</v>
      </c>
      <c r="BH38" s="9">
        <f>'08_PREMISSAS'!U38</f>
        <v>0.01</v>
      </c>
      <c r="BI38" s="9">
        <f>IFERROR('12_MODELO'!N38/'12_MODELO'!E38,0)</f>
        <v>0.06716763999342493</v>
      </c>
      <c r="BJ38" s="9">
        <f>IFERROR('12_MODELO'!T38/'12_MODELO'!E38,0)</f>
        <v>0.025711356257619108</v>
      </c>
      <c r="BK38" s="6">
        <f>'12_MODELO'!AQ38+'12_MODELO'!AR38</f>
        <v>384954.11999999994</v>
      </c>
      <c r="BL38" s="6">
        <f>'12_MODELO'!U38+'12_MODELO'!V38-'12_MODELO'!X38-'12_MODELO'!Y38-'12_MODELO'!Z38-'12_MODELO'!AA38</f>
        <v>1479477.5616</v>
      </c>
      <c r="BM38" s="6">
        <f>'12_MODELO'!AG38-'12_MODELO'!AV38</f>
        <v>-1840697.7859999994</v>
      </c>
      <c r="BN38" s="6">
        <f>0</f>
        <v>0</v>
      </c>
      <c r="BO38" s="6">
        <f>'12_MODELO'!AV38+'12_MODELO'!U38+'12_MODELO'!V38</f>
        <v>4827033.545999999</v>
      </c>
      <c r="BP38" s="6">
        <f>'12_MODELO'!AC38-'12_MODELO'!AD38</f>
        <v>1497120.0</v>
      </c>
      <c r="BQ38" s="6">
        <f>MIN('12_MODELO'!AG38,'12_MODELO'!AF38*12)</f>
        <v>216000.0</v>
      </c>
      <c r="BR38" s="6">
        <f>'12_MODELO'!AG38-'12_MODELO'!BQ38</f>
        <v>350000.0</v>
      </c>
      <c r="BS38" s="6">
        <f>'12_MODELO'!AX38-'12_MODELO'!BR38</f>
        <v>1156858.1983999999</v>
      </c>
      <c r="BT38" s="6">
        <f>'12_MODELO'!BR38</f>
        <v>350000.0</v>
      </c>
      <c r="BU38" s="6">
        <f>IFERROR('12_MODELO'!BO38/'12_MODELO'!BS38,0)</f>
        <v>4.172536921704024</v>
      </c>
    </row>
    <row r="39" spans="1:73">
      <c r="A39" s="5">
        <v>45689</v>
      </c>
      <c r="B39" t="s">
        <v>79</v>
      </c>
      <c r="C39" s="6">
        <f>'08_PREMISSAS'!C39*'08_PREMISSAS'!D39</f>
        <v>1087134.0</v>
      </c>
      <c r="D39" s="6">
        <f>'12_MODELO'!C39*'12_MODELO'!BE39</f>
        <v>92406.39</v>
      </c>
      <c r="E39" s="6">
        <f>'12_MODELO'!C39-'12_MODELO'!D39</f>
        <v>994727.61</v>
      </c>
      <c r="F39" s="6">
        <f>'12_MODELO'!C39*'08_PREMISSAS'!E39</f>
        <v>707724.234</v>
      </c>
      <c r="G39" s="6">
        <f>'12_MODELO'!E39-'12_MODELO'!F39</f>
        <v>287003.37599999993</v>
      </c>
      <c r="H39" s="6">
        <f>'08_PREMISSAS'!J39</f>
        <v>102600.0</v>
      </c>
      <c r="I39" s="6">
        <f>'12_MODELO'!C39*'08_PREMISSAS'!F39</f>
        <v>36962.556000000004</v>
      </c>
      <c r="J39" s="6">
        <f>'08_PREMISSAS'!L39</f>
        <v>33000.0</v>
      </c>
      <c r="K39" s="6">
        <f>'08_PREMISSAS'!M39</f>
        <v>19000.0</v>
      </c>
      <c r="L39" s="6">
        <f>'12_MODELO'!C39*'08_PREMISSAS'!G39</f>
        <v>22829.814000000002</v>
      </c>
      <c r="M39" s="6">
        <f>SUM('12_MODELO'!H39:'12_MODELO'!L39)</f>
        <v>214392.37</v>
      </c>
      <c r="N39" s="6">
        <f>'12_MODELO'!G39-'12_MODELO'!M39</f>
        <v>72611.00599999994</v>
      </c>
      <c r="O39" s="6">
        <f>MIN('12_MODELO'!AC38*'12_MODELO'!BH39,'12_MODELO'!AC38-'12_MODELO'!AD38+'12_MODELO'!AB39)</f>
        <v>20220.0</v>
      </c>
      <c r="P39" s="6">
        <f>'12_MODELO'!N39-'12_MODELO'!O39</f>
        <v>52391.005999999936</v>
      </c>
      <c r="Q39" s="6">
        <f>'12_MODELO'!AG38*'12_MODELO'!BG39</f>
        <v>6792.0</v>
      </c>
      <c r="R39" s="6">
        <f>'12_MODELO'!P39-'12_MODELO'!Q39</f>
        <v>45599.005999999936</v>
      </c>
      <c r="S39" s="6">
        <f>MAX(0,'12_MODELO'!R39)*'12_MODELO'!BF39</f>
        <v>15503.66203999998</v>
      </c>
      <c r="T39" s="6">
        <f>'12_MODELO'!R39-'12_MODELO'!S39</f>
        <v>30095.343959999955</v>
      </c>
      <c r="U39" s="6">
        <f>'12_MODELO'!C39*'12_MODELO'!BB39/30</f>
        <v>1449512.0</v>
      </c>
      <c r="V39" s="6">
        <f>'12_MODELO'!F39*'12_MODELO'!BC39/30</f>
        <v>1061586.351</v>
      </c>
      <c r="W39" s="6">
        <f>'12_MODELO'!F39+'12_MODELO'!V39-'12_MODELO'!V38</f>
        <v>746094.8250000001</v>
      </c>
      <c r="X39" s="6">
        <f>'12_MODELO'!F39*'12_MODELO'!BD39/30</f>
        <v>849269.0808000001</v>
      </c>
      <c r="Y39" s="6">
        <f>'12_MODELO'!H39*20%</f>
        <v>20520.0</v>
      </c>
      <c r="Z39" s="6">
        <f>'12_MODELO'!D39</f>
        <v>92406.39</v>
      </c>
      <c r="AA39" s="6">
        <f>'12_MODELO'!S39</f>
        <v>15503.66203999998</v>
      </c>
      <c r="AB39" s="6">
        <f>'08_PREMISSAS'!V39</f>
        <v>18000.0</v>
      </c>
      <c r="AC39" s="6">
        <f>'12_MODELO'!AC38+'12_MODELO'!AB39</f>
        <v>2040000.0</v>
      </c>
      <c r="AD39" s="6">
        <f>'12_MODELO'!AD38+'12_MODELO'!O39</f>
        <v>545100.0</v>
      </c>
      <c r="AE39" s="6">
        <f>'08_PREMISSAS'!W39</f>
        <v>0.0</v>
      </c>
      <c r="AF39" s="6">
        <f>'08_PREMISSAS'!X39</f>
        <v>18000.0</v>
      </c>
      <c r="AG39" s="6">
        <f>'12_MODELO'!AG38+'12_MODELO'!AE39-'12_MODELO'!AF39</f>
        <v>548000.0</v>
      </c>
      <c r="AH39" s="6">
        <f>'08_PREMISSAS'!Y39</f>
        <v>0.0</v>
      </c>
      <c r="AI39" s="6">
        <f>'12_MODELO'!AI38</f>
        <v>3900000.0</v>
      </c>
      <c r="AJ39" s="6">
        <f>'12_MODELO'!AJ38+'12_MODELO'!T39-'12_MODELO'!AH39</f>
        <v>947390.6915599996</v>
      </c>
      <c r="AK39" s="6">
        <f>'12_MODELO'!U38+'12_MODELO'!C39-'12_MODELO'!U39</f>
        <v>1034742.0</v>
      </c>
      <c r="AL39" s="6">
        <f>'12_MODELO'!X38+'12_MODELO'!W39-'12_MODELO'!X39</f>
        <v>715398.3521999998</v>
      </c>
      <c r="AM39" s="6">
        <f>'12_MODELO'!M39+'12_MODELO'!Y38-'12_MODELO'!Y39</f>
        <v>214392.37</v>
      </c>
      <c r="AN39" s="6">
        <f>'12_MODELO'!Z38+'12_MODELO'!D39-'12_MODELO'!Z39</f>
        <v>89066.40000000001</v>
      </c>
      <c r="AO39" s="6">
        <f>'12_MODELO'!AA38+'12_MODELO'!S39-'12_MODELO'!AA39</f>
        <v>12699.190400000001</v>
      </c>
      <c r="AP39" s="6">
        <f>'12_MODELO'!AK39-'12_MODELO'!AL39-'12_MODELO'!AM39-'12_MODELO'!AN39-'12_MODELO'!Q39-'12_MODELO'!AO39</f>
        <v>-3606.312599999854</v>
      </c>
      <c r="AQ39" s="6">
        <f>'12_MODELO'!T39+'12_MODELO'!O39-('12_MODELO'!U39-'12_MODELO'!U38)-('12_MODELO'!V39-'12_MODELO'!V38)+('12_MODELO'!X39-'12_MODELO'!X38)+('12_MODELO'!Y39-'12_MODELO'!Y38)+('12_MODELO'!Z39-'12_MODELO'!Z38)+('12_MODELO'!AA39-'12_MODELO'!AA38)</f>
        <v>-3606.312599999983</v>
      </c>
      <c r="AR39" s="6">
        <f>-'12_MODELO'!AB39</f>
        <v>-18000.0</v>
      </c>
      <c r="AS39" s="6">
        <f>'12_MODELO'!AE39-'12_MODELO'!AF39-'12_MODELO'!AH39</f>
        <v>-18000.0</v>
      </c>
      <c r="AT39" s="6">
        <f>'12_MODELO'!AQ39+'12_MODELO'!AR39+'12_MODELO'!AS39</f>
        <v>-39606.31259999998</v>
      </c>
      <c r="AU39" s="6">
        <f>'12_MODELO'!AV38</f>
        <v>2406697.7859999994</v>
      </c>
      <c r="AV39" s="6">
        <f>'12_MODELO'!AU39+'12_MODELO'!AT39</f>
        <v>2367091.4733999996</v>
      </c>
      <c r="AW39" s="6">
        <f>'12_MODELO'!AV39+'12_MODELO'!U39+'12_MODELO'!V39+'12_MODELO'!AC39-'12_MODELO'!AD39</f>
        <v>6373089.824399999</v>
      </c>
      <c r="AX39" s="6">
        <f>'12_MODELO'!X39+'12_MODELO'!Y39+'12_MODELO'!Z39+'12_MODELO'!AA39+'12_MODELO'!AG39</f>
        <v>1525699.13284</v>
      </c>
      <c r="AY39" s="6">
        <f>'12_MODELO'!AI39+'12_MODELO'!AJ39</f>
        <v>4847390.691559999</v>
      </c>
      <c r="AZ39" s="6">
        <f>'12_MODELO'!AW39-'12_MODELO'!AX39-'12_MODELO'!AY39</f>
        <v>0.0</v>
      </c>
      <c r="BA39" s="6">
        <f>'12_MODELO'!AP39-'12_MODELO'!AQ39</f>
        <v>1.291482476517558e-10</v>
      </c>
      <c r="BB39" s="6">
        <f>'08_PREMISSAS'!O39</f>
        <v>40.0</v>
      </c>
      <c r="BC39" s="6">
        <f>'08_PREMISSAS'!P39</f>
        <v>45.0</v>
      </c>
      <c r="BD39" s="6">
        <f>'08_PREMISSAS'!Q39</f>
        <v>36.0</v>
      </c>
      <c r="BE39" s="9">
        <f>'08_PREMISSAS'!R39</f>
        <v>0.085</v>
      </c>
      <c r="BF39" s="9">
        <f>'08_PREMISSAS'!S39</f>
        <v>0.34</v>
      </c>
      <c r="BG39" s="9">
        <f>'08_PREMISSAS'!T39</f>
        <v>0.012</v>
      </c>
      <c r="BH39" s="9">
        <f>'08_PREMISSAS'!U39</f>
        <v>0.01</v>
      </c>
      <c r="BI39" s="9">
        <f>IFERROR('12_MODELO'!N39/'12_MODELO'!E39,0)</f>
        <v>0.07299586868811245</v>
      </c>
      <c r="BJ39" s="9">
        <f>IFERROR('12_MODELO'!T39/'12_MODELO'!E39,0)</f>
        <v>0.03025485937803612</v>
      </c>
      <c r="BK39" s="6">
        <f>'12_MODELO'!AQ39+'12_MODELO'!AR39</f>
        <v>-21606.312599999983</v>
      </c>
      <c r="BL39" s="6">
        <f>'12_MODELO'!U39+'12_MODELO'!V39-'12_MODELO'!X39-'12_MODELO'!Y39-'12_MODELO'!Z39-'12_MODELO'!AA39</f>
        <v>1533399.2181599997</v>
      </c>
      <c r="BM39" s="6">
        <f>'12_MODELO'!AG39-'12_MODELO'!AV39</f>
        <v>-1819091.4733999996</v>
      </c>
      <c r="BN39" s="6">
        <f>0</f>
        <v>0</v>
      </c>
      <c r="BO39" s="6">
        <f>'12_MODELO'!AV39+'12_MODELO'!U39+'12_MODELO'!V39</f>
        <v>4878189.824399999</v>
      </c>
      <c r="BP39" s="6">
        <f>'12_MODELO'!AC39-'12_MODELO'!AD39</f>
        <v>1494900.0</v>
      </c>
      <c r="BQ39" s="6">
        <f>MIN('12_MODELO'!AG39,'12_MODELO'!AF39*12)</f>
        <v>216000.0</v>
      </c>
      <c r="BR39" s="6">
        <f>'12_MODELO'!AG39-'12_MODELO'!BQ39</f>
        <v>332000.0</v>
      </c>
      <c r="BS39" s="6">
        <f>'12_MODELO'!AX39-'12_MODELO'!BR39</f>
        <v>1193699.13284</v>
      </c>
      <c r="BT39" s="6">
        <f>'12_MODELO'!BR39</f>
        <v>332000.0</v>
      </c>
      <c r="BU39" s="6">
        <f>IFERROR('12_MODELO'!BO39/'12_MODELO'!BS39,0)</f>
        <v>4.086615873460517</v>
      </c>
    </row>
    <row r="40" spans="1:73">
      <c r="A40" s="5">
        <v>45717</v>
      </c>
      <c r="B40" t="s">
        <v>79</v>
      </c>
      <c r="C40" s="6">
        <f>'08_PREMISSAS'!C40*'08_PREMISSAS'!D40</f>
        <v>1296702.0</v>
      </c>
      <c r="D40" s="6">
        <f>'12_MODELO'!C40*'12_MODELO'!BE40</f>
        <v>110219.67000000001</v>
      </c>
      <c r="E40" s="6">
        <f>'12_MODELO'!C40-'12_MODELO'!D40</f>
        <v>1186482.33</v>
      </c>
      <c r="F40" s="6">
        <f>'12_MODELO'!C40*'08_PREMISSAS'!E40</f>
        <v>844153.002</v>
      </c>
      <c r="G40" s="6">
        <f>'12_MODELO'!E40-'12_MODELO'!F40</f>
        <v>342329.3280000001</v>
      </c>
      <c r="H40" s="6">
        <f>'08_PREMISSAS'!J40</f>
        <v>102600.0</v>
      </c>
      <c r="I40" s="6">
        <f>'12_MODELO'!C40*'08_PREMISSAS'!F40</f>
        <v>44087.868</v>
      </c>
      <c r="J40" s="6">
        <f>'08_PREMISSAS'!L40</f>
        <v>33000.0</v>
      </c>
      <c r="K40" s="6">
        <f>'08_PREMISSAS'!M40</f>
        <v>19000.0</v>
      </c>
      <c r="L40" s="6">
        <f>'12_MODELO'!C40*'08_PREMISSAS'!G40</f>
        <v>27230.742000000002</v>
      </c>
      <c r="M40" s="6">
        <f>SUM('12_MODELO'!H40:'12_MODELO'!L40)</f>
        <v>225918.61000000002</v>
      </c>
      <c r="N40" s="6">
        <f>'12_MODELO'!G40-'12_MODELO'!M40</f>
        <v>116410.71800000008</v>
      </c>
      <c r="O40" s="6">
        <f>MIN('12_MODELO'!AC39*'12_MODELO'!BH40,'12_MODELO'!AC39-'12_MODELO'!AD39+'12_MODELO'!AB40)</f>
        <v>20400.0</v>
      </c>
      <c r="P40" s="6">
        <f>'12_MODELO'!N40-'12_MODELO'!O40</f>
        <v>96010.71800000008</v>
      </c>
      <c r="Q40" s="6">
        <f>'12_MODELO'!AG39*'12_MODELO'!BG40</f>
        <v>6576.0</v>
      </c>
      <c r="R40" s="6">
        <f>'12_MODELO'!P40-'12_MODELO'!Q40</f>
        <v>89434.71800000008</v>
      </c>
      <c r="S40" s="6">
        <f>MAX(0,'12_MODELO'!R40)*'12_MODELO'!BF40</f>
        <v>30407.80412000003</v>
      </c>
      <c r="T40" s="6">
        <f>'12_MODELO'!R40-'12_MODELO'!S40</f>
        <v>59026.91388000005</v>
      </c>
      <c r="U40" s="6">
        <f>'12_MODELO'!C40*'12_MODELO'!BB40/30</f>
        <v>1728936.0</v>
      </c>
      <c r="V40" s="6">
        <f>'12_MODELO'!F40*'12_MODELO'!BC40/30</f>
        <v>1266229.5029999998</v>
      </c>
      <c r="W40" s="6">
        <f>'12_MODELO'!F40+'12_MODELO'!V40-'12_MODELO'!V39</f>
        <v>1048796.1539999999</v>
      </c>
      <c r="X40" s="6">
        <f>'12_MODELO'!F40*'12_MODELO'!BD40/30</f>
        <v>1012983.6024</v>
      </c>
      <c r="Y40" s="6">
        <f>'12_MODELO'!H40*20%</f>
        <v>20520.0</v>
      </c>
      <c r="Z40" s="6">
        <f>'12_MODELO'!D40</f>
        <v>110219.67000000001</v>
      </c>
      <c r="AA40" s="6">
        <f>'12_MODELO'!S40</f>
        <v>30407.80412000003</v>
      </c>
      <c r="AB40" s="6">
        <f>'08_PREMISSAS'!V40</f>
        <v>90000.0</v>
      </c>
      <c r="AC40" s="6">
        <f>'12_MODELO'!AC39+'12_MODELO'!AB40</f>
        <v>2130000.0</v>
      </c>
      <c r="AD40" s="6">
        <f>'12_MODELO'!AD39+'12_MODELO'!O40</f>
        <v>565500.0</v>
      </c>
      <c r="AE40" s="6">
        <f>'08_PREMISSAS'!W40</f>
        <v>0.0</v>
      </c>
      <c r="AF40" s="6">
        <f>'08_PREMISSAS'!X40</f>
        <v>18000.0</v>
      </c>
      <c r="AG40" s="6">
        <f>'12_MODELO'!AG39+'12_MODELO'!AE40-'12_MODELO'!AF40</f>
        <v>530000.0</v>
      </c>
      <c r="AH40" s="6">
        <f>'08_PREMISSAS'!Y40</f>
        <v>0.0</v>
      </c>
      <c r="AI40" s="6">
        <f>'12_MODELO'!AI39</f>
        <v>3900000.0</v>
      </c>
      <c r="AJ40" s="6">
        <f>'12_MODELO'!AJ39+'12_MODELO'!T40-'12_MODELO'!AH40</f>
        <v>1006417.6054399996</v>
      </c>
      <c r="AK40" s="6">
        <f>'12_MODELO'!U39+'12_MODELO'!C40-'12_MODELO'!U40</f>
        <v>1017278.0</v>
      </c>
      <c r="AL40" s="6">
        <f>'12_MODELO'!X39+'12_MODELO'!W40-'12_MODELO'!X40</f>
        <v>885081.6324</v>
      </c>
      <c r="AM40" s="6">
        <f>'12_MODELO'!M40+'12_MODELO'!Y39-'12_MODELO'!Y40</f>
        <v>225918.61000000002</v>
      </c>
      <c r="AN40" s="6">
        <f>'12_MODELO'!Z39+'12_MODELO'!D40-'12_MODELO'!Z40</f>
        <v>92406.38999999998</v>
      </c>
      <c r="AO40" s="6">
        <f>'12_MODELO'!AA39+'12_MODELO'!S40-'12_MODELO'!AA40</f>
        <v>15503.662039999981</v>
      </c>
      <c r="AP40" s="6">
        <f>'12_MODELO'!AK40-'12_MODELO'!AL40-'12_MODELO'!AM40-'12_MODELO'!AN40-'12_MODELO'!Q40-'12_MODELO'!AO40</f>
        <v>-208208.29443999997</v>
      </c>
      <c r="AQ40" s="6">
        <f>'12_MODELO'!T40+'12_MODELO'!O40-('12_MODELO'!U40-'12_MODELO'!U39)-('12_MODELO'!V40-'12_MODELO'!V39)+('12_MODELO'!X40-'12_MODELO'!X39)+('12_MODELO'!Y40-'12_MODELO'!Y39)+('12_MODELO'!Z40-'12_MODELO'!Z39)+('12_MODELO'!AA40-'12_MODELO'!AA39)</f>
        <v>-208208.29443999977</v>
      </c>
      <c r="AR40" s="6">
        <f>-'12_MODELO'!AB40</f>
        <v>-90000.0</v>
      </c>
      <c r="AS40" s="6">
        <f>'12_MODELO'!AE40-'12_MODELO'!AF40-'12_MODELO'!AH40</f>
        <v>-18000.0</v>
      </c>
      <c r="AT40" s="6">
        <f>'12_MODELO'!AQ40+'12_MODELO'!AR40+'12_MODELO'!AS40</f>
        <v>-316208.29443999974</v>
      </c>
      <c r="AU40" s="6">
        <f>'12_MODELO'!AV39</f>
        <v>2367091.4733999996</v>
      </c>
      <c r="AV40" s="6">
        <f>'12_MODELO'!AU40+'12_MODELO'!AT40</f>
        <v>2050883.1789599997</v>
      </c>
      <c r="AW40" s="6">
        <f>'12_MODELO'!AV40+'12_MODELO'!U40+'12_MODELO'!V40+'12_MODELO'!AC40-'12_MODELO'!AD40</f>
        <v>6610548.68196</v>
      </c>
      <c r="AX40" s="6">
        <f>'12_MODELO'!X40+'12_MODELO'!Y40+'12_MODELO'!Z40+'12_MODELO'!AA40+'12_MODELO'!AG40</f>
        <v>1704131.0765200001</v>
      </c>
      <c r="AY40" s="6">
        <f>'12_MODELO'!AI40+'12_MODELO'!AJ40</f>
        <v>4906417.60544</v>
      </c>
      <c r="AZ40" s="6">
        <f>'12_MODELO'!AW40-'12_MODELO'!AX40-'12_MODELO'!AY40</f>
        <v>0.0</v>
      </c>
      <c r="BA40" s="6">
        <f>'12_MODELO'!AP40-'12_MODELO'!AQ40</f>
        <v>-2.0372681319713593e-10</v>
      </c>
      <c r="BB40" s="6">
        <f>'08_PREMISSAS'!O40</f>
        <v>40.0</v>
      </c>
      <c r="BC40" s="6">
        <f>'08_PREMISSAS'!P40</f>
        <v>45.0</v>
      </c>
      <c r="BD40" s="6">
        <f>'08_PREMISSAS'!Q40</f>
        <v>36.0</v>
      </c>
      <c r="BE40" s="9">
        <f>'08_PREMISSAS'!R40</f>
        <v>0.085</v>
      </c>
      <c r="BF40" s="9">
        <f>'08_PREMISSAS'!S40</f>
        <v>0.34</v>
      </c>
      <c r="BG40" s="9">
        <f>'08_PREMISSAS'!T40</f>
        <v>0.012</v>
      </c>
      <c r="BH40" s="9">
        <f>'08_PREMISSAS'!U40</f>
        <v>0.01</v>
      </c>
      <c r="BI40" s="9">
        <f>IFERROR('12_MODELO'!N40/'12_MODELO'!E40,0)</f>
        <v>0.09811416070562136</v>
      </c>
      <c r="BJ40" s="9">
        <f>IFERROR('12_MODELO'!T40/'12_MODELO'!E40,0)</f>
        <v>0.049749509442757606</v>
      </c>
      <c r="BK40" s="6">
        <f>'12_MODELO'!AQ40+'12_MODELO'!AR40</f>
        <v>-298208.29443999974</v>
      </c>
      <c r="BL40" s="6">
        <f>'12_MODELO'!U40+'12_MODELO'!V40-'12_MODELO'!X40-'12_MODELO'!Y40-'12_MODELO'!Z40-'12_MODELO'!AA40</f>
        <v>1821034.4264799997</v>
      </c>
      <c r="BM40" s="6">
        <f>'12_MODELO'!AG40-'12_MODELO'!AV40</f>
        <v>-1520883.1789599997</v>
      </c>
      <c r="BN40" s="6">
        <f>0</f>
        <v>0</v>
      </c>
      <c r="BO40" s="6">
        <f>'12_MODELO'!AV40+'12_MODELO'!U40+'12_MODELO'!V40</f>
        <v>5046048.68196</v>
      </c>
      <c r="BP40" s="6">
        <f>'12_MODELO'!AC40-'12_MODELO'!AD40</f>
        <v>1564500.0</v>
      </c>
      <c r="BQ40" s="6">
        <f>MIN('12_MODELO'!AG40,'12_MODELO'!AF40*12)</f>
        <v>216000.0</v>
      </c>
      <c r="BR40" s="6">
        <f>'12_MODELO'!AG40-'12_MODELO'!BQ40</f>
        <v>314000.0</v>
      </c>
      <c r="BS40" s="6">
        <f>'12_MODELO'!AX40-'12_MODELO'!BR40</f>
        <v>1390131.0765200001</v>
      </c>
      <c r="BT40" s="6">
        <f>'12_MODELO'!BR40</f>
        <v>314000.0</v>
      </c>
      <c r="BU40" s="6">
        <f>IFERROR('12_MODELO'!BO40/'12_MODELO'!BS40,0)</f>
        <v>3.6299085512080493</v>
      </c>
    </row>
    <row r="41" spans="1:73">
      <c r="A41" s="5">
        <v>45748</v>
      </c>
      <c r="B41" t="s">
        <v>79</v>
      </c>
      <c r="C41" s="6">
        <f>'08_PREMISSAS'!C41*'08_PREMISSAS'!D41</f>
        <v>1270506.0</v>
      </c>
      <c r="D41" s="6">
        <f>'12_MODELO'!C41*'12_MODELO'!BE41</f>
        <v>107993.01000000001</v>
      </c>
      <c r="E41" s="6">
        <f>'12_MODELO'!C41-'12_MODELO'!D41</f>
        <v>1162512.99</v>
      </c>
      <c r="F41" s="6">
        <f>'12_MODELO'!C41*'08_PREMISSAS'!E41</f>
        <v>827099.4060000001</v>
      </c>
      <c r="G41" s="6">
        <f>'12_MODELO'!E41-'12_MODELO'!F41</f>
        <v>335413.5839999999</v>
      </c>
      <c r="H41" s="6">
        <f>'08_PREMISSAS'!J41</f>
        <v>102600.0</v>
      </c>
      <c r="I41" s="6">
        <f>'12_MODELO'!C41*'08_PREMISSAS'!F41</f>
        <v>43197.204000000005</v>
      </c>
      <c r="J41" s="6">
        <f>'08_PREMISSAS'!L41</f>
        <v>33000.0</v>
      </c>
      <c r="K41" s="6">
        <f>'08_PREMISSAS'!M41</f>
        <v>19000.0</v>
      </c>
      <c r="L41" s="6">
        <f>'12_MODELO'!C41*'08_PREMISSAS'!G41</f>
        <v>26680.626</v>
      </c>
      <c r="M41" s="6">
        <f>SUM('12_MODELO'!H41:'12_MODELO'!L41)</f>
        <v>224477.83000000002</v>
      </c>
      <c r="N41" s="6">
        <f>'12_MODELO'!G41-'12_MODELO'!M41</f>
        <v>110935.7539999999</v>
      </c>
      <c r="O41" s="6">
        <f>MIN('12_MODELO'!AC40*'12_MODELO'!BH41,'12_MODELO'!AC40-'12_MODELO'!AD40+'12_MODELO'!AB41)</f>
        <v>21300.0</v>
      </c>
      <c r="P41" s="6">
        <f>'12_MODELO'!N41-'12_MODELO'!O41</f>
        <v>89635.7539999999</v>
      </c>
      <c r="Q41" s="6">
        <f>'12_MODELO'!AG40*'12_MODELO'!BG41</f>
        <v>6360.0</v>
      </c>
      <c r="R41" s="6">
        <f>'12_MODELO'!P41-'12_MODELO'!Q41</f>
        <v>83275.7539999999</v>
      </c>
      <c r="S41" s="6">
        <f>MAX(0,'12_MODELO'!R41)*'12_MODELO'!BF41</f>
        <v>28313.756359999967</v>
      </c>
      <c r="T41" s="6">
        <f>'12_MODELO'!R41-'12_MODELO'!S41</f>
        <v>54961.99763999993</v>
      </c>
      <c r="U41" s="6">
        <f>'12_MODELO'!C41*'12_MODELO'!BB41/30</f>
        <v>1694008.0</v>
      </c>
      <c r="V41" s="6">
        <f>'12_MODELO'!F41*'12_MODELO'!BC41/30</f>
        <v>1240649.1090000002</v>
      </c>
      <c r="W41" s="6">
        <f>'12_MODELO'!F41+'12_MODELO'!V41-'12_MODELO'!V40</f>
        <v>801519.0120000003</v>
      </c>
      <c r="X41" s="6">
        <f>'12_MODELO'!F41*'12_MODELO'!BD41/30</f>
        <v>992519.2872000001</v>
      </c>
      <c r="Y41" s="6">
        <f>'12_MODELO'!H41*20%</f>
        <v>20520.0</v>
      </c>
      <c r="Z41" s="6">
        <f>'12_MODELO'!D41</f>
        <v>107993.01000000001</v>
      </c>
      <c r="AA41" s="6">
        <f>'12_MODELO'!S41</f>
        <v>28313.756359999967</v>
      </c>
      <c r="AB41" s="6">
        <f>'08_PREMISSAS'!V41</f>
        <v>18000.0</v>
      </c>
      <c r="AC41" s="6">
        <f>'12_MODELO'!AC40+'12_MODELO'!AB41</f>
        <v>2148000.0</v>
      </c>
      <c r="AD41" s="6">
        <f>'12_MODELO'!AD40+'12_MODELO'!O41</f>
        <v>586800.0</v>
      </c>
      <c r="AE41" s="6">
        <f>'08_PREMISSAS'!W41</f>
        <v>350000.0</v>
      </c>
      <c r="AF41" s="6">
        <f>'08_PREMISSAS'!X41</f>
        <v>18000.0</v>
      </c>
      <c r="AG41" s="6">
        <f>'12_MODELO'!AG40+'12_MODELO'!AE41-'12_MODELO'!AF41</f>
        <v>862000.0</v>
      </c>
      <c r="AH41" s="6">
        <f>'08_PREMISSAS'!Y41</f>
        <v>0.0</v>
      </c>
      <c r="AI41" s="6">
        <f>'12_MODELO'!AI40</f>
        <v>3900000.0</v>
      </c>
      <c r="AJ41" s="6">
        <f>'12_MODELO'!AJ40+'12_MODELO'!T41-'12_MODELO'!AH41</f>
        <v>1061379.6030799996</v>
      </c>
      <c r="AK41" s="6">
        <f>'12_MODELO'!U40+'12_MODELO'!C41-'12_MODELO'!U41</f>
        <v>1305434.0</v>
      </c>
      <c r="AL41" s="6">
        <f>'12_MODELO'!X40+'12_MODELO'!W41-'12_MODELO'!X41</f>
        <v>821983.3272000002</v>
      </c>
      <c r="AM41" s="6">
        <f>'12_MODELO'!M41+'12_MODELO'!Y40-'12_MODELO'!Y41</f>
        <v>224477.83000000002</v>
      </c>
      <c r="AN41" s="6">
        <f>'12_MODELO'!Z40+'12_MODELO'!D41-'12_MODELO'!Z41</f>
        <v>110219.67000000001</v>
      </c>
      <c r="AO41" s="6">
        <f>'12_MODELO'!AA40+'12_MODELO'!S41-'12_MODELO'!AA41</f>
        <v>30407.804120000033</v>
      </c>
      <c r="AP41" s="6">
        <f>'12_MODELO'!AK41-'12_MODELO'!AL41-'12_MODELO'!AM41-'12_MODELO'!AN41-'12_MODELO'!Q41-'12_MODELO'!AO41</f>
        <v>111985.36867999977</v>
      </c>
      <c r="AQ41" s="6">
        <f>'12_MODELO'!T41+'12_MODELO'!O41-('12_MODELO'!U41-'12_MODELO'!U40)-('12_MODELO'!V41-'12_MODELO'!V40)+('12_MODELO'!X41-'12_MODELO'!X40)+('12_MODELO'!Y41-'12_MODELO'!Y40)+('12_MODELO'!Z41-'12_MODELO'!Z40)+('12_MODELO'!AA41-'12_MODELO'!AA40)</f>
        <v>111985.36867999965</v>
      </c>
      <c r="AR41" s="6">
        <f>-'12_MODELO'!AB41</f>
        <v>-18000.0</v>
      </c>
      <c r="AS41" s="6">
        <f>'12_MODELO'!AE41-'12_MODELO'!AF41-'12_MODELO'!AH41</f>
        <v>332000.0</v>
      </c>
      <c r="AT41" s="6">
        <f>'12_MODELO'!AQ41+'12_MODELO'!AR41+'12_MODELO'!AS41</f>
        <v>425985.36867999966</v>
      </c>
      <c r="AU41" s="6">
        <f>'12_MODELO'!AV40</f>
        <v>2050883.1789599997</v>
      </c>
      <c r="AV41" s="6">
        <f>'12_MODELO'!AU41+'12_MODELO'!AT41</f>
        <v>2476868.5476399995</v>
      </c>
      <c r="AW41" s="6">
        <f>'12_MODELO'!AV41+'12_MODELO'!U41+'12_MODELO'!V41+'12_MODELO'!AC41-'12_MODELO'!AD41</f>
        <v>6972725.65664</v>
      </c>
      <c r="AX41" s="6">
        <f>'12_MODELO'!X41+'12_MODELO'!Y41+'12_MODELO'!Z41+'12_MODELO'!AA41+'12_MODELO'!AG41</f>
        <v>2011346.0535600001</v>
      </c>
      <c r="AY41" s="6">
        <f>'12_MODELO'!AI41+'12_MODELO'!AJ41</f>
        <v>4961379.60308</v>
      </c>
      <c r="AZ41" s="6">
        <f>'12_MODELO'!AW41-'12_MODELO'!AX41-'12_MODELO'!AY41</f>
        <v>0.0</v>
      </c>
      <c r="BA41" s="6">
        <f>'12_MODELO'!AP41-'12_MODELO'!AQ41</f>
        <v>1.1641532182693481e-10</v>
      </c>
      <c r="BB41" s="6">
        <f>'08_PREMISSAS'!O41</f>
        <v>40.0</v>
      </c>
      <c r="BC41" s="6">
        <f>'08_PREMISSAS'!P41</f>
        <v>45.0</v>
      </c>
      <c r="BD41" s="6">
        <f>'08_PREMISSAS'!Q41</f>
        <v>36.0</v>
      </c>
      <c r="BE41" s="9">
        <f>'08_PREMISSAS'!R41</f>
        <v>0.085</v>
      </c>
      <c r="BF41" s="9">
        <f>'08_PREMISSAS'!S41</f>
        <v>0.34</v>
      </c>
      <c r="BG41" s="9">
        <f>'08_PREMISSAS'!T41</f>
        <v>0.012</v>
      </c>
      <c r="BH41" s="9">
        <f>'08_PREMISSAS'!U41</f>
        <v>0.01</v>
      </c>
      <c r="BI41" s="9">
        <f>IFERROR('12_MODELO'!N41/'12_MODELO'!E41,0)</f>
        <v>0.09542753926560417</v>
      </c>
      <c r="BJ41" s="9">
        <f>IFERROR('12_MODELO'!T41/'12_MODELO'!E41,0)</f>
        <v>0.047278609454505904</v>
      </c>
      <c r="BK41" s="6">
        <f>'12_MODELO'!AQ41+'12_MODELO'!AR41</f>
        <v>93985.36867999965</v>
      </c>
      <c r="BL41" s="6">
        <f>'12_MODELO'!U41+'12_MODELO'!V41-'12_MODELO'!X41-'12_MODELO'!Y41-'12_MODELO'!Z41-'12_MODELO'!AA41</f>
        <v>1785311.05544</v>
      </c>
      <c r="BM41" s="6">
        <f>'12_MODELO'!AG41-'12_MODELO'!AV41</f>
        <v>-1614868.5476399995</v>
      </c>
      <c r="BN41" s="6">
        <f>0</f>
        <v>0</v>
      </c>
      <c r="BO41" s="6">
        <f>'12_MODELO'!AV41+'12_MODELO'!U41+'12_MODELO'!V41</f>
        <v>5411525.65664</v>
      </c>
      <c r="BP41" s="6">
        <f>'12_MODELO'!AC41-'12_MODELO'!AD41</f>
        <v>1561200.0</v>
      </c>
      <c r="BQ41" s="6">
        <f>MIN('12_MODELO'!AG41,'12_MODELO'!AF41*12)</f>
        <v>216000.0</v>
      </c>
      <c r="BR41" s="6">
        <f>'12_MODELO'!AG41-'12_MODELO'!BQ41</f>
        <v>646000.0</v>
      </c>
      <c r="BS41" s="6">
        <f>'12_MODELO'!AX41-'12_MODELO'!BR41</f>
        <v>1365346.0535600001</v>
      </c>
      <c r="BT41" s="6">
        <f>'12_MODELO'!BR41</f>
        <v>646000.0</v>
      </c>
      <c r="BU41" s="6">
        <f>IFERROR('12_MODELO'!BO41/'12_MODELO'!BS41,0)</f>
        <v>3.9634828419725534</v>
      </c>
    </row>
    <row r="42" spans="1:73">
      <c r="A42" s="5">
        <v>45778</v>
      </c>
      <c r="B42" t="s">
        <v>79</v>
      </c>
      <c r="C42" s="6">
        <f>'08_PREMISSAS'!C42*'08_PREMISSAS'!D42</f>
        <v>1349094.0</v>
      </c>
      <c r="D42" s="6">
        <f>'12_MODELO'!C42*'12_MODELO'!BE42</f>
        <v>114672.99</v>
      </c>
      <c r="E42" s="6">
        <f>'12_MODELO'!C42-'12_MODELO'!D42</f>
        <v>1234421.01</v>
      </c>
      <c r="F42" s="6">
        <f>'12_MODELO'!C42*'08_PREMISSAS'!E42</f>
        <v>878260.194</v>
      </c>
      <c r="G42" s="6">
        <f>'12_MODELO'!E42-'12_MODELO'!F42</f>
        <v>356160.816</v>
      </c>
      <c r="H42" s="6">
        <f>'08_PREMISSAS'!J42</f>
        <v>102600.0</v>
      </c>
      <c r="I42" s="6">
        <f>'12_MODELO'!C42*'08_PREMISSAS'!F42</f>
        <v>45869.196</v>
      </c>
      <c r="J42" s="6">
        <f>'08_PREMISSAS'!L42</f>
        <v>33000.0</v>
      </c>
      <c r="K42" s="6">
        <f>'08_PREMISSAS'!M42</f>
        <v>19000.0</v>
      </c>
      <c r="L42" s="6">
        <f>'12_MODELO'!C42*'08_PREMISSAS'!G42</f>
        <v>28330.974000000002</v>
      </c>
      <c r="M42" s="6">
        <f>SUM('12_MODELO'!H42:'12_MODELO'!L42)</f>
        <v>228800.17</v>
      </c>
      <c r="N42" s="6">
        <f>'12_MODELO'!G42-'12_MODELO'!M42</f>
        <v>127360.64599999998</v>
      </c>
      <c r="O42" s="6">
        <f>MIN('12_MODELO'!AC41*'12_MODELO'!BH42,'12_MODELO'!AC41-'12_MODELO'!AD41+'12_MODELO'!AB42)</f>
        <v>21480.0</v>
      </c>
      <c r="P42" s="6">
        <f>'12_MODELO'!N42-'12_MODELO'!O42</f>
        <v>105880.64599999998</v>
      </c>
      <c r="Q42" s="6">
        <f>'12_MODELO'!AG41*'12_MODELO'!BG42</f>
        <v>10344.0</v>
      </c>
      <c r="R42" s="6">
        <f>'12_MODELO'!P42-'12_MODELO'!Q42</f>
        <v>95536.64599999998</v>
      </c>
      <c r="S42" s="6">
        <f>MAX(0,'12_MODELO'!R42)*'12_MODELO'!BF42</f>
        <v>32482.459639999994</v>
      </c>
      <c r="T42" s="6">
        <f>'12_MODELO'!R42-'12_MODELO'!S42</f>
        <v>63054.186359999985</v>
      </c>
      <c r="U42" s="6">
        <f>'12_MODELO'!C42*'12_MODELO'!BB42/30</f>
        <v>1798792.0</v>
      </c>
      <c r="V42" s="6">
        <f>'12_MODELO'!F42*'12_MODELO'!BC42/30</f>
        <v>1317390.2910000002</v>
      </c>
      <c r="W42" s="6">
        <f>'12_MODELO'!F42+'12_MODELO'!V42-'12_MODELO'!V41</f>
        <v>955001.3760000002</v>
      </c>
      <c r="X42" s="6">
        <f>'12_MODELO'!F42*'12_MODELO'!BD42/30</f>
        <v>1053912.2328</v>
      </c>
      <c r="Y42" s="6">
        <f>'12_MODELO'!H42*20%</f>
        <v>20520.0</v>
      </c>
      <c r="Z42" s="6">
        <f>'12_MODELO'!D42</f>
        <v>114672.99</v>
      </c>
      <c r="AA42" s="6">
        <f>'12_MODELO'!S42</f>
        <v>32482.459639999994</v>
      </c>
      <c r="AB42" s="6">
        <f>'08_PREMISSAS'!V42</f>
        <v>18000.0</v>
      </c>
      <c r="AC42" s="6">
        <f>'12_MODELO'!AC41+'12_MODELO'!AB42</f>
        <v>2166000.0</v>
      </c>
      <c r="AD42" s="6">
        <f>'12_MODELO'!AD41+'12_MODELO'!O42</f>
        <v>608280.0</v>
      </c>
      <c r="AE42" s="6">
        <f>'08_PREMISSAS'!W42</f>
        <v>0.0</v>
      </c>
      <c r="AF42" s="6">
        <f>'08_PREMISSAS'!X42</f>
        <v>18000.0</v>
      </c>
      <c r="AG42" s="6">
        <f>'12_MODELO'!AG41+'12_MODELO'!AE42-'12_MODELO'!AF42</f>
        <v>844000.0</v>
      </c>
      <c r="AH42" s="6">
        <f>'08_PREMISSAS'!Y42</f>
        <v>0.0</v>
      </c>
      <c r="AI42" s="6">
        <f>'12_MODELO'!AI41</f>
        <v>3900000.0</v>
      </c>
      <c r="AJ42" s="6">
        <f>'12_MODELO'!AJ41+'12_MODELO'!T42-'12_MODELO'!AH42</f>
        <v>1124433.7894399995</v>
      </c>
      <c r="AK42" s="6">
        <f>'12_MODELO'!U41+'12_MODELO'!C42-'12_MODELO'!U42</f>
        <v>1244310.0</v>
      </c>
      <c r="AL42" s="6">
        <f>'12_MODELO'!X41+'12_MODELO'!W42-'12_MODELO'!X42</f>
        <v>893608.4304000002</v>
      </c>
      <c r="AM42" s="6">
        <f>'12_MODELO'!M42+'12_MODELO'!Y41-'12_MODELO'!Y42</f>
        <v>228800.17</v>
      </c>
      <c r="AN42" s="6">
        <f>'12_MODELO'!Z41+'12_MODELO'!D42-'12_MODELO'!Z42</f>
        <v>107993.01</v>
      </c>
      <c r="AO42" s="6">
        <f>'12_MODELO'!AA41+'12_MODELO'!S42-'12_MODELO'!AA42</f>
        <v>28313.756359999963</v>
      </c>
      <c r="AP42" s="6">
        <f>'12_MODELO'!AK42-'12_MODELO'!AL42-'12_MODELO'!AM42-'12_MODELO'!AN42-'12_MODELO'!Q42-'12_MODELO'!AO42</f>
        <v>-24749.366760000157</v>
      </c>
      <c r="AQ42" s="6">
        <f>'12_MODELO'!T42+'12_MODELO'!O42-('12_MODELO'!U42-'12_MODELO'!U41)-('12_MODELO'!V42-'12_MODELO'!V41)+('12_MODELO'!X42-'12_MODELO'!X41)+('12_MODELO'!Y42-'12_MODELO'!Y41)+('12_MODELO'!Z42-'12_MODELO'!Z41)+('12_MODELO'!AA42-'12_MODELO'!AA41)</f>
        <v>-24749.366760000034</v>
      </c>
      <c r="AR42" s="6">
        <f>-'12_MODELO'!AB42</f>
        <v>-18000.0</v>
      </c>
      <c r="AS42" s="6">
        <f>'12_MODELO'!AE42-'12_MODELO'!AF42-'12_MODELO'!AH42</f>
        <v>-18000.0</v>
      </c>
      <c r="AT42" s="6">
        <f>'12_MODELO'!AQ42+'12_MODELO'!AR42+'12_MODELO'!AS42</f>
        <v>-60749.36676000003</v>
      </c>
      <c r="AU42" s="6">
        <f>'12_MODELO'!AV41</f>
        <v>2476868.5476399995</v>
      </c>
      <c r="AV42" s="6">
        <f>'12_MODELO'!AU42+'12_MODELO'!AT42</f>
        <v>2416119.1808799994</v>
      </c>
      <c r="AW42" s="6">
        <f>'12_MODELO'!AV42+'12_MODELO'!U42+'12_MODELO'!V42+'12_MODELO'!AC42-'12_MODELO'!AD42</f>
        <v>7090021.471879999</v>
      </c>
      <c r="AX42" s="6">
        <f>'12_MODELO'!X42+'12_MODELO'!Y42+'12_MODELO'!Z42+'12_MODELO'!AA42+'12_MODELO'!AG42</f>
        <v>2065587.6824400001</v>
      </c>
      <c r="AY42" s="6">
        <f>'12_MODELO'!AI42+'12_MODELO'!AJ42</f>
        <v>5024433.7894399995</v>
      </c>
      <c r="AZ42" s="6">
        <f>'12_MODELO'!AW42-'12_MODELO'!AX42-'12_MODELO'!AY42</f>
        <v>-9.313225746154785e-10</v>
      </c>
      <c r="BA42" s="6">
        <f>'12_MODELO'!AP42-'12_MODELO'!AQ42</f>
        <v>-1.2369127944111824e-10</v>
      </c>
      <c r="BB42" s="6">
        <f>'08_PREMISSAS'!O42</f>
        <v>40.0</v>
      </c>
      <c r="BC42" s="6">
        <f>'08_PREMISSAS'!P42</f>
        <v>45.0</v>
      </c>
      <c r="BD42" s="6">
        <f>'08_PREMISSAS'!Q42</f>
        <v>36.0</v>
      </c>
      <c r="BE42" s="9">
        <f>'08_PREMISSAS'!R42</f>
        <v>0.085</v>
      </c>
      <c r="BF42" s="9">
        <f>'08_PREMISSAS'!S42</f>
        <v>0.34</v>
      </c>
      <c r="BG42" s="9">
        <f>'08_PREMISSAS'!T42</f>
        <v>0.012</v>
      </c>
      <c r="BH42" s="9">
        <f>'08_PREMISSAS'!U42</f>
        <v>0.01</v>
      </c>
      <c r="BI42" s="9">
        <f>IFERROR('12_MODELO'!N42/'12_MODELO'!E42,0)</f>
        <v>0.10317439914604173</v>
      </c>
      <c r="BJ42" s="9">
        <f>IFERROR('12_MODELO'!T42/'12_MODELO'!E42,0)</f>
        <v>0.051079968543309213</v>
      </c>
      <c r="BK42" s="6">
        <f>'12_MODELO'!AQ42+'12_MODELO'!AR42</f>
        <v>-42749.36676000003</v>
      </c>
      <c r="BL42" s="6">
        <f>'12_MODELO'!U42+'12_MODELO'!V42-'12_MODELO'!X42-'12_MODELO'!Y42-'12_MODELO'!Z42-'12_MODELO'!AA42</f>
        <v>1894594.60856</v>
      </c>
      <c r="BM42" s="6">
        <f>'12_MODELO'!AG42-'12_MODELO'!AV42</f>
        <v>-1572119.1808799994</v>
      </c>
      <c r="BN42" s="6">
        <f>0</f>
        <v>0</v>
      </c>
      <c r="BO42" s="6">
        <f>'12_MODELO'!AV42+'12_MODELO'!U42+'12_MODELO'!V42</f>
        <v>5532301.471879999</v>
      </c>
      <c r="BP42" s="6">
        <f>'12_MODELO'!AC42-'12_MODELO'!AD42</f>
        <v>1557720.0</v>
      </c>
      <c r="BQ42" s="6">
        <f>MIN('12_MODELO'!AG42,'12_MODELO'!AF42*12)</f>
        <v>216000.0</v>
      </c>
      <c r="BR42" s="6">
        <f>'12_MODELO'!AG42-'12_MODELO'!BQ42</f>
        <v>628000.0</v>
      </c>
      <c r="BS42" s="6">
        <f>'12_MODELO'!AX42-'12_MODELO'!BR42</f>
        <v>1437587.6824400001</v>
      </c>
      <c r="BT42" s="6">
        <f>'12_MODELO'!BR42</f>
        <v>628000.0</v>
      </c>
      <c r="BU42" s="6">
        <f>IFERROR('12_MODELO'!BO42/'12_MODELO'!BS42,0)</f>
        <v>3.8483228115102452</v>
      </c>
    </row>
    <row r="43" spans="1:73">
      <c r="A43" s="5">
        <v>45809</v>
      </c>
      <c r="B43" t="s">
        <v>79</v>
      </c>
      <c r="C43" s="6">
        <f>'08_PREMISSAS'!C43*'08_PREMISSAS'!D43</f>
        <v>1362192.0</v>
      </c>
      <c r="D43" s="6">
        <f>'12_MODELO'!C43*'12_MODELO'!BE43</f>
        <v>115786.32</v>
      </c>
      <c r="E43" s="6">
        <f>'12_MODELO'!C43-'12_MODELO'!D43</f>
        <v>1246405.68</v>
      </c>
      <c r="F43" s="6">
        <f>'12_MODELO'!C43*'08_PREMISSAS'!E43</f>
        <v>886786.9920000001</v>
      </c>
      <c r="G43" s="6">
        <f>'12_MODELO'!E43-'12_MODELO'!F43</f>
        <v>359618.68799999985</v>
      </c>
      <c r="H43" s="6">
        <f>'08_PREMISSAS'!J43</f>
        <v>102600.0</v>
      </c>
      <c r="I43" s="6">
        <f>'12_MODELO'!C43*'08_PREMISSAS'!F43</f>
        <v>46314.528000000006</v>
      </c>
      <c r="J43" s="6">
        <f>'08_PREMISSAS'!L43</f>
        <v>33000.0</v>
      </c>
      <c r="K43" s="6">
        <f>'08_PREMISSAS'!M43</f>
        <v>19000.0</v>
      </c>
      <c r="L43" s="6">
        <f>'12_MODELO'!C43*'08_PREMISSAS'!G43</f>
        <v>28606.032000000003</v>
      </c>
      <c r="M43" s="6">
        <f>SUM('12_MODELO'!H43:'12_MODELO'!L43)</f>
        <v>229520.56</v>
      </c>
      <c r="N43" s="6">
        <f>'12_MODELO'!G43-'12_MODELO'!M43</f>
        <v>130098.12799999985</v>
      </c>
      <c r="O43" s="6">
        <f>MIN('12_MODELO'!AC42*'12_MODELO'!BH43,'12_MODELO'!AC42-'12_MODELO'!AD42+'12_MODELO'!AB43)</f>
        <v>21660.0</v>
      </c>
      <c r="P43" s="6">
        <f>'12_MODELO'!N43-'12_MODELO'!O43</f>
        <v>108438.12799999985</v>
      </c>
      <c r="Q43" s="6">
        <f>'12_MODELO'!AG42*'12_MODELO'!BG43</f>
        <v>10128.0</v>
      </c>
      <c r="R43" s="6">
        <f>'12_MODELO'!P43-'12_MODELO'!Q43</f>
        <v>98310.12799999985</v>
      </c>
      <c r="S43" s="6">
        <f>MAX(0,'12_MODELO'!R43)*'12_MODELO'!BF43</f>
        <v>33425.44351999995</v>
      </c>
      <c r="T43" s="6">
        <f>'12_MODELO'!R43-'12_MODELO'!S43</f>
        <v>64884.6844799999</v>
      </c>
      <c r="U43" s="6">
        <f>'12_MODELO'!C43*'12_MODELO'!BB43/30</f>
        <v>1816256.0</v>
      </c>
      <c r="V43" s="6">
        <f>'12_MODELO'!F43*'12_MODELO'!BC43/30</f>
        <v>1330180.4880000001</v>
      </c>
      <c r="W43" s="6">
        <f>'12_MODELO'!F43+'12_MODELO'!V43-'12_MODELO'!V42</f>
        <v>899577.1890000002</v>
      </c>
      <c r="X43" s="6">
        <f>'12_MODELO'!F43*'12_MODELO'!BD43/30</f>
        <v>1064144.3904000001</v>
      </c>
      <c r="Y43" s="6">
        <f>'12_MODELO'!H43*20%</f>
        <v>20520.0</v>
      </c>
      <c r="Z43" s="6">
        <f>'12_MODELO'!D43</f>
        <v>115786.32</v>
      </c>
      <c r="AA43" s="6">
        <f>'12_MODELO'!S43</f>
        <v>33425.44351999995</v>
      </c>
      <c r="AB43" s="6">
        <f>'08_PREMISSAS'!V43</f>
        <v>90000.0</v>
      </c>
      <c r="AC43" s="6">
        <f>'12_MODELO'!AC42+'12_MODELO'!AB43</f>
        <v>2256000.0</v>
      </c>
      <c r="AD43" s="6">
        <f>'12_MODELO'!AD42+'12_MODELO'!O43</f>
        <v>629940.0</v>
      </c>
      <c r="AE43" s="6">
        <f>'08_PREMISSAS'!W43</f>
        <v>0.0</v>
      </c>
      <c r="AF43" s="6">
        <f>'08_PREMISSAS'!X43</f>
        <v>18000.0</v>
      </c>
      <c r="AG43" s="6">
        <f>'12_MODELO'!AG42+'12_MODELO'!AE43-'12_MODELO'!AF43</f>
        <v>826000.0</v>
      </c>
      <c r="AH43" s="6">
        <f>'08_PREMISSAS'!Y43</f>
        <v>0.0</v>
      </c>
      <c r="AI43" s="6">
        <f>'12_MODELO'!AI42</f>
        <v>3900000.0</v>
      </c>
      <c r="AJ43" s="6">
        <f>'12_MODELO'!AJ42+'12_MODELO'!T43-'12_MODELO'!AH43</f>
        <v>1189318.4739199993</v>
      </c>
      <c r="AK43" s="6">
        <f>'12_MODELO'!U42+'12_MODELO'!C43-'12_MODELO'!U43</f>
        <v>1344728.0</v>
      </c>
      <c r="AL43" s="6">
        <f>'12_MODELO'!X42+'12_MODELO'!W43-'12_MODELO'!X43</f>
        <v>889345.0314000002</v>
      </c>
      <c r="AM43" s="6">
        <f>'12_MODELO'!M43+'12_MODELO'!Y42-'12_MODELO'!Y43</f>
        <v>229520.56</v>
      </c>
      <c r="AN43" s="6">
        <f>'12_MODELO'!Z42+'12_MODELO'!D43-'12_MODELO'!Z43</f>
        <v>114672.98999999999</v>
      </c>
      <c r="AO43" s="6">
        <f>'12_MODELO'!AA42+'12_MODELO'!S43-'12_MODELO'!AA43</f>
        <v>32482.459639999994</v>
      </c>
      <c r="AP43" s="6">
        <f>'12_MODELO'!AK43-'12_MODELO'!AL43-'12_MODELO'!AM43-'12_MODELO'!AN43-'12_MODELO'!Q43-'12_MODELO'!AO43</f>
        <v>68578.95895999981</v>
      </c>
      <c r="AQ43" s="6">
        <f>'12_MODELO'!T43+'12_MODELO'!O43-('12_MODELO'!U43-'12_MODELO'!U42)-('12_MODELO'!V43-'12_MODELO'!V42)+('12_MODELO'!X43-'12_MODELO'!X42)+('12_MODELO'!Y43-'12_MODELO'!Y42)+('12_MODELO'!Z43-'12_MODELO'!Z42)+('12_MODELO'!AA43-'12_MODELO'!AA42)</f>
        <v>68578.95895999997</v>
      </c>
      <c r="AR43" s="6">
        <f>-'12_MODELO'!AB43</f>
        <v>-90000.0</v>
      </c>
      <c r="AS43" s="6">
        <f>'12_MODELO'!AE43-'12_MODELO'!AF43-'12_MODELO'!AH43</f>
        <v>-18000.0</v>
      </c>
      <c r="AT43" s="6">
        <f>'12_MODELO'!AQ43+'12_MODELO'!AR43+'12_MODELO'!AS43</f>
        <v>-39421.041040000026</v>
      </c>
      <c r="AU43" s="6">
        <f>'12_MODELO'!AV42</f>
        <v>2416119.1808799994</v>
      </c>
      <c r="AV43" s="6">
        <f>'12_MODELO'!AU43+'12_MODELO'!AT43</f>
        <v>2376698.1398399994</v>
      </c>
      <c r="AW43" s="6">
        <f>'12_MODELO'!AV43+'12_MODELO'!U43+'12_MODELO'!V43+'12_MODELO'!AC43-'12_MODELO'!AD43</f>
        <v>7149194.627839999</v>
      </c>
      <c r="AX43" s="6">
        <f>'12_MODELO'!X43+'12_MODELO'!Y43+'12_MODELO'!Z43+'12_MODELO'!AA43+'12_MODELO'!AG43</f>
        <v>2059876.1539200002</v>
      </c>
      <c r="AY43" s="6">
        <f>'12_MODELO'!AI43+'12_MODELO'!AJ43</f>
        <v>5089318.473919999</v>
      </c>
      <c r="AZ43" s="6">
        <f>'12_MODELO'!AW43-'12_MODELO'!AX43-'12_MODELO'!AY43</f>
        <v>0.0</v>
      </c>
      <c r="BA43" s="6">
        <f>'12_MODELO'!AP43-'12_MODELO'!AQ43</f>
        <v>-1.6007106751203537e-10</v>
      </c>
      <c r="BB43" s="6">
        <f>'08_PREMISSAS'!O43</f>
        <v>40.0</v>
      </c>
      <c r="BC43" s="6">
        <f>'08_PREMISSAS'!P43</f>
        <v>45.0</v>
      </c>
      <c r="BD43" s="6">
        <f>'08_PREMISSAS'!Q43</f>
        <v>36.0</v>
      </c>
      <c r="BE43" s="9">
        <f>'08_PREMISSAS'!R43</f>
        <v>0.085</v>
      </c>
      <c r="BF43" s="9">
        <f>'08_PREMISSAS'!S43</f>
        <v>0.34</v>
      </c>
      <c r="BG43" s="9">
        <f>'08_PREMISSAS'!T43</f>
        <v>0.012</v>
      </c>
      <c r="BH43" s="9">
        <f>'08_PREMISSAS'!U43</f>
        <v>0.01</v>
      </c>
      <c r="BI43" s="9">
        <f>IFERROR('12_MODELO'!N43/'12_MODELO'!E43,0)</f>
        <v>0.104378638582584</v>
      </c>
      <c r="BJ43" s="9">
        <f>IFERROR('12_MODELO'!T43/'12_MODELO'!E43,0)</f>
        <v>0.052057436451990416</v>
      </c>
      <c r="BK43" s="6">
        <f>'12_MODELO'!AQ43+'12_MODELO'!AR43</f>
        <v>-21421.041040000026</v>
      </c>
      <c r="BL43" s="6">
        <f>'12_MODELO'!U43+'12_MODELO'!V43-'12_MODELO'!X43-'12_MODELO'!Y43-'12_MODELO'!Z43-'12_MODELO'!AA43</f>
        <v>1912560.3340799997</v>
      </c>
      <c r="BM43" s="6">
        <f>'12_MODELO'!AG43-'12_MODELO'!AV43</f>
        <v>-1550698.1398399994</v>
      </c>
      <c r="BN43" s="6">
        <f>0</f>
        <v>0</v>
      </c>
      <c r="BO43" s="6">
        <f>'12_MODELO'!AV43+'12_MODELO'!U43+'12_MODELO'!V43</f>
        <v>5523134.627839999</v>
      </c>
      <c r="BP43" s="6">
        <f>'12_MODELO'!AC43-'12_MODELO'!AD43</f>
        <v>1626060.0</v>
      </c>
      <c r="BQ43" s="6">
        <f>MIN('12_MODELO'!AG43,'12_MODELO'!AF43*12)</f>
        <v>216000.0</v>
      </c>
      <c r="BR43" s="6">
        <f>'12_MODELO'!AG43-'12_MODELO'!BQ43</f>
        <v>610000.0</v>
      </c>
      <c r="BS43" s="6">
        <f>'12_MODELO'!AX43-'12_MODELO'!BR43</f>
        <v>1449876.1539200002</v>
      </c>
      <c r="BT43" s="6">
        <f>'12_MODELO'!BR43</f>
        <v>610000.0</v>
      </c>
      <c r="BU43" s="6">
        <f>IFERROR('12_MODELO'!BO43/'12_MODELO'!BS43,0)</f>
        <v>3.809383727642678</v>
      </c>
    </row>
    <row r="44" spans="1:73">
      <c r="A44" s="5">
        <v>45839</v>
      </c>
      <c r="B44" t="s">
        <v>79</v>
      </c>
      <c r="C44" s="6">
        <f>'08_PREMISSAS'!C44*'08_PREMISSAS'!D44</f>
        <v>1231211.9999999998</v>
      </c>
      <c r="D44" s="6">
        <f>'12_MODELO'!C44*'12_MODELO'!BE44</f>
        <v>104653.01999999999</v>
      </c>
      <c r="E44" s="6">
        <f>'12_MODELO'!C44-'12_MODELO'!D44</f>
        <v>1126558.9799999997</v>
      </c>
      <c r="F44" s="6">
        <f>'12_MODELO'!C44*'08_PREMISSAS'!E44</f>
        <v>801519.0119999999</v>
      </c>
      <c r="G44" s="6">
        <f>'12_MODELO'!E44-'12_MODELO'!F44</f>
        <v>325039.9679999999</v>
      </c>
      <c r="H44" s="6">
        <f>'08_PREMISSAS'!J44</f>
        <v>102600.0</v>
      </c>
      <c r="I44" s="6">
        <f>'12_MODELO'!C44*'08_PREMISSAS'!F44</f>
        <v>41861.208</v>
      </c>
      <c r="J44" s="6">
        <f>'08_PREMISSAS'!L44</f>
        <v>33000.0</v>
      </c>
      <c r="K44" s="6">
        <f>'08_PREMISSAS'!M44</f>
        <v>19000.0</v>
      </c>
      <c r="L44" s="6">
        <f>'12_MODELO'!C44*'08_PREMISSAS'!G44</f>
        <v>25855.451999999997</v>
      </c>
      <c r="M44" s="6">
        <f>SUM('12_MODELO'!H44:'12_MODELO'!L44)</f>
        <v>222316.66</v>
      </c>
      <c r="N44" s="6">
        <f>'12_MODELO'!G44-'12_MODELO'!M44</f>
        <v>102723.30799999987</v>
      </c>
      <c r="O44" s="6">
        <f>MIN('12_MODELO'!AC43*'12_MODELO'!BH44,'12_MODELO'!AC43-'12_MODELO'!AD43+'12_MODELO'!AB44)</f>
        <v>22560.0</v>
      </c>
      <c r="P44" s="6">
        <f>'12_MODELO'!N44-'12_MODELO'!O44</f>
        <v>80163.30799999987</v>
      </c>
      <c r="Q44" s="6">
        <f>'12_MODELO'!AG43*'12_MODELO'!BG44</f>
        <v>9912.0</v>
      </c>
      <c r="R44" s="6">
        <f>'12_MODELO'!P44-'12_MODELO'!Q44</f>
        <v>70251.30799999987</v>
      </c>
      <c r="S44" s="6">
        <f>MAX(0,'12_MODELO'!R44)*'12_MODELO'!BF44</f>
        <v>23885.44471999996</v>
      </c>
      <c r="T44" s="6">
        <f>'12_MODELO'!R44-'12_MODELO'!S44</f>
        <v>46365.86327999992</v>
      </c>
      <c r="U44" s="6">
        <f>'12_MODELO'!C44*'12_MODELO'!BB44/30</f>
        <v>1641615.9999999998</v>
      </c>
      <c r="V44" s="6">
        <f>'12_MODELO'!F44*'12_MODELO'!BC44/30</f>
        <v>1202278.5179999997</v>
      </c>
      <c r="W44" s="6">
        <f>'12_MODELO'!F44+'12_MODELO'!V44-'12_MODELO'!V43</f>
        <v>673617.0419999994</v>
      </c>
      <c r="X44" s="6">
        <f>'12_MODELO'!F44*'12_MODELO'!BD44/30</f>
        <v>961822.8143999999</v>
      </c>
      <c r="Y44" s="6">
        <f>'12_MODELO'!H44*20%</f>
        <v>20520.0</v>
      </c>
      <c r="Z44" s="6">
        <f>'12_MODELO'!D44</f>
        <v>104653.01999999999</v>
      </c>
      <c r="AA44" s="6">
        <f>'12_MODELO'!S44</f>
        <v>23885.44471999996</v>
      </c>
      <c r="AB44" s="6">
        <f>'08_PREMISSAS'!V44</f>
        <v>18000.0</v>
      </c>
      <c r="AC44" s="6">
        <f>'12_MODELO'!AC43+'12_MODELO'!AB44</f>
        <v>2274000.0</v>
      </c>
      <c r="AD44" s="6">
        <f>'12_MODELO'!AD43+'12_MODELO'!O44</f>
        <v>652500.0</v>
      </c>
      <c r="AE44" s="6">
        <f>'08_PREMISSAS'!W44</f>
        <v>0.0</v>
      </c>
      <c r="AF44" s="6">
        <f>'08_PREMISSAS'!X44</f>
        <v>18000.0</v>
      </c>
      <c r="AG44" s="6">
        <f>'12_MODELO'!AG43+'12_MODELO'!AE44-'12_MODELO'!AF44</f>
        <v>808000.0</v>
      </c>
      <c r="AH44" s="6">
        <f>'08_PREMISSAS'!Y44</f>
        <v>0.0</v>
      </c>
      <c r="AI44" s="6">
        <f>'12_MODELO'!AI43</f>
        <v>3900000.0</v>
      </c>
      <c r="AJ44" s="6">
        <f>'12_MODELO'!AJ43+'12_MODELO'!T44-'12_MODELO'!AH44</f>
        <v>1235684.3371999993</v>
      </c>
      <c r="AK44" s="6">
        <f>'12_MODELO'!U43+'12_MODELO'!C44-'12_MODELO'!U44</f>
        <v>1405852.0000000002</v>
      </c>
      <c r="AL44" s="6">
        <f>'12_MODELO'!X43+'12_MODELO'!W44-'12_MODELO'!X44</f>
        <v>775938.6179999997</v>
      </c>
      <c r="AM44" s="6">
        <f>'12_MODELO'!M44+'12_MODELO'!Y43-'12_MODELO'!Y44</f>
        <v>222316.66</v>
      </c>
      <c r="AN44" s="6">
        <f>'12_MODELO'!Z43+'12_MODELO'!D44-'12_MODELO'!Z44</f>
        <v>115786.32</v>
      </c>
      <c r="AO44" s="6">
        <f>'12_MODELO'!AA43+'12_MODELO'!S44-'12_MODELO'!AA44</f>
        <v>33425.44351999996</v>
      </c>
      <c r="AP44" s="6">
        <f>'12_MODELO'!AK44-'12_MODELO'!AL44-'12_MODELO'!AM44-'12_MODELO'!AN44-'12_MODELO'!Q44-'12_MODELO'!AO44</f>
        <v>248472.95848000055</v>
      </c>
      <c r="AQ44" s="6">
        <f>'12_MODELO'!T44+'12_MODELO'!O44-('12_MODELO'!U44-'12_MODELO'!U43)-('12_MODELO'!V44-'12_MODELO'!V43)+('12_MODELO'!X44-'12_MODELO'!X43)+('12_MODELO'!Y44-'12_MODELO'!Y43)+('12_MODELO'!Z44-'12_MODELO'!Z43)+('12_MODELO'!AA44-'12_MODELO'!AA43)</f>
        <v>248472.95848000038</v>
      </c>
      <c r="AR44" s="6">
        <f>-'12_MODELO'!AB44</f>
        <v>-18000.0</v>
      </c>
      <c r="AS44" s="6">
        <f>'12_MODELO'!AE44-'12_MODELO'!AF44-'12_MODELO'!AH44</f>
        <v>-18000.0</v>
      </c>
      <c r="AT44" s="6">
        <f>'12_MODELO'!AQ44+'12_MODELO'!AR44+'12_MODELO'!AS44</f>
        <v>212472.95848000038</v>
      </c>
      <c r="AU44" s="6">
        <f>'12_MODELO'!AV43</f>
        <v>2376698.1398399994</v>
      </c>
      <c r="AV44" s="6">
        <f>'12_MODELO'!AU44+'12_MODELO'!AT44</f>
        <v>2589171.09832</v>
      </c>
      <c r="AW44" s="6">
        <f>'12_MODELO'!AV44+'12_MODELO'!U44+'12_MODELO'!V44+'12_MODELO'!AC44-'12_MODELO'!AD44</f>
        <v>7054565.616319999</v>
      </c>
      <c r="AX44" s="6">
        <f>'12_MODELO'!X44+'12_MODELO'!Y44+'12_MODELO'!Z44+'12_MODELO'!AA44+'12_MODELO'!AG44</f>
        <v>1918881.2791199998</v>
      </c>
      <c r="AY44" s="6">
        <f>'12_MODELO'!AI44+'12_MODELO'!AJ44</f>
        <v>5135684.337199999</v>
      </c>
      <c r="AZ44" s="6">
        <f>'12_MODELO'!AW44-'12_MODELO'!AX44-'12_MODELO'!AY44</f>
        <v>0.0</v>
      </c>
      <c r="BA44" s="6">
        <f>'12_MODELO'!AP44-'12_MODELO'!AQ44</f>
        <v>1.7462298274040222e-10</v>
      </c>
      <c r="BB44" s="6">
        <f>'08_PREMISSAS'!O44</f>
        <v>40.0</v>
      </c>
      <c r="BC44" s="6">
        <f>'08_PREMISSAS'!P44</f>
        <v>45.0</v>
      </c>
      <c r="BD44" s="6">
        <f>'08_PREMISSAS'!Q44</f>
        <v>36.0</v>
      </c>
      <c r="BE44" s="9">
        <f>'08_PREMISSAS'!R44</f>
        <v>0.085</v>
      </c>
      <c r="BF44" s="9">
        <f>'08_PREMISSAS'!S44</f>
        <v>0.34</v>
      </c>
      <c r="BG44" s="9">
        <f>'08_PREMISSAS'!T44</f>
        <v>0.012</v>
      </c>
      <c r="BH44" s="9">
        <f>'08_PREMISSAS'!U44</f>
        <v>0.01</v>
      </c>
      <c r="BI44" s="9">
        <f>IFERROR('12_MODELO'!N44/'12_MODELO'!E44,0)</f>
        <v>0.0911832490119602</v>
      </c>
      <c r="BJ44" s="9">
        <f>IFERROR('12_MODELO'!T44/'12_MODELO'!E44,0)</f>
        <v>0.041157066876338716</v>
      </c>
      <c r="BK44" s="6">
        <f>'12_MODELO'!AQ44+'12_MODELO'!AR44</f>
        <v>230472.95848000038</v>
      </c>
      <c r="BL44" s="6">
        <f>'12_MODELO'!U44+'12_MODELO'!V44-'12_MODELO'!X44-'12_MODELO'!Y44-'12_MODELO'!Z44-'12_MODELO'!AA44</f>
        <v>1733013.2388799991</v>
      </c>
      <c r="BM44" s="6">
        <f>'12_MODELO'!AG44-'12_MODELO'!AV44</f>
        <v>-1781171.0983199999</v>
      </c>
      <c r="BN44" s="6">
        <f>0</f>
        <v>0</v>
      </c>
      <c r="BO44" s="6">
        <f>'12_MODELO'!AV44+'12_MODELO'!U44+'12_MODELO'!V44</f>
        <v>5433065.616319999</v>
      </c>
      <c r="BP44" s="6">
        <f>'12_MODELO'!AC44-'12_MODELO'!AD44</f>
        <v>1621500.0</v>
      </c>
      <c r="BQ44" s="6">
        <f>MIN('12_MODELO'!AG44,'12_MODELO'!AF44*12)</f>
        <v>216000.0</v>
      </c>
      <c r="BR44" s="6">
        <f>'12_MODELO'!AG44-'12_MODELO'!BQ44</f>
        <v>592000.0</v>
      </c>
      <c r="BS44" s="6">
        <f>'12_MODELO'!AX44-'12_MODELO'!BR44</f>
        <v>1326881.2791199998</v>
      </c>
      <c r="BT44" s="6">
        <f>'12_MODELO'!BR44</f>
        <v>592000.0</v>
      </c>
      <c r="BU44" s="6">
        <f>IFERROR('12_MODELO'!BO44/'12_MODELO'!BS44,0)</f>
        <v>4.094613212060132</v>
      </c>
    </row>
    <row r="45" spans="1:73">
      <c r="A45" s="5">
        <v>45870</v>
      </c>
      <c r="B45" t="s">
        <v>79</v>
      </c>
      <c r="C45" s="6">
        <f>'08_PREMISSAS'!C45*'08_PREMISSAS'!D45</f>
        <v>1335996.0</v>
      </c>
      <c r="D45" s="6">
        <f>'12_MODELO'!C45*'12_MODELO'!BE45</f>
        <v>113559.66</v>
      </c>
      <c r="E45" s="6">
        <f>'12_MODELO'!C45-'12_MODELO'!D45</f>
        <v>1222436.34</v>
      </c>
      <c r="F45" s="6">
        <f>'12_MODELO'!C45*'08_PREMISSAS'!E45</f>
        <v>869733.3960000001</v>
      </c>
      <c r="G45" s="6">
        <f>'12_MODELO'!E45-'12_MODELO'!F45</f>
        <v>352702.944</v>
      </c>
      <c r="H45" s="6">
        <f>'08_PREMISSAS'!J45</f>
        <v>102600.0</v>
      </c>
      <c r="I45" s="6">
        <f>'12_MODELO'!C45*'08_PREMISSAS'!F45</f>
        <v>45423.864</v>
      </c>
      <c r="J45" s="6">
        <f>'08_PREMISSAS'!L45</f>
        <v>33000.0</v>
      </c>
      <c r="K45" s="6">
        <f>'08_PREMISSAS'!M45</f>
        <v>19000.0</v>
      </c>
      <c r="L45" s="6">
        <f>'12_MODELO'!C45*'08_PREMISSAS'!G45</f>
        <v>28055.916</v>
      </c>
      <c r="M45" s="6">
        <f>SUM('12_MODELO'!H45:'12_MODELO'!L45)</f>
        <v>228079.78</v>
      </c>
      <c r="N45" s="6">
        <f>'12_MODELO'!G45-'12_MODELO'!M45</f>
        <v>124623.16400000002</v>
      </c>
      <c r="O45" s="6">
        <f>MIN('12_MODELO'!AC44*'12_MODELO'!BH45,'12_MODELO'!AC44-'12_MODELO'!AD44+'12_MODELO'!AB45)</f>
        <v>22740.0</v>
      </c>
      <c r="P45" s="6">
        <f>'12_MODELO'!N45-'12_MODELO'!O45</f>
        <v>101883.16400000002</v>
      </c>
      <c r="Q45" s="6">
        <f>'12_MODELO'!AG44*'12_MODELO'!BG45</f>
        <v>9696.0</v>
      </c>
      <c r="R45" s="6">
        <f>'12_MODELO'!P45-'12_MODELO'!Q45</f>
        <v>92187.16400000002</v>
      </c>
      <c r="S45" s="6">
        <f>MAX(0,'12_MODELO'!R45)*'12_MODELO'!BF45</f>
        <v>31343.63576000001</v>
      </c>
      <c r="T45" s="6">
        <f>'12_MODELO'!R45-'12_MODELO'!S45</f>
        <v>60843.528240000014</v>
      </c>
      <c r="U45" s="6">
        <f>'12_MODELO'!C45*'12_MODELO'!BB45/30</f>
        <v>1781328.0</v>
      </c>
      <c r="V45" s="6">
        <f>'12_MODELO'!F45*'12_MODELO'!BC45/30</f>
        <v>1304600.094</v>
      </c>
      <c r="W45" s="6">
        <f>'12_MODELO'!F45+'12_MODELO'!V45-'12_MODELO'!V44</f>
        <v>972054.9720000005</v>
      </c>
      <c r="X45" s="6">
        <f>'12_MODELO'!F45*'12_MODELO'!BD45/30</f>
        <v>1043680.0752000001</v>
      </c>
      <c r="Y45" s="6">
        <f>'12_MODELO'!H45*20%</f>
        <v>20520.0</v>
      </c>
      <c r="Z45" s="6">
        <f>'12_MODELO'!D45</f>
        <v>113559.66</v>
      </c>
      <c r="AA45" s="6">
        <f>'12_MODELO'!S45</f>
        <v>31343.63576000001</v>
      </c>
      <c r="AB45" s="6">
        <f>'08_PREMISSAS'!V45</f>
        <v>18000.0</v>
      </c>
      <c r="AC45" s="6">
        <f>'12_MODELO'!AC44+'12_MODELO'!AB45</f>
        <v>2292000.0</v>
      </c>
      <c r="AD45" s="6">
        <f>'12_MODELO'!AD44+'12_MODELO'!O45</f>
        <v>675240.0</v>
      </c>
      <c r="AE45" s="6">
        <f>'08_PREMISSAS'!W45</f>
        <v>0.0</v>
      </c>
      <c r="AF45" s="6">
        <f>'08_PREMISSAS'!X45</f>
        <v>18000.0</v>
      </c>
      <c r="AG45" s="6">
        <f>'12_MODELO'!AG44+'12_MODELO'!AE45-'12_MODELO'!AF45</f>
        <v>790000.0</v>
      </c>
      <c r="AH45" s="6">
        <f>'08_PREMISSAS'!Y45</f>
        <v>0.0</v>
      </c>
      <c r="AI45" s="6">
        <f>'12_MODELO'!AI44</f>
        <v>3900000.0</v>
      </c>
      <c r="AJ45" s="6">
        <f>'12_MODELO'!AJ44+'12_MODELO'!T45-'12_MODELO'!AH45</f>
        <v>1296527.8654399994</v>
      </c>
      <c r="AK45" s="6">
        <f>'12_MODELO'!U44+'12_MODELO'!C45-'12_MODELO'!U45</f>
        <v>1196284.0</v>
      </c>
      <c r="AL45" s="6">
        <f>'12_MODELO'!X44+'12_MODELO'!W45-'12_MODELO'!X45</f>
        <v>890197.7112000005</v>
      </c>
      <c r="AM45" s="6">
        <f>'12_MODELO'!M45+'12_MODELO'!Y44-'12_MODELO'!Y45</f>
        <v>228079.78</v>
      </c>
      <c r="AN45" s="6">
        <f>'12_MODELO'!Z44+'12_MODELO'!D45-'12_MODELO'!Z45</f>
        <v>104653.01999999999</v>
      </c>
      <c r="AO45" s="6">
        <f>'12_MODELO'!AA44+'12_MODELO'!S45-'12_MODELO'!AA45</f>
        <v>23885.44471999996</v>
      </c>
      <c r="AP45" s="6">
        <f>'12_MODELO'!AK45-'12_MODELO'!AL45-'12_MODELO'!AM45-'12_MODELO'!AN45-'12_MODELO'!Q45-'12_MODELO'!AO45</f>
        <v>-60227.95592000043</v>
      </c>
      <c r="AQ45" s="6">
        <f>'12_MODELO'!T45+'12_MODELO'!O45-('12_MODELO'!U45-'12_MODELO'!U44)-('12_MODELO'!V45-'12_MODELO'!V44)+('12_MODELO'!X45-'12_MODELO'!X44)+('12_MODELO'!Y45-'12_MODELO'!Y44)+('12_MODELO'!Z45-'12_MODELO'!Z44)+('12_MODELO'!AA45-'12_MODELO'!AA44)</f>
        <v>-60227.95592000034</v>
      </c>
      <c r="AR45" s="6">
        <f>-'12_MODELO'!AB45</f>
        <v>-18000.0</v>
      </c>
      <c r="AS45" s="6">
        <f>'12_MODELO'!AE45-'12_MODELO'!AF45-'12_MODELO'!AH45</f>
        <v>-18000.0</v>
      </c>
      <c r="AT45" s="6">
        <f>'12_MODELO'!AQ45+'12_MODELO'!AR45+'12_MODELO'!AS45</f>
        <v>-96227.95592000034</v>
      </c>
      <c r="AU45" s="6">
        <f>'12_MODELO'!AV44</f>
        <v>2589171.09832</v>
      </c>
      <c r="AV45" s="6">
        <f>'12_MODELO'!AU45+'12_MODELO'!AT45</f>
        <v>2492943.1423999993</v>
      </c>
      <c r="AW45" s="6">
        <f>'12_MODELO'!AV45+'12_MODELO'!U45+'12_MODELO'!V45+'12_MODELO'!AC45-'12_MODELO'!AD45</f>
        <v>7195631.236399999</v>
      </c>
      <c r="AX45" s="6">
        <f>'12_MODELO'!X45+'12_MODELO'!Y45+'12_MODELO'!Z45+'12_MODELO'!AA45+'12_MODELO'!AG45</f>
        <v>1999103.3709600002</v>
      </c>
      <c r="AY45" s="6">
        <f>'12_MODELO'!AI45+'12_MODELO'!AJ45</f>
        <v>5196527.86544</v>
      </c>
      <c r="AZ45" s="6">
        <f>'12_MODELO'!AW45-'12_MODELO'!AX45-'12_MODELO'!AY45</f>
        <v>-9.313225746154785e-10</v>
      </c>
      <c r="BA45" s="6">
        <f>'12_MODELO'!AP45-'12_MODELO'!AQ45</f>
        <v>-8.731149137020111e-11</v>
      </c>
      <c r="BB45" s="6">
        <f>'08_PREMISSAS'!O45</f>
        <v>40.0</v>
      </c>
      <c r="BC45" s="6">
        <f>'08_PREMISSAS'!P45</f>
        <v>45.0</v>
      </c>
      <c r="BD45" s="6">
        <f>'08_PREMISSAS'!Q45</f>
        <v>36.0</v>
      </c>
      <c r="BE45" s="9">
        <f>'08_PREMISSAS'!R45</f>
        <v>0.085</v>
      </c>
      <c r="BF45" s="9">
        <f>'08_PREMISSAS'!S45</f>
        <v>0.34</v>
      </c>
      <c r="BG45" s="9">
        <f>'08_PREMISSAS'!T45</f>
        <v>0.012</v>
      </c>
      <c r="BH45" s="9">
        <f>'08_PREMISSAS'!U45</f>
        <v>0.01</v>
      </c>
      <c r="BI45" s="9">
        <f>IFERROR('12_MODELO'!N45/'12_MODELO'!E45,0)</f>
        <v>0.10194654717152797</v>
      </c>
      <c r="BJ45" s="9">
        <f>IFERROR('12_MODELO'!T45/'12_MODELO'!E45,0)</f>
        <v>0.04977234907790782</v>
      </c>
      <c r="BK45" s="6">
        <f>'12_MODELO'!AQ45+'12_MODELO'!AR45</f>
        <v>-78227.95592000034</v>
      </c>
      <c r="BL45" s="6">
        <f>'12_MODELO'!U45+'12_MODELO'!V45-'12_MODELO'!X45-'12_MODELO'!Y45-'12_MODELO'!Z45-'12_MODELO'!AA45</f>
        <v>1876824.72304</v>
      </c>
      <c r="BM45" s="6">
        <f>'12_MODELO'!AG45-'12_MODELO'!AV45</f>
        <v>-1702943.1423999993</v>
      </c>
      <c r="BN45" s="6">
        <f>0</f>
        <v>0</v>
      </c>
      <c r="BO45" s="6">
        <f>'12_MODELO'!AV45+'12_MODELO'!U45+'12_MODELO'!V45</f>
        <v>5578871.236399999</v>
      </c>
      <c r="BP45" s="6">
        <f>'12_MODELO'!AC45-'12_MODELO'!AD45</f>
        <v>1616760.0</v>
      </c>
      <c r="BQ45" s="6">
        <f>MIN('12_MODELO'!AG45,'12_MODELO'!AF45*12)</f>
        <v>216000.0</v>
      </c>
      <c r="BR45" s="6">
        <f>'12_MODELO'!AG45-'12_MODELO'!BQ45</f>
        <v>574000.0</v>
      </c>
      <c r="BS45" s="6">
        <f>'12_MODELO'!AX45-'12_MODELO'!BR45</f>
        <v>1425103.3709600002</v>
      </c>
      <c r="BT45" s="6">
        <f>'12_MODELO'!BR45</f>
        <v>574000.0</v>
      </c>
      <c r="BU45" s="6">
        <f>IFERROR('12_MODELO'!BO45/'12_MODELO'!BS45,0)</f>
        <v>3.9147133815576294</v>
      </c>
    </row>
    <row r="46" spans="1:73">
      <c r="A46" s="5">
        <v>45901</v>
      </c>
      <c r="B46" t="s">
        <v>79</v>
      </c>
      <c r="C46" s="6">
        <f>'08_PREMISSAS'!C46*'08_PREMISSAS'!D46</f>
        <v>1388388.0</v>
      </c>
      <c r="D46" s="6">
        <f>'12_MODELO'!C46*'12_MODELO'!BE46</f>
        <v>118012.98000000001</v>
      </c>
      <c r="E46" s="6">
        <f>'12_MODELO'!C46-'12_MODELO'!D46</f>
        <v>1270375.02</v>
      </c>
      <c r="F46" s="6">
        <f>'12_MODELO'!C46*'08_PREMISSAS'!E46</f>
        <v>903840.588</v>
      </c>
      <c r="G46" s="6">
        <f>'12_MODELO'!E46-'12_MODELO'!F46</f>
        <v>366534.43200000003</v>
      </c>
      <c r="H46" s="6">
        <f>'08_PREMISSAS'!J46</f>
        <v>102600.0</v>
      </c>
      <c r="I46" s="6">
        <f>'12_MODELO'!C46*'08_PREMISSAS'!F46</f>
        <v>47205.192</v>
      </c>
      <c r="J46" s="6">
        <f>'08_PREMISSAS'!L46</f>
        <v>33000.0</v>
      </c>
      <c r="K46" s="6">
        <f>'08_PREMISSAS'!M46</f>
        <v>19000.0</v>
      </c>
      <c r="L46" s="6">
        <f>'12_MODELO'!C46*'08_PREMISSAS'!G46</f>
        <v>29156.148</v>
      </c>
      <c r="M46" s="6">
        <f>SUM('12_MODELO'!H46:'12_MODELO'!L46)</f>
        <v>230961.34</v>
      </c>
      <c r="N46" s="6">
        <f>'12_MODELO'!G46-'12_MODELO'!M46</f>
        <v>135573.09200000003</v>
      </c>
      <c r="O46" s="6">
        <f>MIN('12_MODELO'!AC45*'12_MODELO'!BH46,'12_MODELO'!AC45-'12_MODELO'!AD45+'12_MODELO'!AB46)</f>
        <v>22920.0</v>
      </c>
      <c r="P46" s="6">
        <f>'12_MODELO'!N46-'12_MODELO'!O46</f>
        <v>112653.09200000003</v>
      </c>
      <c r="Q46" s="6">
        <f>'12_MODELO'!AG45*'12_MODELO'!BG46</f>
        <v>9480.0</v>
      </c>
      <c r="R46" s="6">
        <f>'12_MODELO'!P46-'12_MODELO'!Q46</f>
        <v>103173.09200000003</v>
      </c>
      <c r="S46" s="6">
        <f>MAX(0,'12_MODELO'!R46)*'12_MODELO'!BF46</f>
        <v>35078.85128000002</v>
      </c>
      <c r="T46" s="6">
        <f>'12_MODELO'!R46-'12_MODELO'!S46</f>
        <v>68094.24072000002</v>
      </c>
      <c r="U46" s="6">
        <f>'12_MODELO'!C46*'12_MODELO'!BB46/30</f>
        <v>1851184.0</v>
      </c>
      <c r="V46" s="6">
        <f>'12_MODELO'!F46*'12_MODELO'!BC46/30</f>
        <v>1355760.882</v>
      </c>
      <c r="W46" s="6">
        <f>'12_MODELO'!F46+'12_MODELO'!V46-'12_MODELO'!V45</f>
        <v>955001.3759999997</v>
      </c>
      <c r="X46" s="6">
        <f>'12_MODELO'!F46*'12_MODELO'!BD46/30</f>
        <v>1084608.7056</v>
      </c>
      <c r="Y46" s="6">
        <f>'12_MODELO'!H46*20%</f>
        <v>20520.0</v>
      </c>
      <c r="Z46" s="6">
        <f>'12_MODELO'!D46</f>
        <v>118012.98000000001</v>
      </c>
      <c r="AA46" s="6">
        <f>'12_MODELO'!S46</f>
        <v>35078.85128000002</v>
      </c>
      <c r="AB46" s="6">
        <f>'08_PREMISSAS'!V46</f>
        <v>90000.0</v>
      </c>
      <c r="AC46" s="6">
        <f>'12_MODELO'!AC45+'12_MODELO'!AB46</f>
        <v>2382000.0</v>
      </c>
      <c r="AD46" s="6">
        <f>'12_MODELO'!AD45+'12_MODELO'!O46</f>
        <v>698160.0</v>
      </c>
      <c r="AE46" s="6">
        <f>'08_PREMISSAS'!W46</f>
        <v>0.0</v>
      </c>
      <c r="AF46" s="6">
        <f>'08_PREMISSAS'!X46</f>
        <v>18000.0</v>
      </c>
      <c r="AG46" s="6">
        <f>'12_MODELO'!AG45+'12_MODELO'!AE46-'12_MODELO'!AF46</f>
        <v>772000.0</v>
      </c>
      <c r="AH46" s="6">
        <f>'08_PREMISSAS'!Y46</f>
        <v>0.0</v>
      </c>
      <c r="AI46" s="6">
        <f>'12_MODELO'!AI45</f>
        <v>3900000.0</v>
      </c>
      <c r="AJ46" s="6">
        <f>'12_MODELO'!AJ45+'12_MODELO'!T46-'12_MODELO'!AH46</f>
        <v>1364622.1061599995</v>
      </c>
      <c r="AK46" s="6">
        <f>'12_MODELO'!U45+'12_MODELO'!C46-'12_MODELO'!U46</f>
        <v>1318532.0</v>
      </c>
      <c r="AL46" s="6">
        <f>'12_MODELO'!X45+'12_MODELO'!W46-'12_MODELO'!X46</f>
        <v>914072.7455999998</v>
      </c>
      <c r="AM46" s="6">
        <f>'12_MODELO'!M46+'12_MODELO'!Y45-'12_MODELO'!Y46</f>
        <v>230961.34</v>
      </c>
      <c r="AN46" s="6">
        <f>'12_MODELO'!Z45+'12_MODELO'!D46-'12_MODELO'!Z46</f>
        <v>113559.66</v>
      </c>
      <c r="AO46" s="6">
        <f>'12_MODELO'!AA45+'12_MODELO'!S46-'12_MODELO'!AA46</f>
        <v>31343.635760000005</v>
      </c>
      <c r="AP46" s="6">
        <f>'12_MODELO'!AK46-'12_MODELO'!AL46-'12_MODELO'!AM46-'12_MODELO'!AN46-'12_MODELO'!Q46-'12_MODELO'!AO46</f>
        <v>19114.618640000204</v>
      </c>
      <c r="AQ46" s="6">
        <f>'12_MODELO'!T46+'12_MODELO'!O46-('12_MODELO'!U46-'12_MODELO'!U45)-('12_MODELO'!V46-'12_MODELO'!V45)+('12_MODELO'!X46-'12_MODELO'!X45)+('12_MODELO'!Y46-'12_MODELO'!Y45)+('12_MODELO'!Z46-'12_MODELO'!Z45)+('12_MODELO'!AA46-'12_MODELO'!AA45)</f>
        <v>19114.61864</v>
      </c>
      <c r="AR46" s="6">
        <f>-'12_MODELO'!AB46</f>
        <v>-90000.0</v>
      </c>
      <c r="AS46" s="6">
        <f>'12_MODELO'!AE46-'12_MODELO'!AF46-'12_MODELO'!AH46</f>
        <v>-18000.0</v>
      </c>
      <c r="AT46" s="6">
        <f>'12_MODELO'!AQ46+'12_MODELO'!AR46+'12_MODELO'!AS46</f>
        <v>-88885.38136</v>
      </c>
      <c r="AU46" s="6">
        <f>'12_MODELO'!AV45</f>
        <v>2492943.1423999993</v>
      </c>
      <c r="AV46" s="6">
        <f>'12_MODELO'!AU46+'12_MODELO'!AT46</f>
        <v>2404057.7610399993</v>
      </c>
      <c r="AW46" s="6">
        <f>'12_MODELO'!AV46+'12_MODELO'!U46+'12_MODELO'!V46+'12_MODELO'!AC46-'12_MODELO'!AD46</f>
        <v>7294842.6430399995</v>
      </c>
      <c r="AX46" s="6">
        <f>'12_MODELO'!X46+'12_MODELO'!Y46+'12_MODELO'!Z46+'12_MODELO'!AA46+'12_MODELO'!AG46</f>
        <v>2030220.53688</v>
      </c>
      <c r="AY46" s="6">
        <f>'12_MODELO'!AI46+'12_MODELO'!AJ46</f>
        <v>5264622.10616</v>
      </c>
      <c r="AZ46" s="6">
        <f>'12_MODELO'!AW46-'12_MODELO'!AX46-'12_MODELO'!AY46</f>
        <v>0.0</v>
      </c>
      <c r="BA46" s="6">
        <f>'12_MODELO'!AP46-'12_MODELO'!AQ46</f>
        <v>2.0372681319713593e-10</v>
      </c>
      <c r="BB46" s="6">
        <f>'08_PREMISSAS'!O46</f>
        <v>40.0</v>
      </c>
      <c r="BC46" s="6">
        <f>'08_PREMISSAS'!P46</f>
        <v>45.0</v>
      </c>
      <c r="BD46" s="6">
        <f>'08_PREMISSAS'!Q46</f>
        <v>36.0</v>
      </c>
      <c r="BE46" s="9">
        <f>'08_PREMISSAS'!R46</f>
        <v>0.085</v>
      </c>
      <c r="BF46" s="9">
        <f>'08_PREMISSAS'!S46</f>
        <v>0.34</v>
      </c>
      <c r="BG46" s="9">
        <f>'08_PREMISSAS'!T46</f>
        <v>0.012</v>
      </c>
      <c r="BH46" s="9">
        <f>'08_PREMISSAS'!U46</f>
        <v>0.01</v>
      </c>
      <c r="BI46" s="9">
        <f>IFERROR('12_MODELO'!N46/'12_MODELO'!E46,0)</f>
        <v>0.10671895295926083</v>
      </c>
      <c r="BJ46" s="9">
        <f>IFERROR('12_MODELO'!T46/'12_MODELO'!E46,0)</f>
        <v>0.05360168426485591</v>
      </c>
      <c r="BK46" s="6">
        <f>'12_MODELO'!AQ46+'12_MODELO'!AR46</f>
        <v>-70885.38136</v>
      </c>
      <c r="BL46" s="6">
        <f>'12_MODELO'!U46+'12_MODELO'!V46-'12_MODELO'!X46-'12_MODELO'!Y46-'12_MODELO'!Z46-'12_MODELO'!AA46</f>
        <v>1948724.3451200002</v>
      </c>
      <c r="BM46" s="6">
        <f>'12_MODELO'!AG46-'12_MODELO'!AV46</f>
        <v>-1632057.7610399993</v>
      </c>
      <c r="BN46" s="6">
        <f>0</f>
        <v>0</v>
      </c>
      <c r="BO46" s="6">
        <f>'12_MODELO'!AV46+'12_MODELO'!U46+'12_MODELO'!V46</f>
        <v>5611002.6430399995</v>
      </c>
      <c r="BP46" s="6">
        <f>'12_MODELO'!AC46-'12_MODELO'!AD46</f>
        <v>1683840.0</v>
      </c>
      <c r="BQ46" s="6">
        <f>MIN('12_MODELO'!AG46,'12_MODELO'!AF46*12)</f>
        <v>216000.0</v>
      </c>
      <c r="BR46" s="6">
        <f>'12_MODELO'!AG46-'12_MODELO'!BQ46</f>
        <v>556000.0</v>
      </c>
      <c r="BS46" s="6">
        <f>'12_MODELO'!AX46-'12_MODELO'!BR46</f>
        <v>1474220.53688</v>
      </c>
      <c r="BT46" s="6">
        <f>'12_MODELO'!BR46</f>
        <v>556000.0</v>
      </c>
      <c r="BU46" s="6">
        <f>IFERROR('12_MODELO'!BO46/'12_MODELO'!BS46,0)</f>
        <v>3.806080910333112</v>
      </c>
    </row>
    <row r="47" spans="1:73">
      <c r="A47" s="5">
        <v>45931</v>
      </c>
      <c r="B47" t="s">
        <v>79</v>
      </c>
      <c r="C47" s="6">
        <f>'08_PREMISSAS'!C47*'08_PREMISSAS'!D47</f>
        <v>1466976.0000000002</v>
      </c>
      <c r="D47" s="6">
        <f>'12_MODELO'!C47*'12_MODELO'!BE47</f>
        <v>124692.96000000004</v>
      </c>
      <c r="E47" s="6">
        <f>'12_MODELO'!C47-'12_MODELO'!D47</f>
        <v>1342283.0400000003</v>
      </c>
      <c r="F47" s="6">
        <f>'12_MODELO'!C47*'08_PREMISSAS'!E47</f>
        <v>955001.3760000002</v>
      </c>
      <c r="G47" s="6">
        <f>'12_MODELO'!E47-'12_MODELO'!F47</f>
        <v>387281.6640000001</v>
      </c>
      <c r="H47" s="6">
        <f>'08_PREMISSAS'!J47</f>
        <v>102600.0</v>
      </c>
      <c r="I47" s="6">
        <f>'12_MODELO'!C47*'08_PREMISSAS'!F47</f>
        <v>49877.18400000001</v>
      </c>
      <c r="J47" s="6">
        <f>'08_PREMISSAS'!L47</f>
        <v>33000.0</v>
      </c>
      <c r="K47" s="6">
        <f>'08_PREMISSAS'!M47</f>
        <v>19000.0</v>
      </c>
      <c r="L47" s="6">
        <f>'12_MODELO'!C47*'08_PREMISSAS'!G47</f>
        <v>30806.496000000006</v>
      </c>
      <c r="M47" s="6">
        <f>SUM('12_MODELO'!H47:'12_MODELO'!L47)</f>
        <v>235283.68000000002</v>
      </c>
      <c r="N47" s="6">
        <f>'12_MODELO'!G47-'12_MODELO'!M47</f>
        <v>151997.98400000008</v>
      </c>
      <c r="O47" s="6">
        <f>MIN('12_MODELO'!AC46*'12_MODELO'!BH47,'12_MODELO'!AC46-'12_MODELO'!AD46+'12_MODELO'!AB47)</f>
        <v>23820.0</v>
      </c>
      <c r="P47" s="6">
        <f>'12_MODELO'!N47-'12_MODELO'!O47</f>
        <v>128177.98400000008</v>
      </c>
      <c r="Q47" s="6">
        <f>'12_MODELO'!AG46*'12_MODELO'!BG47</f>
        <v>9264.0</v>
      </c>
      <c r="R47" s="6">
        <f>'12_MODELO'!P47-'12_MODELO'!Q47</f>
        <v>118913.98400000008</v>
      </c>
      <c r="S47" s="6">
        <f>MAX(0,'12_MODELO'!R47)*'12_MODELO'!BF47</f>
        <v>40430.75456000003</v>
      </c>
      <c r="T47" s="6">
        <f>'12_MODELO'!R47-'12_MODELO'!S47</f>
        <v>78483.22944000005</v>
      </c>
      <c r="U47" s="6">
        <f>'12_MODELO'!C47*'12_MODELO'!BB47/30</f>
        <v>1955968.0000000002</v>
      </c>
      <c r="V47" s="6">
        <f>'12_MODELO'!F47*'12_MODELO'!BC47/30</f>
        <v>1432502.0640000002</v>
      </c>
      <c r="W47" s="6">
        <f>'12_MODELO'!F47+'12_MODELO'!V47-'12_MODELO'!V46</f>
        <v>1031742.5580000004</v>
      </c>
      <c r="X47" s="6">
        <f>'12_MODELO'!F47*'12_MODELO'!BD47/30</f>
        <v>1146001.6512000002</v>
      </c>
      <c r="Y47" s="6">
        <f>'12_MODELO'!H47*20%</f>
        <v>20520.0</v>
      </c>
      <c r="Z47" s="6">
        <f>'12_MODELO'!D47</f>
        <v>124692.96000000004</v>
      </c>
      <c r="AA47" s="6">
        <f>'12_MODELO'!S47</f>
        <v>40430.75456000003</v>
      </c>
      <c r="AB47" s="6">
        <f>'08_PREMISSAS'!V47</f>
        <v>18000.0</v>
      </c>
      <c r="AC47" s="6">
        <f>'12_MODELO'!AC46+'12_MODELO'!AB47</f>
        <v>2400000.0</v>
      </c>
      <c r="AD47" s="6">
        <f>'12_MODELO'!AD46+'12_MODELO'!O47</f>
        <v>721980.0</v>
      </c>
      <c r="AE47" s="6">
        <f>'08_PREMISSAS'!W47</f>
        <v>0.0</v>
      </c>
      <c r="AF47" s="6">
        <f>'08_PREMISSAS'!X47</f>
        <v>18000.0</v>
      </c>
      <c r="AG47" s="6">
        <f>'12_MODELO'!AG46+'12_MODELO'!AE47-'12_MODELO'!AF47</f>
        <v>754000.0</v>
      </c>
      <c r="AH47" s="6">
        <f>'08_PREMISSAS'!Y47</f>
        <v>0.0</v>
      </c>
      <c r="AI47" s="6">
        <f>'12_MODELO'!AI46</f>
        <v>3900000.0</v>
      </c>
      <c r="AJ47" s="6">
        <f>'12_MODELO'!AJ46+'12_MODELO'!T47-'12_MODELO'!AH47</f>
        <v>1443105.3355999996</v>
      </c>
      <c r="AK47" s="6">
        <f>'12_MODELO'!U46+'12_MODELO'!C47-'12_MODELO'!U47</f>
        <v>1362191.9999999998</v>
      </c>
      <c r="AL47" s="6">
        <f>'12_MODELO'!X46+'12_MODELO'!W47-'12_MODELO'!X47</f>
        <v>970349.6124</v>
      </c>
      <c r="AM47" s="6">
        <f>'12_MODELO'!M47+'12_MODELO'!Y46-'12_MODELO'!Y47</f>
        <v>235283.68000000002</v>
      </c>
      <c r="AN47" s="6">
        <f>'12_MODELO'!Z46+'12_MODELO'!D47-'12_MODELO'!Z47</f>
        <v>118012.98000000003</v>
      </c>
      <c r="AO47" s="6">
        <f>'12_MODELO'!AA46+'12_MODELO'!S47-'12_MODELO'!AA47</f>
        <v>35078.85128000002</v>
      </c>
      <c r="AP47" s="6">
        <f>'12_MODELO'!AK47-'12_MODELO'!AL47-'12_MODELO'!AM47-'12_MODELO'!AN47-'12_MODELO'!Q47-'12_MODELO'!AO47</f>
        <v>-5797.123680000281</v>
      </c>
      <c r="AQ47" s="6">
        <f>'12_MODELO'!T47+'12_MODELO'!O47-('12_MODELO'!U47-'12_MODELO'!U46)-('12_MODELO'!V47-'12_MODELO'!V46)+('12_MODELO'!X47-'12_MODELO'!X46)+('12_MODELO'!Y47-'12_MODELO'!Y46)+('12_MODELO'!Z47-'12_MODELO'!Z46)+('12_MODELO'!AA47-'12_MODELO'!AA46)</f>
        <v>-5797.123680000193</v>
      </c>
      <c r="AR47" s="6">
        <f>-'12_MODELO'!AB47</f>
        <v>-18000.0</v>
      </c>
      <c r="AS47" s="6">
        <f>'12_MODELO'!AE47-'12_MODELO'!AF47-'12_MODELO'!AH47</f>
        <v>-18000.0</v>
      </c>
      <c r="AT47" s="6">
        <f>'12_MODELO'!AQ47+'12_MODELO'!AR47+'12_MODELO'!AS47</f>
        <v>-41797.12368000019</v>
      </c>
      <c r="AU47" s="6">
        <f>'12_MODELO'!AV46</f>
        <v>2404057.7610399993</v>
      </c>
      <c r="AV47" s="6">
        <f>'12_MODELO'!AU47+'12_MODELO'!AT47</f>
        <v>2362260.637359999</v>
      </c>
      <c r="AW47" s="6">
        <f>'12_MODELO'!AV47+'12_MODELO'!U47+'12_MODELO'!V47+'12_MODELO'!AC47-'12_MODELO'!AD47</f>
        <v>7428750.701359999</v>
      </c>
      <c r="AX47" s="6">
        <f>'12_MODELO'!X47+'12_MODELO'!Y47+'12_MODELO'!Z47+'12_MODELO'!AA47+'12_MODELO'!AG47</f>
        <v>2085645.3657600002</v>
      </c>
      <c r="AY47" s="6">
        <f>'12_MODELO'!AI47+'12_MODELO'!AJ47</f>
        <v>5343105.3356</v>
      </c>
      <c r="AZ47" s="6">
        <f>'12_MODELO'!AW47-'12_MODELO'!AX47-'12_MODELO'!AY47</f>
        <v>-9.313225746154785e-10</v>
      </c>
      <c r="BA47" s="6">
        <f>'12_MODELO'!AP47-'12_MODELO'!AQ47</f>
        <v>-8.731149137020111e-11</v>
      </c>
      <c r="BB47" s="6">
        <f>'08_PREMISSAS'!O47</f>
        <v>40.0</v>
      </c>
      <c r="BC47" s="6">
        <f>'08_PREMISSAS'!P47</f>
        <v>45.0</v>
      </c>
      <c r="BD47" s="6">
        <f>'08_PREMISSAS'!Q47</f>
        <v>36.0</v>
      </c>
      <c r="BE47" s="9">
        <f>'08_PREMISSAS'!R47</f>
        <v>0.085</v>
      </c>
      <c r="BF47" s="9">
        <f>'08_PREMISSAS'!S47</f>
        <v>0.34</v>
      </c>
      <c r="BG47" s="9">
        <f>'08_PREMISSAS'!T47</f>
        <v>0.012</v>
      </c>
      <c r="BH47" s="9">
        <f>'08_PREMISSAS'!U47</f>
        <v>0.01</v>
      </c>
      <c r="BI47" s="9">
        <f>IFERROR('12_MODELO'!N47/'12_MODELO'!E47,0)</f>
        <v>0.11323840015143159</v>
      </c>
      <c r="BJ47" s="9">
        <f>IFERROR('12_MODELO'!T47/'12_MODELO'!E47,0)</f>
        <v>0.05846995536798263</v>
      </c>
      <c r="BK47" s="6">
        <f>'12_MODELO'!AQ47+'12_MODELO'!AR47</f>
        <v>-23797.123680000193</v>
      </c>
      <c r="BL47" s="6">
        <f>'12_MODELO'!U47+'12_MODELO'!V47-'12_MODELO'!X47-'12_MODELO'!Y47-'12_MODELO'!Z47-'12_MODELO'!AA47</f>
        <v>2056824.69824</v>
      </c>
      <c r="BM47" s="6">
        <f>'12_MODELO'!AG47-'12_MODELO'!AV47</f>
        <v>-1608260.6373599991</v>
      </c>
      <c r="BN47" s="6">
        <f>0</f>
        <v>0</v>
      </c>
      <c r="BO47" s="6">
        <f>'12_MODELO'!AV47+'12_MODELO'!U47+'12_MODELO'!V47</f>
        <v>5750730.701359999</v>
      </c>
      <c r="BP47" s="6">
        <f>'12_MODELO'!AC47-'12_MODELO'!AD47</f>
        <v>1678020.0</v>
      </c>
      <c r="BQ47" s="6">
        <f>MIN('12_MODELO'!AG47,'12_MODELO'!AF47*12)</f>
        <v>216000.0</v>
      </c>
      <c r="BR47" s="6">
        <f>'12_MODELO'!AG47-'12_MODELO'!BQ47</f>
        <v>538000.0</v>
      </c>
      <c r="BS47" s="6">
        <f>'12_MODELO'!AX47-'12_MODELO'!BR47</f>
        <v>1547645.3657600002</v>
      </c>
      <c r="BT47" s="6">
        <f>'12_MODELO'!BR47</f>
        <v>538000.0</v>
      </c>
      <c r="BU47" s="6">
        <f>IFERROR('12_MODELO'!BO47/'12_MODELO'!BS47,0)</f>
        <v>3.715793571698511</v>
      </c>
    </row>
    <row r="48" spans="1:73">
      <c r="A48" s="5">
        <v>45962</v>
      </c>
      <c r="B48" t="s">
        <v>79</v>
      </c>
      <c r="C48" s="6">
        <f>'08_PREMISSAS'!C48*'08_PREMISSAS'!D48</f>
        <v>1689642.0</v>
      </c>
      <c r="D48" s="6">
        <f>'12_MODELO'!C48*'12_MODELO'!BE48</f>
        <v>143619.57</v>
      </c>
      <c r="E48" s="6">
        <f>'12_MODELO'!C48-'12_MODELO'!D48</f>
        <v>1546022.43</v>
      </c>
      <c r="F48" s="6">
        <f>'12_MODELO'!C48*'08_PREMISSAS'!E48</f>
        <v>1099956.942</v>
      </c>
      <c r="G48" s="6">
        <f>'12_MODELO'!E48-'12_MODELO'!F48</f>
        <v>446065.4879999999</v>
      </c>
      <c r="H48" s="6">
        <f>'08_PREMISSAS'!J48</f>
        <v>102600.0</v>
      </c>
      <c r="I48" s="6">
        <f>'12_MODELO'!C48*'08_PREMISSAS'!F48</f>
        <v>57447.828</v>
      </c>
      <c r="J48" s="6">
        <f>'08_PREMISSAS'!L48</f>
        <v>33000.0</v>
      </c>
      <c r="K48" s="6">
        <f>'08_PREMISSAS'!M48</f>
        <v>19000.0</v>
      </c>
      <c r="L48" s="6">
        <f>'12_MODELO'!C48*'08_PREMISSAS'!G48</f>
        <v>35482.482</v>
      </c>
      <c r="M48" s="6">
        <f>SUM('12_MODELO'!H48:'12_MODELO'!L48)</f>
        <v>247530.31</v>
      </c>
      <c r="N48" s="6">
        <f>'12_MODELO'!G48-'12_MODELO'!M48</f>
        <v>198535.1779999999</v>
      </c>
      <c r="O48" s="6">
        <f>MIN('12_MODELO'!AC47*'12_MODELO'!BH48,'12_MODELO'!AC47-'12_MODELO'!AD47+'12_MODELO'!AB48)</f>
        <v>24000.0</v>
      </c>
      <c r="P48" s="6">
        <f>'12_MODELO'!N48-'12_MODELO'!O48</f>
        <v>174535.1779999999</v>
      </c>
      <c r="Q48" s="6">
        <f>'12_MODELO'!AG47*'12_MODELO'!BG48</f>
        <v>9048.0</v>
      </c>
      <c r="R48" s="6">
        <f>'12_MODELO'!P48-'12_MODELO'!Q48</f>
        <v>165487.1779999999</v>
      </c>
      <c r="S48" s="6">
        <f>MAX(0,'12_MODELO'!R48)*'12_MODELO'!BF48</f>
        <v>56265.64051999997</v>
      </c>
      <c r="T48" s="6">
        <f>'12_MODELO'!R48-'12_MODELO'!S48</f>
        <v>109221.53747999993</v>
      </c>
      <c r="U48" s="6">
        <f>'12_MODELO'!C48*'12_MODELO'!BB48/30</f>
        <v>2252856.0</v>
      </c>
      <c r="V48" s="6">
        <f>'12_MODELO'!F48*'12_MODELO'!BC48/30</f>
        <v>1649935.413</v>
      </c>
      <c r="W48" s="6">
        <f>'12_MODELO'!F48+'12_MODELO'!V48-'12_MODELO'!V47</f>
        <v>1317390.2909999997</v>
      </c>
      <c r="X48" s="6">
        <f>'12_MODELO'!F48*'12_MODELO'!BD48/30</f>
        <v>1319948.3304</v>
      </c>
      <c r="Y48" s="6">
        <f>'12_MODELO'!H48*20%</f>
        <v>20520.0</v>
      </c>
      <c r="Z48" s="6">
        <f>'12_MODELO'!D48</f>
        <v>143619.57</v>
      </c>
      <c r="AA48" s="6">
        <f>'12_MODELO'!S48</f>
        <v>56265.64051999997</v>
      </c>
      <c r="AB48" s="6">
        <f>'08_PREMISSAS'!V48</f>
        <v>18000.0</v>
      </c>
      <c r="AC48" s="6">
        <f>'12_MODELO'!AC47+'12_MODELO'!AB48</f>
        <v>2418000.0</v>
      </c>
      <c r="AD48" s="6">
        <f>'12_MODELO'!AD47+'12_MODELO'!O48</f>
        <v>745980.0</v>
      </c>
      <c r="AE48" s="6">
        <f>'08_PREMISSAS'!W48</f>
        <v>0.0</v>
      </c>
      <c r="AF48" s="6">
        <f>'08_PREMISSAS'!X48</f>
        <v>18000.0</v>
      </c>
      <c r="AG48" s="6">
        <f>'12_MODELO'!AG47+'12_MODELO'!AE48-'12_MODELO'!AF48</f>
        <v>736000.0</v>
      </c>
      <c r="AH48" s="6">
        <f>'08_PREMISSAS'!Y48</f>
        <v>0.0</v>
      </c>
      <c r="AI48" s="6">
        <f>'12_MODELO'!AI47</f>
        <v>3900000.0</v>
      </c>
      <c r="AJ48" s="6">
        <f>'12_MODELO'!AJ47+'12_MODELO'!T48-'12_MODELO'!AH48</f>
        <v>1552326.8730799996</v>
      </c>
      <c r="AK48" s="6">
        <f>'12_MODELO'!U47+'12_MODELO'!C48-'12_MODELO'!U48</f>
        <v>1392754.0</v>
      </c>
      <c r="AL48" s="6">
        <f>'12_MODELO'!X47+'12_MODELO'!W48-'12_MODELO'!X48</f>
        <v>1143443.6117999998</v>
      </c>
      <c r="AM48" s="6">
        <f>'12_MODELO'!M48+'12_MODELO'!Y47-'12_MODELO'!Y48</f>
        <v>247530.31</v>
      </c>
      <c r="AN48" s="6">
        <f>'12_MODELO'!Z47+'12_MODELO'!D48-'12_MODELO'!Z48</f>
        <v>124692.96000000002</v>
      </c>
      <c r="AO48" s="6">
        <f>'12_MODELO'!AA47+'12_MODELO'!S48-'12_MODELO'!AA48</f>
        <v>40430.75456000003</v>
      </c>
      <c r="AP48" s="6">
        <f>'12_MODELO'!AK48-'12_MODELO'!AL48-'12_MODELO'!AM48-'12_MODELO'!AN48-'12_MODELO'!Q48-'12_MODELO'!AO48</f>
        <v>-172391.6363599999</v>
      </c>
      <c r="AQ48" s="6">
        <f>'12_MODELO'!T48+'12_MODELO'!O48-('12_MODELO'!U48-'12_MODELO'!U47)-('12_MODELO'!V48-'12_MODELO'!V47)+('12_MODELO'!X48-'12_MODELO'!X47)+('12_MODELO'!Y48-'12_MODELO'!Y47)+('12_MODELO'!Z48-'12_MODELO'!Z47)+('12_MODELO'!AA48-'12_MODELO'!AA47)</f>
        <v>-172391.6363599997</v>
      </c>
      <c r="AR48" s="6">
        <f>-'12_MODELO'!AB48</f>
        <v>-18000.0</v>
      </c>
      <c r="AS48" s="6">
        <f>'12_MODELO'!AE48-'12_MODELO'!AF48-'12_MODELO'!AH48</f>
        <v>-18000.0</v>
      </c>
      <c r="AT48" s="6">
        <f>'12_MODELO'!AQ48+'12_MODELO'!AR48+'12_MODELO'!AS48</f>
        <v>-208391.6363599997</v>
      </c>
      <c r="AU48" s="6">
        <f>'12_MODELO'!AV47</f>
        <v>2362260.637359999</v>
      </c>
      <c r="AV48" s="6">
        <f>'12_MODELO'!AU48+'12_MODELO'!AT48</f>
        <v>2153869.000999999</v>
      </c>
      <c r="AW48" s="6">
        <f>'12_MODELO'!AV48+'12_MODELO'!U48+'12_MODELO'!V48+'12_MODELO'!AC48-'12_MODELO'!AD48</f>
        <v>7728680.413999999</v>
      </c>
      <c r="AX48" s="6">
        <f>'12_MODELO'!X48+'12_MODELO'!Y48+'12_MODELO'!Z48+'12_MODELO'!AA48+'12_MODELO'!AG48</f>
        <v>2276353.54092</v>
      </c>
      <c r="AY48" s="6">
        <f>'12_MODELO'!AI48+'12_MODELO'!AJ48</f>
        <v>5452326.873079999</v>
      </c>
      <c r="AZ48" s="6">
        <f>'12_MODELO'!AW48-'12_MODELO'!AX48-'12_MODELO'!AY48</f>
        <v>-9.313225746154785e-10</v>
      </c>
      <c r="BA48" s="6">
        <f>'12_MODELO'!AP48-'12_MODELO'!AQ48</f>
        <v>-1.7462298274040222e-10</v>
      </c>
      <c r="BB48" s="6">
        <f>'08_PREMISSAS'!O48</f>
        <v>40.0</v>
      </c>
      <c r="BC48" s="6">
        <f>'08_PREMISSAS'!P48</f>
        <v>45.0</v>
      </c>
      <c r="BD48" s="6">
        <f>'08_PREMISSAS'!Q48</f>
        <v>36.0</v>
      </c>
      <c r="BE48" s="9">
        <f>'08_PREMISSAS'!R48</f>
        <v>0.085</v>
      </c>
      <c r="BF48" s="9">
        <f>'08_PREMISSAS'!S48</f>
        <v>0.34</v>
      </c>
      <c r="BG48" s="9">
        <f>'08_PREMISSAS'!T48</f>
        <v>0.012</v>
      </c>
      <c r="BH48" s="9">
        <f>'08_PREMISSAS'!U48</f>
        <v>0.01</v>
      </c>
      <c r="BI48" s="9">
        <f>IFERROR('12_MODELO'!N48/'12_MODELO'!E48,0)</f>
        <v>0.12841675136627864</v>
      </c>
      <c r="BJ48" s="9">
        <f>IFERROR('12_MODELO'!T48/'12_MODELO'!E48,0)</f>
        <v>0.0706468000467496</v>
      </c>
      <c r="BK48" s="6">
        <f>'12_MODELO'!AQ48+'12_MODELO'!AR48</f>
        <v>-190391.6363599997</v>
      </c>
      <c r="BL48" s="6">
        <f>'12_MODELO'!U48+'12_MODELO'!V48-'12_MODELO'!X48-'12_MODELO'!Y48-'12_MODELO'!Z48-'12_MODELO'!AA48</f>
        <v>2362437.8720799997</v>
      </c>
      <c r="BM48" s="6">
        <f>'12_MODELO'!AG48-'12_MODELO'!AV48</f>
        <v>-1417869.0009999992</v>
      </c>
      <c r="BN48" s="6">
        <f>0</f>
        <v>0</v>
      </c>
      <c r="BO48" s="6">
        <f>'12_MODELO'!AV48+'12_MODELO'!U48+'12_MODELO'!V48</f>
        <v>6056660.413999999</v>
      </c>
      <c r="BP48" s="6">
        <f>'12_MODELO'!AC48-'12_MODELO'!AD48</f>
        <v>1672020.0</v>
      </c>
      <c r="BQ48" s="6">
        <f>MIN('12_MODELO'!AG48,'12_MODELO'!AF48*12)</f>
        <v>216000.0</v>
      </c>
      <c r="BR48" s="6">
        <f>'12_MODELO'!AG48-'12_MODELO'!BQ48</f>
        <v>520000.0</v>
      </c>
      <c r="BS48" s="6">
        <f>'12_MODELO'!AX48-'12_MODELO'!BR48</f>
        <v>1756353.54092</v>
      </c>
      <c r="BT48" s="6">
        <f>'12_MODELO'!BR48</f>
        <v>520000.0</v>
      </c>
      <c r="BU48" s="6">
        <f>IFERROR('12_MODELO'!BO48/'12_MODELO'!BS48,0)</f>
        <v>3.4484289597112916</v>
      </c>
    </row>
    <row r="49" spans="1:73">
      <c r="A49" s="5">
        <v>45992</v>
      </c>
      <c r="B49" t="s">
        <v>79</v>
      </c>
      <c r="C49" s="6">
        <f>'08_PREMISSAS'!C49*'08_PREMISSAS'!D49</f>
        <v>1545564.0</v>
      </c>
      <c r="D49" s="6">
        <f>'12_MODELO'!C49*'12_MODELO'!BE49</f>
        <v>131372.94</v>
      </c>
      <c r="E49" s="6">
        <f>'12_MODELO'!C49-'12_MODELO'!D49</f>
        <v>1414191.06</v>
      </c>
      <c r="F49" s="6">
        <f>'12_MODELO'!C49*'08_PREMISSAS'!E49</f>
        <v>1006162.164</v>
      </c>
      <c r="G49" s="6">
        <f>'12_MODELO'!E49-'12_MODELO'!F49</f>
        <v>408028.89600000007</v>
      </c>
      <c r="H49" s="6">
        <f>'08_PREMISSAS'!J49</f>
        <v>102600.0</v>
      </c>
      <c r="I49" s="6">
        <f>'12_MODELO'!C49*'08_PREMISSAS'!F49</f>
        <v>52549.17600000001</v>
      </c>
      <c r="J49" s="6">
        <f>'08_PREMISSAS'!L49</f>
        <v>33000.0</v>
      </c>
      <c r="K49" s="6">
        <f>'08_PREMISSAS'!M49</f>
        <v>19000.0</v>
      </c>
      <c r="L49" s="6">
        <f>'12_MODELO'!C49*'08_PREMISSAS'!G49</f>
        <v>32456.844</v>
      </c>
      <c r="M49" s="6">
        <f>SUM('12_MODELO'!H49:'12_MODELO'!L49)</f>
        <v>239606.02000000002</v>
      </c>
      <c r="N49" s="6">
        <f>'12_MODELO'!G49-'12_MODELO'!M49</f>
        <v>168422.87600000005</v>
      </c>
      <c r="O49" s="6">
        <f>MIN('12_MODELO'!AC48*'12_MODELO'!BH49,'12_MODELO'!AC48-'12_MODELO'!AD48+'12_MODELO'!AB49)</f>
        <v>24180.0</v>
      </c>
      <c r="P49" s="6">
        <f>'12_MODELO'!N49-'12_MODELO'!O49</f>
        <v>144242.87600000005</v>
      </c>
      <c r="Q49" s="6">
        <f>'12_MODELO'!AG48*'12_MODELO'!BG49</f>
        <v>8832.0</v>
      </c>
      <c r="R49" s="6">
        <f>'12_MODELO'!P49-'12_MODELO'!Q49</f>
        <v>135410.87600000005</v>
      </c>
      <c r="S49" s="6">
        <f>MAX(0,'12_MODELO'!R49)*'12_MODELO'!BF49</f>
        <v>46039.69784000002</v>
      </c>
      <c r="T49" s="6">
        <f>'12_MODELO'!R49-'12_MODELO'!S49</f>
        <v>89371.17816000002</v>
      </c>
      <c r="U49" s="6">
        <f>'12_MODELO'!C49*'12_MODELO'!BB49/30</f>
        <v>2060752.0</v>
      </c>
      <c r="V49" s="6">
        <f>'12_MODELO'!F49*'12_MODELO'!BC49/30</f>
        <v>1509243.246</v>
      </c>
      <c r="W49" s="6">
        <f>'12_MODELO'!F49+'12_MODELO'!V49-'12_MODELO'!V48</f>
        <v>865469.9970000002</v>
      </c>
      <c r="X49" s="6">
        <f>'12_MODELO'!F49*'12_MODELO'!BD49/30</f>
        <v>1207394.5968</v>
      </c>
      <c r="Y49" s="6">
        <f>'12_MODELO'!H49*20%</f>
        <v>20520.0</v>
      </c>
      <c r="Z49" s="6">
        <f>'12_MODELO'!D49</f>
        <v>131372.94</v>
      </c>
      <c r="AA49" s="6">
        <f>'12_MODELO'!S49</f>
        <v>46039.69784000002</v>
      </c>
      <c r="AB49" s="6">
        <f>'08_PREMISSAS'!V49</f>
        <v>90000.0</v>
      </c>
      <c r="AC49" s="6">
        <f>'12_MODELO'!AC48+'12_MODELO'!AB49</f>
        <v>2508000.0</v>
      </c>
      <c r="AD49" s="6">
        <f>'12_MODELO'!AD48+'12_MODELO'!O49</f>
        <v>770160.0</v>
      </c>
      <c r="AE49" s="6">
        <f>'08_PREMISSAS'!W49</f>
        <v>0.0</v>
      </c>
      <c r="AF49" s="6">
        <f>'08_PREMISSAS'!X49</f>
        <v>18000.0</v>
      </c>
      <c r="AG49" s="6">
        <f>'12_MODELO'!AG48+'12_MODELO'!AE49-'12_MODELO'!AF49</f>
        <v>718000.0</v>
      </c>
      <c r="AH49" s="6">
        <f>'08_PREMISSAS'!Y49</f>
        <v>0.0</v>
      </c>
      <c r="AI49" s="6">
        <f>'12_MODELO'!AI48</f>
        <v>3900000.0</v>
      </c>
      <c r="AJ49" s="6">
        <f>'12_MODELO'!AJ48+'12_MODELO'!T49-'12_MODELO'!AH49</f>
        <v>1641698.0512399997</v>
      </c>
      <c r="AK49" s="6">
        <f>'12_MODELO'!U48+'12_MODELO'!C49-'12_MODELO'!U49</f>
        <v>1737668.0</v>
      </c>
      <c r="AL49" s="6">
        <f>'12_MODELO'!X48+'12_MODELO'!W49-'12_MODELO'!X49</f>
        <v>978023.7306000004</v>
      </c>
      <c r="AM49" s="6">
        <f>'12_MODELO'!M49+'12_MODELO'!Y48-'12_MODELO'!Y49</f>
        <v>239606.02000000002</v>
      </c>
      <c r="AN49" s="6">
        <f>'12_MODELO'!Z48+'12_MODELO'!D49-'12_MODELO'!Z49</f>
        <v>143619.57</v>
      </c>
      <c r="AO49" s="6">
        <f>'12_MODELO'!AA48+'12_MODELO'!S49-'12_MODELO'!AA49</f>
        <v>56265.64051999997</v>
      </c>
      <c r="AP49" s="6">
        <f>'12_MODELO'!AK49-'12_MODELO'!AL49-'12_MODELO'!AM49-'12_MODELO'!AN49-'12_MODELO'!Q49-'12_MODELO'!AO49</f>
        <v>311321.03887999966</v>
      </c>
      <c r="AQ49" s="6">
        <f>'12_MODELO'!T49+'12_MODELO'!O49-('12_MODELO'!U49-'12_MODELO'!U48)-('12_MODELO'!V49-'12_MODELO'!V48)+('12_MODELO'!X49-'12_MODELO'!X48)+('12_MODELO'!Y49-'12_MODELO'!Y48)+('12_MODELO'!Z49-'12_MODELO'!Z48)+('12_MODELO'!AA49-'12_MODELO'!AA48)</f>
        <v>311321.0388799998</v>
      </c>
      <c r="AR49" s="6">
        <f>-'12_MODELO'!AB49</f>
        <v>-90000.0</v>
      </c>
      <c r="AS49" s="6">
        <f>'12_MODELO'!AE49-'12_MODELO'!AF49-'12_MODELO'!AH49</f>
        <v>-18000.0</v>
      </c>
      <c r="AT49" s="6">
        <f>'12_MODELO'!AQ49+'12_MODELO'!AR49+'12_MODELO'!AS49</f>
        <v>203321.03887999977</v>
      </c>
      <c r="AU49" s="6">
        <f>'12_MODELO'!AV48</f>
        <v>2153869.000999999</v>
      </c>
      <c r="AV49" s="6">
        <f>'12_MODELO'!AU49+'12_MODELO'!AT49</f>
        <v>2357190.039879999</v>
      </c>
      <c r="AW49" s="6">
        <f>'12_MODELO'!AV49+'12_MODELO'!U49+'12_MODELO'!V49+'12_MODELO'!AC49-'12_MODELO'!AD49</f>
        <v>7665025.285879999</v>
      </c>
      <c r="AX49" s="6">
        <f>'12_MODELO'!X49+'12_MODELO'!Y49+'12_MODELO'!Z49+'12_MODELO'!AA49+'12_MODELO'!AG49</f>
        <v>2123327.23464</v>
      </c>
      <c r="AY49" s="6">
        <f>'12_MODELO'!AI49+'12_MODELO'!AJ49</f>
        <v>5541698.05124</v>
      </c>
      <c r="AZ49" s="6">
        <f>'12_MODELO'!AW49-'12_MODELO'!AX49-'12_MODELO'!AY49</f>
        <v>-9.313225746154785e-10</v>
      </c>
      <c r="BA49" s="6">
        <f>'12_MODELO'!AP49-'12_MODELO'!AQ49</f>
        <v>-1.1641532182693481e-10</v>
      </c>
      <c r="BB49" s="6">
        <f>'08_PREMISSAS'!O49</f>
        <v>40.0</v>
      </c>
      <c r="BC49" s="6">
        <f>'08_PREMISSAS'!P49</f>
        <v>45.0</v>
      </c>
      <c r="BD49" s="6">
        <f>'08_PREMISSAS'!Q49</f>
        <v>36.0</v>
      </c>
      <c r="BE49" s="9">
        <f>'08_PREMISSAS'!R49</f>
        <v>0.085</v>
      </c>
      <c r="BF49" s="9">
        <f>'08_PREMISSAS'!S49</f>
        <v>0.34</v>
      </c>
      <c r="BG49" s="9">
        <f>'08_PREMISSAS'!T49</f>
        <v>0.012</v>
      </c>
      <c r="BH49" s="9">
        <f>'08_PREMISSAS'!U49</f>
        <v>0.01</v>
      </c>
      <c r="BI49" s="9">
        <f>IFERROR('12_MODELO'!N49/'12_MODELO'!E49,0)</f>
        <v>0.11909485271389005</v>
      </c>
      <c r="BJ49" s="9">
        <f>IFERROR('12_MODELO'!T49/'12_MODELO'!E49,0)</f>
        <v>0.06319597166736439</v>
      </c>
      <c r="BK49" s="6">
        <f>'12_MODELO'!AQ49+'12_MODELO'!AR49</f>
        <v>221321.03887999977</v>
      </c>
      <c r="BL49" s="6">
        <f>'12_MODELO'!U49+'12_MODELO'!V49-'12_MODELO'!X49-'12_MODELO'!Y49-'12_MODELO'!Z49-'12_MODELO'!AA49</f>
        <v>2164668.0113600004</v>
      </c>
      <c r="BM49" s="6">
        <f>'12_MODELO'!AG49-'12_MODELO'!AV49</f>
        <v>-1639190.0398799991</v>
      </c>
      <c r="BN49" s="6">
        <f>0</f>
        <v>0</v>
      </c>
      <c r="BO49" s="6">
        <f>'12_MODELO'!AV49+'12_MODELO'!U49+'12_MODELO'!V49</f>
        <v>5927185.285879999</v>
      </c>
      <c r="BP49" s="6">
        <f>'12_MODELO'!AC49-'12_MODELO'!AD49</f>
        <v>1737840.0</v>
      </c>
      <c r="BQ49" s="6">
        <f>MIN('12_MODELO'!AG49,'12_MODELO'!AF49*12)</f>
        <v>216000.0</v>
      </c>
      <c r="BR49" s="6">
        <f>'12_MODELO'!AG49-'12_MODELO'!BQ49</f>
        <v>502000.0</v>
      </c>
      <c r="BS49" s="6">
        <f>'12_MODELO'!AX49-'12_MODELO'!BR49</f>
        <v>1621327.23464</v>
      </c>
      <c r="BT49" s="6">
        <f>'12_MODELO'!BR49</f>
        <v>502000.0</v>
      </c>
      <c r="BU49" s="6">
        <f>IFERROR('12_MODELO'!BO49/'12_MODELO'!BS49,0)</f>
        <v>3.6557612548808347</v>
      </c>
    </row>
    <row r="50" spans="1:73">
      <c r="A50" s="5">
        <v>45658</v>
      </c>
      <c r="B50" t="s">
        <v>80</v>
      </c>
      <c r="C50" s="6">
        <f>'12_MODELO'!C14</f>
        <v>1151091.49</v>
      </c>
      <c r="D50" s="6">
        <f>'12_MODELO'!D14</f>
        <v>97842.77665</v>
      </c>
      <c r="E50" s="6">
        <f>'12_MODELO'!E14</f>
        <v>1053248.71335</v>
      </c>
      <c r="F50" s="6">
        <f>'12_MODELO'!F14</f>
        <v>786981.58</v>
      </c>
      <c r="G50" s="6">
        <f>'12_MODELO'!G14</f>
        <v>266267.13335000013</v>
      </c>
      <c r="H50" s="6">
        <f>'12_MODELO'!H14</f>
        <v>105925.0</v>
      </c>
      <c r="I50" s="6">
        <f>'12_MODELO'!I14</f>
        <v>41439.29</v>
      </c>
      <c r="J50" s="6">
        <f>'12_MODELO'!J14</f>
        <v>33920.0</v>
      </c>
      <c r="K50" s="6">
        <f>'12_MODELO'!K14</f>
        <v>20160.0</v>
      </c>
      <c r="L50" s="6">
        <f>'12_MODELO'!L14</f>
        <v>25324.01</v>
      </c>
      <c r="M50" s="6">
        <f>'12_MODELO'!M14</f>
        <v>226768.3</v>
      </c>
      <c r="N50" s="6">
        <f>'12_MODELO'!N14</f>
        <v>39498.833350000146</v>
      </c>
      <c r="O50" s="6">
        <f>'12_MODELO'!O14</f>
        <v>20040.0</v>
      </c>
      <c r="P50" s="6">
        <f>'12_MODELO'!P14</f>
        <v>19458.833350000146</v>
      </c>
      <c r="Q50" s="6">
        <f>'12_MODELO'!Q14</f>
        <v>7008.0</v>
      </c>
      <c r="R50" s="6">
        <f>'12_MODELO'!R14</f>
        <v>12450.833350000146</v>
      </c>
      <c r="S50" s="6">
        <f>'12_MODELO'!S14</f>
        <v>4233.28333900005</v>
      </c>
      <c r="T50" s="6">
        <f>'12_MODELO'!T14</f>
        <v>8217.550011000098</v>
      </c>
      <c r="U50" s="6">
        <f>'12_MODELO'!U14</f>
        <v>1803376.6676666667</v>
      </c>
      <c r="V50" s="6">
        <f>'12_MODELO'!V14</f>
        <v>1364101.4053333332</v>
      </c>
      <c r="W50" s="6">
        <f>'12_MODELO'!W14</f>
        <v>747883.652</v>
      </c>
      <c r="X50" s="6">
        <f>'12_MODELO'!X14</f>
        <v>918145.1766666665</v>
      </c>
      <c r="Y50" s="6">
        <f>'12_MODELO'!Y14</f>
        <v>21185.0</v>
      </c>
      <c r="Z50" s="6">
        <f>'12_MODELO'!Z14</f>
        <v>97842.77665</v>
      </c>
      <c r="AA50" s="6">
        <f>'12_MODELO'!AA14</f>
        <v>4233.28333900005</v>
      </c>
      <c r="AB50" s="6">
        <f>'12_MODELO'!AB14</f>
        <v>18000.0</v>
      </c>
      <c r="AC50" s="6">
        <f>'12_MODELO'!AC14</f>
        <v>2022000.0</v>
      </c>
      <c r="AD50" s="6">
        <f>'12_MODELO'!AD14</f>
        <v>524880.0</v>
      </c>
      <c r="AE50" s="6">
        <f>'12_MODELO'!AE14</f>
        <v>0.0</v>
      </c>
      <c r="AF50" s="6">
        <f>'12_MODELO'!AF14</f>
        <v>18000.0</v>
      </c>
      <c r="AG50" s="6">
        <f>'12_MODELO'!AG14</f>
        <v>566000.0</v>
      </c>
      <c r="AH50" s="6">
        <f>'12_MODELO'!AH14</f>
        <v>0.0</v>
      </c>
      <c r="AI50" s="6">
        <f>'12_MODELO'!AI14</f>
        <v>3900000.0</v>
      </c>
      <c r="AJ50" s="6">
        <f>'12_MODELO'!AJ14</f>
        <v>864829.1271230004</v>
      </c>
      <c r="AK50" s="6">
        <f>'12_MODELO'!AK14</f>
        <v>1190007.595666667</v>
      </c>
      <c r="AL50" s="6">
        <f>'12_MODELO'!AL14</f>
        <v>897390.1420000002</v>
      </c>
      <c r="AM50" s="6">
        <f>'12_MODELO'!AM14</f>
        <v>225343.3</v>
      </c>
      <c r="AN50" s="6">
        <f>'12_MODELO'!AN14</f>
        <v>117446.16430000002</v>
      </c>
      <c r="AO50" s="6">
        <f>'12_MODELO'!AO14</f>
        <v>31905.493138</v>
      </c>
      <c r="AP50" s="6">
        <f>'12_MODELO'!AP14</f>
        <v>-89085.50377133326</v>
      </c>
      <c r="AQ50" s="6">
        <f>'12_MODELO'!AQ14</f>
        <v>-89085.50377133326</v>
      </c>
      <c r="AR50" s="6">
        <f>'12_MODELO'!AR14</f>
        <v>-18000.0</v>
      </c>
      <c r="AS50" s="6">
        <f>'12_MODELO'!AS14</f>
        <v>-18000.0</v>
      </c>
      <c r="AT50" s="6">
        <f>'12_MODELO'!AT14</f>
        <v>-125085.50377133326</v>
      </c>
      <c r="AU50" s="6">
        <f>'12_MODELO'!AU14</f>
        <v>1832722.7945500002</v>
      </c>
      <c r="AV50" s="6">
        <f>'12_MODELO'!AV14</f>
        <v>1707637.290778667</v>
      </c>
      <c r="AW50" s="6">
        <f>'12_MODELO'!AW14</f>
        <v>6372235.3637786675</v>
      </c>
      <c r="AX50" s="6">
        <f>'12_MODELO'!AX14</f>
        <v>1607406.2366556665</v>
      </c>
      <c r="AY50" s="6">
        <f>'12_MODELO'!AY14</f>
        <v>4764829.127123</v>
      </c>
      <c r="AZ50" s="6">
        <f>'12_MODELO'!AZ14</f>
        <v>9.313225746154785e-10</v>
      </c>
      <c r="BA50" s="6">
        <f>'12_MODELO'!BA14</f>
        <v>0.0</v>
      </c>
      <c r="BB50" s="6">
        <f>'12_MODELO'!BB14</f>
        <v>47.0</v>
      </c>
      <c r="BC50" s="6">
        <f>'12_MODELO'!BC14</f>
        <v>52.0</v>
      </c>
      <c r="BD50" s="6">
        <f>'12_MODELO'!BD14</f>
        <v>35.0</v>
      </c>
      <c r="BE50" s="9">
        <f>'12_MODELO'!BE14</f>
        <v>0.085</v>
      </c>
      <c r="BF50" s="9">
        <f>'12_MODELO'!BF14</f>
        <v>0.34</v>
      </c>
      <c r="BG50" s="9">
        <f>'12_MODELO'!BG14</f>
        <v>0.012</v>
      </c>
      <c r="BH50" s="9">
        <f>'12_MODELO'!BH14</f>
        <v>0.01</v>
      </c>
      <c r="BI50" s="9">
        <f>'12_MODELO'!BI14</f>
        <v>0.03750190515245802</v>
      </c>
      <c r="BJ50" s="9">
        <f>'12_MODELO'!BJ14</f>
        <v>0.0078020983143317285</v>
      </c>
      <c r="BK50" s="6">
        <f>'12_MODELO'!BK14</f>
        <v>-107085.50377133326</v>
      </c>
      <c r="BL50" s="6">
        <f>'12_MODELO'!BL14</f>
        <v>2126071.8363443334</v>
      </c>
      <c r="BM50" s="6">
        <f>'12_MODELO'!BM14</f>
        <v>-1141637.290778667</v>
      </c>
      <c r="BN50" s="6">
        <f>0</f>
        <v>0</v>
      </c>
      <c r="BO50" s="6">
        <f>'12_MODELO'!BO14</f>
        <v>4875115.3637786675</v>
      </c>
      <c r="BP50" s="6">
        <f>'12_MODELO'!BP14</f>
        <v>1497120.0</v>
      </c>
      <c r="BQ50" s="6">
        <f>'12_MODELO'!BQ14</f>
        <v>216000.0</v>
      </c>
      <c r="BR50" s="6">
        <f>'12_MODELO'!BR14</f>
        <v>350000.0</v>
      </c>
      <c r="BS50" s="6">
        <f>'12_MODELO'!BS14</f>
        <v>1257406.2366556665</v>
      </c>
      <c r="BT50" s="6">
        <f>'12_MODELO'!BT14</f>
        <v>350000.0</v>
      </c>
      <c r="BU50" s="6">
        <f>'12_MODELO'!BU14</f>
        <v>3.8771203940780916</v>
      </c>
    </row>
    <row r="51" spans="1:73">
      <c r="A51" s="5">
        <v>45689</v>
      </c>
      <c r="B51" t="s">
        <v>80</v>
      </c>
      <c r="C51" s="6">
        <f>'12_MODELO'!C15</f>
        <v>1176731.76</v>
      </c>
      <c r="D51" s="6">
        <f>'12_MODELO'!D15</f>
        <v>100022.1996</v>
      </c>
      <c r="E51" s="6">
        <f>'12_MODELO'!E15</f>
        <v>1076709.5604</v>
      </c>
      <c r="F51" s="6">
        <f>'12_MODELO'!F15</f>
        <v>805807.26</v>
      </c>
      <c r="G51" s="6">
        <f>'12_MODELO'!G15</f>
        <v>270902.30040000007</v>
      </c>
      <c r="H51" s="6">
        <f>'12_MODELO'!H15</f>
        <v>105925.0</v>
      </c>
      <c r="I51" s="6">
        <f>'12_MODELO'!I15</f>
        <v>42362.34</v>
      </c>
      <c r="J51" s="6">
        <f>'12_MODELO'!J15</f>
        <v>33920.0</v>
      </c>
      <c r="K51" s="6">
        <f>'12_MODELO'!K15</f>
        <v>20160.0</v>
      </c>
      <c r="L51" s="6">
        <f>'12_MODELO'!L15</f>
        <v>25888.1</v>
      </c>
      <c r="M51" s="6">
        <f>'12_MODELO'!M15</f>
        <v>228255.44</v>
      </c>
      <c r="N51" s="6">
        <f>'12_MODELO'!N15</f>
        <v>42646.86040000006</v>
      </c>
      <c r="O51" s="6">
        <f>'12_MODELO'!O15</f>
        <v>20220.0</v>
      </c>
      <c r="P51" s="6">
        <f>'12_MODELO'!P15</f>
        <v>22426.860400000063</v>
      </c>
      <c r="Q51" s="6">
        <f>'12_MODELO'!Q15</f>
        <v>6792.0</v>
      </c>
      <c r="R51" s="6">
        <f>'12_MODELO'!R15</f>
        <v>15634.860400000063</v>
      </c>
      <c r="S51" s="6">
        <f>'12_MODELO'!S15</f>
        <v>5315.852536000022</v>
      </c>
      <c r="T51" s="6">
        <f>'12_MODELO'!T15</f>
        <v>10319.007864000041</v>
      </c>
      <c r="U51" s="6">
        <f>'12_MODELO'!U15</f>
        <v>1843546.4239999999</v>
      </c>
      <c r="V51" s="6">
        <f>'12_MODELO'!V15</f>
        <v>1396732.584</v>
      </c>
      <c r="W51" s="6">
        <f>'12_MODELO'!W15</f>
        <v>838438.4386666669</v>
      </c>
      <c r="X51" s="6">
        <f>'12_MODELO'!X15</f>
        <v>940108.4700000001</v>
      </c>
      <c r="Y51" s="6">
        <f>'12_MODELO'!Y15</f>
        <v>21185.0</v>
      </c>
      <c r="Z51" s="6">
        <f>'12_MODELO'!Z15</f>
        <v>100022.1996</v>
      </c>
      <c r="AA51" s="6">
        <f>'12_MODELO'!AA15</f>
        <v>5315.852536000022</v>
      </c>
      <c r="AB51" s="6">
        <f>'12_MODELO'!AB15</f>
        <v>18000.0</v>
      </c>
      <c r="AC51" s="6">
        <f>'12_MODELO'!AC15</f>
        <v>2040000.0</v>
      </c>
      <c r="AD51" s="6">
        <f>'12_MODELO'!AD15</f>
        <v>545100.0</v>
      </c>
      <c r="AE51" s="6">
        <f>'12_MODELO'!AE15</f>
        <v>0.0</v>
      </c>
      <c r="AF51" s="6">
        <f>'12_MODELO'!AF15</f>
        <v>18000.0</v>
      </c>
      <c r="AG51" s="6">
        <f>'12_MODELO'!AG15</f>
        <v>548000.0</v>
      </c>
      <c r="AH51" s="6">
        <f>'12_MODELO'!AH15</f>
        <v>0.0</v>
      </c>
      <c r="AI51" s="6">
        <f>'12_MODELO'!AI15</f>
        <v>3900000.0</v>
      </c>
      <c r="AJ51" s="6">
        <f>'12_MODELO'!AJ15</f>
        <v>875148.1349870005</v>
      </c>
      <c r="AK51" s="6">
        <f>'12_MODELO'!AK15</f>
        <v>1136562.003666667</v>
      </c>
      <c r="AL51" s="6">
        <f>'12_MODELO'!AL15</f>
        <v>816475.1453333333</v>
      </c>
      <c r="AM51" s="6">
        <f>'12_MODELO'!AM15</f>
        <v>228255.44</v>
      </c>
      <c r="AN51" s="6">
        <f>'12_MODELO'!AN15</f>
        <v>97842.77665</v>
      </c>
      <c r="AO51" s="6">
        <f>'12_MODELO'!AO15</f>
        <v>4233.283339000051</v>
      </c>
      <c r="AP51" s="6">
        <f>'12_MODELO'!AP15</f>
        <v>-17036.64165566631</v>
      </c>
      <c r="AQ51" s="6">
        <f>'12_MODELO'!AQ15</f>
        <v>-17036.641655666466</v>
      </c>
      <c r="AR51" s="6">
        <f>'12_MODELO'!AR15</f>
        <v>-18000.0</v>
      </c>
      <c r="AS51" s="6">
        <f>'12_MODELO'!AS15</f>
        <v>-18000.0</v>
      </c>
      <c r="AT51" s="6">
        <f>'12_MODELO'!AT15</f>
        <v>-53036.64165566646</v>
      </c>
      <c r="AU51" s="6">
        <f>'12_MODELO'!AU15</f>
        <v>1707637.290778667</v>
      </c>
      <c r="AV51" s="6">
        <f>'12_MODELO'!AV15</f>
        <v>1654600.6491230004</v>
      </c>
      <c r="AW51" s="6">
        <f>'12_MODELO'!AW15</f>
        <v>6389779.657123</v>
      </c>
      <c r="AX51" s="6">
        <f>'12_MODELO'!AX15</f>
        <v>1614631.5221360002</v>
      </c>
      <c r="AY51" s="6">
        <f>'12_MODELO'!AY15</f>
        <v>4775148.134987</v>
      </c>
      <c r="AZ51" s="6">
        <f>'12_MODELO'!AZ15</f>
        <v>0.0</v>
      </c>
      <c r="BA51" s="6">
        <f>'12_MODELO'!BA15</f>
        <v>1.5643308870494366e-10</v>
      </c>
      <c r="BB51" s="6">
        <f>'12_MODELO'!BB15</f>
        <v>47.0</v>
      </c>
      <c r="BC51" s="6">
        <f>'12_MODELO'!BC15</f>
        <v>52.0</v>
      </c>
      <c r="BD51" s="6">
        <f>'12_MODELO'!BD15</f>
        <v>35.0</v>
      </c>
      <c r="BE51" s="9">
        <f>'12_MODELO'!BE15</f>
        <v>0.085</v>
      </c>
      <c r="BF51" s="9">
        <f>'12_MODELO'!BF15</f>
        <v>0.34</v>
      </c>
      <c r="BG51" s="9">
        <f>'12_MODELO'!BG15</f>
        <v>0.012</v>
      </c>
      <c r="BH51" s="9">
        <f>'12_MODELO'!BH15</f>
        <v>0.01</v>
      </c>
      <c r="BI51" s="9">
        <f>'12_MODELO'!BI15</f>
        <v>0.039608509080347215</v>
      </c>
      <c r="BJ51" s="9">
        <f>'12_MODELO'!BJ15</f>
        <v>0.009583836016247972</v>
      </c>
      <c r="BK51" s="6">
        <f>'12_MODELO'!BK15</f>
        <v>-35036.64165566646</v>
      </c>
      <c r="BL51" s="6">
        <f>'12_MODELO'!BL15</f>
        <v>2173647.485864</v>
      </c>
      <c r="BM51" s="6">
        <f>'12_MODELO'!BM15</f>
        <v>-1106600.6491230004</v>
      </c>
      <c r="BN51" s="6">
        <f>0</f>
        <v>0</v>
      </c>
      <c r="BO51" s="6">
        <f>'12_MODELO'!BO15</f>
        <v>4894879.657123</v>
      </c>
      <c r="BP51" s="6">
        <f>'12_MODELO'!BP15</f>
        <v>1494900.0</v>
      </c>
      <c r="BQ51" s="6">
        <f>'12_MODELO'!BQ15</f>
        <v>216000.0</v>
      </c>
      <c r="BR51" s="6">
        <f>'12_MODELO'!BR15</f>
        <v>332000.0</v>
      </c>
      <c r="BS51" s="6">
        <f>'12_MODELO'!BS15</f>
        <v>1282631.5221360002</v>
      </c>
      <c r="BT51" s="6">
        <f>'12_MODELO'!BT15</f>
        <v>332000.0</v>
      </c>
      <c r="BU51" s="6">
        <f>'12_MODELO'!BU15</f>
        <v>3.8162789333069154</v>
      </c>
    </row>
    <row r="52" spans="1:73">
      <c r="A52" s="5">
        <v>45717</v>
      </c>
      <c r="B52" t="s">
        <v>80</v>
      </c>
      <c r="C52" s="6">
        <f>'12_MODELO'!C16</f>
        <v>1389953.08</v>
      </c>
      <c r="D52" s="6">
        <f>'12_MODELO'!D16</f>
        <v>118146.01180000002</v>
      </c>
      <c r="E52" s="6">
        <f>'12_MODELO'!E16</f>
        <v>1271807.0682</v>
      </c>
      <c r="F52" s="6">
        <f>'12_MODELO'!F16</f>
        <v>952291.92</v>
      </c>
      <c r="G52" s="6">
        <f>'12_MODELO'!G16</f>
        <v>319515.14820000005</v>
      </c>
      <c r="H52" s="6">
        <f>'12_MODELO'!H16</f>
        <v>105925.0</v>
      </c>
      <c r="I52" s="6">
        <f>'12_MODELO'!I16</f>
        <v>50038.31</v>
      </c>
      <c r="J52" s="6">
        <f>'12_MODELO'!J16</f>
        <v>33920.0</v>
      </c>
      <c r="K52" s="6">
        <f>'12_MODELO'!K16</f>
        <v>20160.0</v>
      </c>
      <c r="L52" s="6">
        <f>'12_MODELO'!L16</f>
        <v>30578.97</v>
      </c>
      <c r="M52" s="6">
        <f>'12_MODELO'!M16</f>
        <v>240622.28</v>
      </c>
      <c r="N52" s="6">
        <f>'12_MODELO'!N16</f>
        <v>78892.86820000006</v>
      </c>
      <c r="O52" s="6">
        <f>'12_MODELO'!O16</f>
        <v>20400.0</v>
      </c>
      <c r="P52" s="6">
        <f>'12_MODELO'!P16</f>
        <v>58492.868200000055</v>
      </c>
      <c r="Q52" s="6">
        <f>'12_MODELO'!Q16</f>
        <v>6576.0</v>
      </c>
      <c r="R52" s="6">
        <f>'12_MODELO'!R16</f>
        <v>51916.868200000055</v>
      </c>
      <c r="S52" s="6">
        <f>'12_MODELO'!S16</f>
        <v>17651.73518800002</v>
      </c>
      <c r="T52" s="6">
        <f>'12_MODELO'!T16</f>
        <v>34265.133012000035</v>
      </c>
      <c r="U52" s="6">
        <f>'12_MODELO'!U16</f>
        <v>2177593.158666667</v>
      </c>
      <c r="V52" s="6">
        <f>'12_MODELO'!V16</f>
        <v>1650639.3280000002</v>
      </c>
      <c r="W52" s="6">
        <f>'12_MODELO'!W16</f>
        <v>1206198.664</v>
      </c>
      <c r="X52" s="6">
        <f>'12_MODELO'!X16</f>
        <v>1111007.24</v>
      </c>
      <c r="Y52" s="6">
        <f>'12_MODELO'!Y16</f>
        <v>21185.0</v>
      </c>
      <c r="Z52" s="6">
        <f>'12_MODELO'!Z16</f>
        <v>118146.01180000002</v>
      </c>
      <c r="AA52" s="6">
        <f>'12_MODELO'!AA16</f>
        <v>17651.73518800002</v>
      </c>
      <c r="AB52" s="6">
        <f>'12_MODELO'!AB16</f>
        <v>90000.0</v>
      </c>
      <c r="AC52" s="6">
        <f>'12_MODELO'!AC16</f>
        <v>2130000.0</v>
      </c>
      <c r="AD52" s="6">
        <f>'12_MODELO'!AD16</f>
        <v>565500.0</v>
      </c>
      <c r="AE52" s="6">
        <f>'12_MODELO'!AE16</f>
        <v>0.0</v>
      </c>
      <c r="AF52" s="6">
        <f>'12_MODELO'!AF16</f>
        <v>18000.0</v>
      </c>
      <c r="AG52" s="6">
        <f>'12_MODELO'!AG16</f>
        <v>530000.0</v>
      </c>
      <c r="AH52" s="6">
        <f>'12_MODELO'!AH16</f>
        <v>0.0</v>
      </c>
      <c r="AI52" s="6">
        <f>'12_MODELO'!AI16</f>
        <v>3900000.0</v>
      </c>
      <c r="AJ52" s="6">
        <f>'12_MODELO'!AJ16</f>
        <v>909413.2679990005</v>
      </c>
      <c r="AK52" s="6">
        <f>'12_MODELO'!AK16</f>
        <v>1055906.3453333327</v>
      </c>
      <c r="AL52" s="6">
        <f>'12_MODELO'!AL16</f>
        <v>1035299.8940000001</v>
      </c>
      <c r="AM52" s="6">
        <f>'12_MODELO'!AM16</f>
        <v>240622.28</v>
      </c>
      <c r="AN52" s="6">
        <f>'12_MODELO'!AN16</f>
        <v>100022.1996</v>
      </c>
      <c r="AO52" s="6">
        <f>'12_MODELO'!AO16</f>
        <v>5315.85253600002</v>
      </c>
      <c r="AP52" s="6">
        <f>'12_MODELO'!AP16</f>
        <v>-331929.88080266747</v>
      </c>
      <c r="AQ52" s="6">
        <f>'12_MODELO'!AQ16</f>
        <v>-331929.88080266747</v>
      </c>
      <c r="AR52" s="6">
        <f>'12_MODELO'!AR16</f>
        <v>-90000.0</v>
      </c>
      <c r="AS52" s="6">
        <f>'12_MODELO'!AS16</f>
        <v>-18000.0</v>
      </c>
      <c r="AT52" s="6">
        <f>'12_MODELO'!AT16</f>
        <v>-439929.88080266747</v>
      </c>
      <c r="AU52" s="6">
        <f>'12_MODELO'!AU16</f>
        <v>1654600.6491230004</v>
      </c>
      <c r="AV52" s="6">
        <f>'12_MODELO'!AV16</f>
        <v>1214670.768320333</v>
      </c>
      <c r="AW52" s="6">
        <f>'12_MODELO'!AW16</f>
        <v>6607403.254987</v>
      </c>
      <c r="AX52" s="6">
        <f>'12_MODELO'!AX16</f>
        <v>1797989.986988</v>
      </c>
      <c r="AY52" s="6">
        <f>'12_MODELO'!AY16</f>
        <v>4809413.267999001</v>
      </c>
      <c r="AZ52" s="6">
        <f>'12_MODELO'!AZ16</f>
        <v>-1.862645149230957e-09</v>
      </c>
      <c r="BA52" s="6">
        <f>'12_MODELO'!BA16</f>
        <v>0.0</v>
      </c>
      <c r="BB52" s="6">
        <f>'12_MODELO'!BB16</f>
        <v>47.0</v>
      </c>
      <c r="BC52" s="6">
        <f>'12_MODELO'!BC16</f>
        <v>52.0</v>
      </c>
      <c r="BD52" s="6">
        <f>'12_MODELO'!BD16</f>
        <v>35.0</v>
      </c>
      <c r="BE52" s="9">
        <f>'12_MODELO'!BE16</f>
        <v>0.085</v>
      </c>
      <c r="BF52" s="9">
        <f>'12_MODELO'!BF16</f>
        <v>0.34</v>
      </c>
      <c r="BG52" s="9">
        <f>'12_MODELO'!BG16</f>
        <v>0.012</v>
      </c>
      <c r="BH52" s="9">
        <f>'12_MODELO'!BH16</f>
        <v>0.01</v>
      </c>
      <c r="BI52" s="9">
        <f>'12_MODELO'!BI16</f>
        <v>0.06203210390366665</v>
      </c>
      <c r="BJ52" s="9">
        <f>'12_MODELO'!BJ16</f>
        <v>0.026942084116968922</v>
      </c>
      <c r="BK52" s="6">
        <f>'12_MODELO'!BK16</f>
        <v>-421929.88080266747</v>
      </c>
      <c r="BL52" s="6">
        <f>'12_MODELO'!BL16</f>
        <v>2560242.499678667</v>
      </c>
      <c r="BM52" s="6">
        <f>'12_MODELO'!BM16</f>
        <v>-684670.768320333</v>
      </c>
      <c r="BN52" s="6">
        <f>0</f>
        <v>0</v>
      </c>
      <c r="BO52" s="6">
        <f>'12_MODELO'!BO16</f>
        <v>5042903.254987</v>
      </c>
      <c r="BP52" s="6">
        <f>'12_MODELO'!BP16</f>
        <v>1564500.0</v>
      </c>
      <c r="BQ52" s="6">
        <f>'12_MODELO'!BQ16</f>
        <v>216000.0</v>
      </c>
      <c r="BR52" s="6">
        <f>'12_MODELO'!BR16</f>
        <v>314000.0</v>
      </c>
      <c r="BS52" s="6">
        <f>'12_MODELO'!BS16</f>
        <v>1483989.986988</v>
      </c>
      <c r="BT52" s="6">
        <f>'12_MODELO'!BT16</f>
        <v>314000.0</v>
      </c>
      <c r="BU52" s="6">
        <f>'12_MODELO'!BU16</f>
        <v>3.3982057151358513</v>
      </c>
    </row>
    <row r="53" spans="1:73">
      <c r="A53" s="5">
        <v>45748</v>
      </c>
      <c r="B53" t="s">
        <v>80</v>
      </c>
      <c r="C53" s="6">
        <f>'12_MODELO'!C17</f>
        <v>1384297.22</v>
      </c>
      <c r="D53" s="6">
        <f>'12_MODELO'!D17</f>
        <v>117665.26370000001</v>
      </c>
      <c r="E53" s="6">
        <f>'12_MODELO'!E17</f>
        <v>1266631.9563</v>
      </c>
      <c r="F53" s="6">
        <f>'12_MODELO'!F17</f>
        <v>950090.68</v>
      </c>
      <c r="G53" s="6">
        <f>'12_MODELO'!G17</f>
        <v>316541.2762999999</v>
      </c>
      <c r="H53" s="6">
        <f>'12_MODELO'!H17</f>
        <v>105925.0</v>
      </c>
      <c r="I53" s="6">
        <f>'12_MODELO'!I17</f>
        <v>49834.7</v>
      </c>
      <c r="J53" s="6">
        <f>'12_MODELO'!J17</f>
        <v>33920.0</v>
      </c>
      <c r="K53" s="6">
        <f>'12_MODELO'!K17</f>
        <v>48160.0</v>
      </c>
      <c r="L53" s="6">
        <f>'12_MODELO'!L17</f>
        <v>30454.54</v>
      </c>
      <c r="M53" s="6">
        <f>'12_MODELO'!M17</f>
        <v>268294.24</v>
      </c>
      <c r="N53" s="6">
        <f>'12_MODELO'!N17</f>
        <v>48247.03629999992</v>
      </c>
      <c r="O53" s="6">
        <f>'12_MODELO'!O17</f>
        <v>21300.0</v>
      </c>
      <c r="P53" s="6">
        <f>'12_MODELO'!P17</f>
        <v>26947.03629999992</v>
      </c>
      <c r="Q53" s="6">
        <f>'12_MODELO'!Q17</f>
        <v>6360.0</v>
      </c>
      <c r="R53" s="6">
        <f>'12_MODELO'!R17</f>
        <v>20587.03629999992</v>
      </c>
      <c r="S53" s="6">
        <f>'12_MODELO'!S17</f>
        <v>6999.5923419999735</v>
      </c>
      <c r="T53" s="6">
        <f>'12_MODELO'!T17</f>
        <v>13587.443957999945</v>
      </c>
      <c r="U53" s="6">
        <f>'12_MODELO'!U17</f>
        <v>2168732.311333333</v>
      </c>
      <c r="V53" s="6">
        <f>'12_MODELO'!V17</f>
        <v>1646823.8453333334</v>
      </c>
      <c r="W53" s="6">
        <f>'12_MODELO'!W17</f>
        <v>946275.1973333331</v>
      </c>
      <c r="X53" s="6">
        <f>'12_MODELO'!X17</f>
        <v>1108439.1266666667</v>
      </c>
      <c r="Y53" s="6">
        <f>'12_MODELO'!Y17</f>
        <v>21185.0</v>
      </c>
      <c r="Z53" s="6">
        <f>'12_MODELO'!Z17</f>
        <v>117665.26370000001</v>
      </c>
      <c r="AA53" s="6">
        <f>'12_MODELO'!AA17</f>
        <v>6999.5923419999735</v>
      </c>
      <c r="AB53" s="6">
        <f>'12_MODELO'!AB17</f>
        <v>18000.0</v>
      </c>
      <c r="AC53" s="6">
        <f>'12_MODELO'!AC17</f>
        <v>2148000.0</v>
      </c>
      <c r="AD53" s="6">
        <f>'12_MODELO'!AD17</f>
        <v>586800.0</v>
      </c>
      <c r="AE53" s="6">
        <f>'12_MODELO'!AE17</f>
        <v>350000.0</v>
      </c>
      <c r="AF53" s="6">
        <f>'12_MODELO'!AF17</f>
        <v>18000.0</v>
      </c>
      <c r="AG53" s="6">
        <f>'12_MODELO'!AG17</f>
        <v>862000.0</v>
      </c>
      <c r="AH53" s="6">
        <f>'12_MODELO'!AH17</f>
        <v>0.0</v>
      </c>
      <c r="AI53" s="6">
        <f>'12_MODELO'!AI17</f>
        <v>3900000.0</v>
      </c>
      <c r="AJ53" s="6">
        <f>'12_MODELO'!AJ17</f>
        <v>923000.7119570004</v>
      </c>
      <c r="AK53" s="6">
        <f>'12_MODELO'!AK17</f>
        <v>1393158.0673333341</v>
      </c>
      <c r="AL53" s="6">
        <f>'12_MODELO'!AL17</f>
        <v>948843.3106666664</v>
      </c>
      <c r="AM53" s="6">
        <f>'12_MODELO'!AM17</f>
        <v>268294.24</v>
      </c>
      <c r="AN53" s="6">
        <f>'12_MODELO'!AN17</f>
        <v>118146.01180000004</v>
      </c>
      <c r="AO53" s="6">
        <f>'12_MODELO'!AO17</f>
        <v>17651.73518800002</v>
      </c>
      <c r="AP53" s="6">
        <f>'12_MODELO'!AP17</f>
        <v>33862.76967866771</v>
      </c>
      <c r="AQ53" s="6">
        <f>'12_MODELO'!AQ17</f>
        <v>33862.76967866738</v>
      </c>
      <c r="AR53" s="6">
        <f>'12_MODELO'!AR17</f>
        <v>-18000.0</v>
      </c>
      <c r="AS53" s="6">
        <f>'12_MODELO'!AS17</f>
        <v>332000.0</v>
      </c>
      <c r="AT53" s="6">
        <f>'12_MODELO'!AT17</f>
        <v>347862.76967866736</v>
      </c>
      <c r="AU53" s="6">
        <f>'12_MODELO'!AU17</f>
        <v>1214670.768320333</v>
      </c>
      <c r="AV53" s="6">
        <f>'12_MODELO'!AV17</f>
        <v>1562533.5379990004</v>
      </c>
      <c r="AW53" s="6">
        <f>'12_MODELO'!AW17</f>
        <v>6939289.694665667</v>
      </c>
      <c r="AX53" s="6">
        <f>'12_MODELO'!AX17</f>
        <v>2116288.9827086665</v>
      </c>
      <c r="AY53" s="6">
        <f>'12_MODELO'!AY17</f>
        <v>4823000.711957</v>
      </c>
      <c r="AZ53" s="6">
        <f>'12_MODELO'!AZ17</f>
        <v>0.0</v>
      </c>
      <c r="BA53" s="6">
        <f>'12_MODELO'!BA17</f>
        <v>3.346940502524376e-10</v>
      </c>
      <c r="BB53" s="6">
        <f>'12_MODELO'!BB17</f>
        <v>47.0</v>
      </c>
      <c r="BC53" s="6">
        <f>'12_MODELO'!BC17</f>
        <v>52.0</v>
      </c>
      <c r="BD53" s="6">
        <f>'12_MODELO'!BD17</f>
        <v>35.0</v>
      </c>
      <c r="BE53" s="9">
        <f>'12_MODELO'!BE17</f>
        <v>0.085</v>
      </c>
      <c r="BF53" s="9">
        <f>'12_MODELO'!BF17</f>
        <v>0.34</v>
      </c>
      <c r="BG53" s="9">
        <f>'12_MODELO'!BG17</f>
        <v>0.012</v>
      </c>
      <c r="BH53" s="9">
        <f>'12_MODELO'!BH17</f>
        <v>0.01</v>
      </c>
      <c r="BI53" s="9">
        <f>'12_MODELO'!BI17</f>
        <v>0.038090809299440004</v>
      </c>
      <c r="BJ53" s="9">
        <f>'12_MODELO'!BJ17</f>
        <v>0.010727223397782155</v>
      </c>
      <c r="BK53" s="6">
        <f>'12_MODELO'!BK17</f>
        <v>15862.769678667377</v>
      </c>
      <c r="BL53" s="6">
        <f>'12_MODELO'!BL17</f>
        <v>2561267.1739579993</v>
      </c>
      <c r="BM53" s="6">
        <f>'12_MODELO'!BM17</f>
        <v>-700533.5379990004</v>
      </c>
      <c r="BN53" s="6">
        <f>0</f>
        <v>0</v>
      </c>
      <c r="BO53" s="6">
        <f>'12_MODELO'!BO17</f>
        <v>5378089.694665667</v>
      </c>
      <c r="BP53" s="6">
        <f>'12_MODELO'!BP17</f>
        <v>1561200.0</v>
      </c>
      <c r="BQ53" s="6">
        <f>'12_MODELO'!BQ17</f>
        <v>216000.0</v>
      </c>
      <c r="BR53" s="6">
        <f>'12_MODELO'!BR17</f>
        <v>646000.0</v>
      </c>
      <c r="BS53" s="6">
        <f>'12_MODELO'!BS17</f>
        <v>1470288.9827086665</v>
      </c>
      <c r="BT53" s="6">
        <f>'12_MODELO'!BT17</f>
        <v>646000.0</v>
      </c>
      <c r="BU53" s="6">
        <f>'12_MODELO'!BU17</f>
        <v>3.657845333750501</v>
      </c>
    </row>
    <row r="54" spans="1:73">
      <c r="A54" s="5">
        <v>45778</v>
      </c>
      <c r="B54" t="s">
        <v>80</v>
      </c>
      <c r="C54" s="6">
        <f>'12_MODELO'!C18</f>
        <v>1449678.53</v>
      </c>
      <c r="D54" s="6">
        <f>'12_MODELO'!D18</f>
        <v>123222.67505</v>
      </c>
      <c r="E54" s="6">
        <f>'12_MODELO'!E18</f>
        <v>1326455.85495</v>
      </c>
      <c r="F54" s="6">
        <f>'12_MODELO'!F18</f>
        <v>991818.4</v>
      </c>
      <c r="G54" s="6">
        <f>'12_MODELO'!G18</f>
        <v>334637.45495000004</v>
      </c>
      <c r="H54" s="6">
        <f>'12_MODELO'!H18</f>
        <v>105925.0</v>
      </c>
      <c r="I54" s="6">
        <f>'12_MODELO'!I18</f>
        <v>52188.43</v>
      </c>
      <c r="J54" s="6">
        <f>'12_MODELO'!J18</f>
        <v>33920.0</v>
      </c>
      <c r="K54" s="6">
        <f>'12_MODELO'!K18</f>
        <v>48160.0</v>
      </c>
      <c r="L54" s="6">
        <f>'12_MODELO'!L18</f>
        <v>31892.93</v>
      </c>
      <c r="M54" s="6">
        <f>'12_MODELO'!M18</f>
        <v>272086.36</v>
      </c>
      <c r="N54" s="6">
        <f>'12_MODELO'!N18</f>
        <v>62551.09495000006</v>
      </c>
      <c r="O54" s="6">
        <f>'12_MODELO'!O18</f>
        <v>21480.0</v>
      </c>
      <c r="P54" s="6">
        <f>'12_MODELO'!P18</f>
        <v>41071.09495000006</v>
      </c>
      <c r="Q54" s="6">
        <f>'12_MODELO'!Q18</f>
        <v>10344.0</v>
      </c>
      <c r="R54" s="6">
        <f>'12_MODELO'!R18</f>
        <v>30727.094950000057</v>
      </c>
      <c r="S54" s="6">
        <f>'12_MODELO'!S18</f>
        <v>10447.21228300002</v>
      </c>
      <c r="T54" s="6">
        <f>'12_MODELO'!T18</f>
        <v>20279.882667000034</v>
      </c>
      <c r="U54" s="6">
        <f>'12_MODELO'!U18</f>
        <v>2271163.030333333</v>
      </c>
      <c r="V54" s="6">
        <f>'12_MODELO'!V18</f>
        <v>1719151.8933333335</v>
      </c>
      <c r="W54" s="6">
        <f>'12_MODELO'!W18</f>
        <v>1064146.448</v>
      </c>
      <c r="X54" s="6">
        <f>'12_MODELO'!X18</f>
        <v>1157121.4666666666</v>
      </c>
      <c r="Y54" s="6">
        <f>'12_MODELO'!Y18</f>
        <v>21185.0</v>
      </c>
      <c r="Z54" s="6">
        <f>'12_MODELO'!Z18</f>
        <v>123222.67505</v>
      </c>
      <c r="AA54" s="6">
        <f>'12_MODELO'!AA18</f>
        <v>10447.21228300002</v>
      </c>
      <c r="AB54" s="6">
        <f>'12_MODELO'!AB18</f>
        <v>18000.0</v>
      </c>
      <c r="AC54" s="6">
        <f>'12_MODELO'!AC18</f>
        <v>2166000.0</v>
      </c>
      <c r="AD54" s="6">
        <f>'12_MODELO'!AD18</f>
        <v>608280.0</v>
      </c>
      <c r="AE54" s="6">
        <f>'12_MODELO'!AE18</f>
        <v>0.0</v>
      </c>
      <c r="AF54" s="6">
        <f>'12_MODELO'!AF18</f>
        <v>18000.0</v>
      </c>
      <c r="AG54" s="6">
        <f>'12_MODELO'!AG18</f>
        <v>844000.0</v>
      </c>
      <c r="AH54" s="6">
        <f>'12_MODELO'!AH18</f>
        <v>0.0</v>
      </c>
      <c r="AI54" s="6">
        <f>'12_MODELO'!AI18</f>
        <v>3900000.0</v>
      </c>
      <c r="AJ54" s="6">
        <f>'12_MODELO'!AJ18</f>
        <v>943280.5946240005</v>
      </c>
      <c r="AK54" s="6">
        <f>'12_MODELO'!AK18</f>
        <v>1347247.8110000002</v>
      </c>
      <c r="AL54" s="6">
        <f>'12_MODELO'!AL18</f>
        <v>1015464.1080000002</v>
      </c>
      <c r="AM54" s="6">
        <f>'12_MODELO'!AM18</f>
        <v>272086.36</v>
      </c>
      <c r="AN54" s="6">
        <f>'12_MODELO'!AN18</f>
        <v>117665.26370000002</v>
      </c>
      <c r="AO54" s="6">
        <f>'12_MODELO'!AO18</f>
        <v>6999.592341999973</v>
      </c>
      <c r="AP54" s="6">
        <f>'12_MODELO'!AP18</f>
        <v>-75311.513042</v>
      </c>
      <c r="AQ54" s="6">
        <f>'12_MODELO'!AQ18</f>
        <v>-75311.5130420003</v>
      </c>
      <c r="AR54" s="6">
        <f>'12_MODELO'!AR18</f>
        <v>-18000.0</v>
      </c>
      <c r="AS54" s="6">
        <f>'12_MODELO'!AS18</f>
        <v>-18000.0</v>
      </c>
      <c r="AT54" s="6">
        <f>'12_MODELO'!AT18</f>
        <v>-111311.5130420003</v>
      </c>
      <c r="AU54" s="6">
        <f>'12_MODELO'!AU18</f>
        <v>1562533.5379990004</v>
      </c>
      <c r="AV54" s="6">
        <f>'12_MODELO'!AV18</f>
        <v>1451222.024957</v>
      </c>
      <c r="AW54" s="6">
        <f>'12_MODELO'!AW18</f>
        <v>6999256.948623667</v>
      </c>
      <c r="AX54" s="6">
        <f>'12_MODELO'!AX18</f>
        <v>2155976.3539996664</v>
      </c>
      <c r="AY54" s="6">
        <f>'12_MODELO'!AY18</f>
        <v>4843280.594624001</v>
      </c>
      <c r="AZ54" s="6">
        <f>'12_MODELO'!AZ18</f>
        <v>-9.313225746154785e-10</v>
      </c>
      <c r="BA54" s="6">
        <f>'12_MODELO'!BA18</f>
        <v>2.9103830456733704e-10</v>
      </c>
      <c r="BB54" s="6">
        <f>'12_MODELO'!BB18</f>
        <v>47.0</v>
      </c>
      <c r="BC54" s="6">
        <f>'12_MODELO'!BC18</f>
        <v>52.0</v>
      </c>
      <c r="BD54" s="6">
        <f>'12_MODELO'!BD18</f>
        <v>35.0</v>
      </c>
      <c r="BE54" s="9">
        <f>'12_MODELO'!BE18</f>
        <v>0.085</v>
      </c>
      <c r="BF54" s="9">
        <f>'12_MODELO'!BF18</f>
        <v>0.34</v>
      </c>
      <c r="BG54" s="9">
        <f>'12_MODELO'!BG18</f>
        <v>0.012</v>
      </c>
      <c r="BH54" s="9">
        <f>'12_MODELO'!BH18</f>
        <v>0.01</v>
      </c>
      <c r="BI54" s="9">
        <f>'12_MODELO'!BI18</f>
        <v>0.04715655987839707</v>
      </c>
      <c r="BJ54" s="9">
        <f>'12_MODELO'!BJ18</f>
        <v>0.015288773155413056</v>
      </c>
      <c r="BK54" s="6">
        <f>'12_MODELO'!BK18</f>
        <v>-93311.5130420003</v>
      </c>
      <c r="BL54" s="6">
        <f>'12_MODELO'!BL18</f>
        <v>2678338.5696670003</v>
      </c>
      <c r="BM54" s="6">
        <f>'12_MODELO'!BM18</f>
        <v>-607222.024957</v>
      </c>
      <c r="BN54" s="6">
        <f>0</f>
        <v>0</v>
      </c>
      <c r="BO54" s="6">
        <f>'12_MODELO'!BO18</f>
        <v>5441536.948623667</v>
      </c>
      <c r="BP54" s="6">
        <f>'12_MODELO'!BP18</f>
        <v>1557720.0</v>
      </c>
      <c r="BQ54" s="6">
        <f>'12_MODELO'!BQ18</f>
        <v>216000.0</v>
      </c>
      <c r="BR54" s="6">
        <f>'12_MODELO'!BR18</f>
        <v>628000.0</v>
      </c>
      <c r="BS54" s="6">
        <f>'12_MODELO'!BS18</f>
        <v>1527976.3539996664</v>
      </c>
      <c r="BT54" s="6">
        <f>'12_MODELO'!BT18</f>
        <v>628000.0</v>
      </c>
      <c r="BU54" s="6">
        <f>'12_MODELO'!BU18</f>
        <v>3.561270391639094</v>
      </c>
    </row>
    <row r="55" spans="1:73">
      <c r="A55" s="5">
        <v>45809</v>
      </c>
      <c r="B55" t="s">
        <v>80</v>
      </c>
      <c r="C55" s="6">
        <f>'12_MODELO'!C19</f>
        <v>1471160.97</v>
      </c>
      <c r="D55" s="6">
        <f>'12_MODELO'!D19</f>
        <v>125048.68245000001</v>
      </c>
      <c r="E55" s="6">
        <f>'12_MODELO'!E19</f>
        <v>1346112.28755</v>
      </c>
      <c r="F55" s="6">
        <f>'12_MODELO'!F19</f>
        <v>1007209.94</v>
      </c>
      <c r="G55" s="6">
        <f>'12_MODELO'!G19</f>
        <v>338902.34755000006</v>
      </c>
      <c r="H55" s="6">
        <f>'12_MODELO'!H19</f>
        <v>105925.0</v>
      </c>
      <c r="I55" s="6">
        <f>'12_MODELO'!I19</f>
        <v>52961.79</v>
      </c>
      <c r="J55" s="6">
        <f>'12_MODELO'!J19</f>
        <v>33920.0</v>
      </c>
      <c r="K55" s="6">
        <f>'12_MODELO'!K19</f>
        <v>20160.0</v>
      </c>
      <c r="L55" s="6">
        <f>'12_MODELO'!L19</f>
        <v>32365.54</v>
      </c>
      <c r="M55" s="6">
        <f>'12_MODELO'!M19</f>
        <v>245332.33000000002</v>
      </c>
      <c r="N55" s="6">
        <f>'12_MODELO'!N19</f>
        <v>93570.01755000005</v>
      </c>
      <c r="O55" s="6">
        <f>'12_MODELO'!O19</f>
        <v>21660.0</v>
      </c>
      <c r="P55" s="6">
        <f>'12_MODELO'!P19</f>
        <v>71910.01755000005</v>
      </c>
      <c r="Q55" s="6">
        <f>'12_MODELO'!Q19</f>
        <v>10128.0</v>
      </c>
      <c r="R55" s="6">
        <f>'12_MODELO'!R19</f>
        <v>61782.01755000005</v>
      </c>
      <c r="S55" s="6">
        <f>'12_MODELO'!S19</f>
        <v>21005.885967000017</v>
      </c>
      <c r="T55" s="6">
        <f>'12_MODELO'!T19</f>
        <v>40776.13158300003</v>
      </c>
      <c r="U55" s="6">
        <f>'12_MODELO'!U19</f>
        <v>2304818.853</v>
      </c>
      <c r="V55" s="6">
        <f>'12_MODELO'!V19</f>
        <v>1745830.5626666665</v>
      </c>
      <c r="W55" s="6">
        <f>'12_MODELO'!W19</f>
        <v>1033888.6093333326</v>
      </c>
      <c r="X55" s="6">
        <f>'12_MODELO'!X19</f>
        <v>1175078.2633333332</v>
      </c>
      <c r="Y55" s="6">
        <f>'12_MODELO'!Y19</f>
        <v>21185.0</v>
      </c>
      <c r="Z55" s="6">
        <f>'12_MODELO'!Z19</f>
        <v>125048.68245000001</v>
      </c>
      <c r="AA55" s="6">
        <f>'12_MODELO'!AA19</f>
        <v>21005.885967000017</v>
      </c>
      <c r="AB55" s="6">
        <f>'12_MODELO'!AB19</f>
        <v>90000.0</v>
      </c>
      <c r="AC55" s="6">
        <f>'12_MODELO'!AC19</f>
        <v>2256000.0</v>
      </c>
      <c r="AD55" s="6">
        <f>'12_MODELO'!AD19</f>
        <v>629940.0</v>
      </c>
      <c r="AE55" s="6">
        <f>'12_MODELO'!AE19</f>
        <v>0.0</v>
      </c>
      <c r="AF55" s="6">
        <f>'12_MODELO'!AF19</f>
        <v>18000.0</v>
      </c>
      <c r="AG55" s="6">
        <f>'12_MODELO'!AG19</f>
        <v>826000.0</v>
      </c>
      <c r="AH55" s="6">
        <f>'12_MODELO'!AH19</f>
        <v>0.0</v>
      </c>
      <c r="AI55" s="6">
        <f>'12_MODELO'!AI19</f>
        <v>3900000.0</v>
      </c>
      <c r="AJ55" s="6">
        <f>'12_MODELO'!AJ19</f>
        <v>984056.7262070006</v>
      </c>
      <c r="AK55" s="6">
        <f>'12_MODELO'!AK19</f>
        <v>1437505.1473333333</v>
      </c>
      <c r="AL55" s="6">
        <f>'12_MODELO'!AL19</f>
        <v>1015931.8126666662</v>
      </c>
      <c r="AM55" s="6">
        <f>'12_MODELO'!AM19</f>
        <v>245332.33000000002</v>
      </c>
      <c r="AN55" s="6">
        <f>'12_MODELO'!AN19</f>
        <v>123222.67505</v>
      </c>
      <c r="AO55" s="6">
        <f>'12_MODELO'!AO19</f>
        <v>10447.212283000023</v>
      </c>
      <c r="AP55" s="6">
        <f>'12_MODELO'!AP19</f>
        <v>32443.117333666996</v>
      </c>
      <c r="AQ55" s="6">
        <f>'12_MODELO'!AQ19</f>
        <v>32443.117333666807</v>
      </c>
      <c r="AR55" s="6">
        <f>'12_MODELO'!AR19</f>
        <v>-90000.0</v>
      </c>
      <c r="AS55" s="6">
        <f>'12_MODELO'!AS19</f>
        <v>-18000.0</v>
      </c>
      <c r="AT55" s="6">
        <f>'12_MODELO'!AT19</f>
        <v>-75556.8826663332</v>
      </c>
      <c r="AU55" s="6">
        <f>'12_MODELO'!AU19</f>
        <v>1451222.024957</v>
      </c>
      <c r="AV55" s="6">
        <f>'12_MODELO'!AV19</f>
        <v>1375665.142290667</v>
      </c>
      <c r="AW55" s="6">
        <f>'12_MODELO'!AW19</f>
        <v>7052374.5579573335</v>
      </c>
      <c r="AX55" s="6">
        <f>'12_MODELO'!AX19</f>
        <v>2168317.8317503333</v>
      </c>
      <c r="AY55" s="6">
        <f>'12_MODELO'!AY19</f>
        <v>4884056.726207</v>
      </c>
      <c r="AZ55" s="6">
        <f>'12_MODELO'!AZ19</f>
        <v>0.0</v>
      </c>
      <c r="BA55" s="6">
        <f>'12_MODELO'!BA19</f>
        <v>1.8917489796876907e-10</v>
      </c>
      <c r="BB55" s="6">
        <f>'12_MODELO'!BB19</f>
        <v>47.0</v>
      </c>
      <c r="BC55" s="6">
        <f>'12_MODELO'!BC19</f>
        <v>52.0</v>
      </c>
      <c r="BD55" s="6">
        <f>'12_MODELO'!BD19</f>
        <v>35.0</v>
      </c>
      <c r="BE55" s="9">
        <f>'12_MODELO'!BE19</f>
        <v>0.085</v>
      </c>
      <c r="BF55" s="9">
        <f>'12_MODELO'!BF19</f>
        <v>0.34</v>
      </c>
      <c r="BG55" s="9">
        <f>'12_MODELO'!BG19</f>
        <v>0.012</v>
      </c>
      <c r="BH55" s="9">
        <f>'12_MODELO'!BH19</f>
        <v>0.01</v>
      </c>
      <c r="BI55" s="9">
        <f>'12_MODELO'!BI19</f>
        <v>0.06951130185454495</v>
      </c>
      <c r="BJ55" s="9">
        <f>'12_MODELO'!BJ19</f>
        <v>0.03029177577541832</v>
      </c>
      <c r="BK55" s="6">
        <f>'12_MODELO'!BK19</f>
        <v>-57556.88266633319</v>
      </c>
      <c r="BL55" s="6">
        <f>'12_MODELO'!BL19</f>
        <v>2708331.5839163335</v>
      </c>
      <c r="BM55" s="6">
        <f>'12_MODELO'!BM19</f>
        <v>-549665.1422906669</v>
      </c>
      <c r="BN55" s="6">
        <f>0</f>
        <v>0</v>
      </c>
      <c r="BO55" s="6">
        <f>'12_MODELO'!BO19</f>
        <v>5426314.5579573335</v>
      </c>
      <c r="BP55" s="6">
        <f>'12_MODELO'!BP19</f>
        <v>1626060.0</v>
      </c>
      <c r="BQ55" s="6">
        <f>'12_MODELO'!BQ19</f>
        <v>216000.0</v>
      </c>
      <c r="BR55" s="6">
        <f>'12_MODELO'!BR19</f>
        <v>610000.0</v>
      </c>
      <c r="BS55" s="6">
        <f>'12_MODELO'!BS19</f>
        <v>1558317.8317503333</v>
      </c>
      <c r="BT55" s="6">
        <f>'12_MODELO'!BT19</f>
        <v>610000.0</v>
      </c>
      <c r="BU55" s="6">
        <f>'12_MODELO'!BU19</f>
        <v>3.482161628005238</v>
      </c>
    </row>
    <row r="56" spans="1:73">
      <c r="A56" s="5">
        <v>45839</v>
      </c>
      <c r="B56" t="s">
        <v>80</v>
      </c>
      <c r="C56" s="6">
        <f>'08_PREMISSAS'!C56*'08_PREMISSAS'!D56</f>
        <v>1147740.0</v>
      </c>
      <c r="D56" s="6">
        <f>'12_MODELO'!C56*'12_MODELO'!BE56</f>
        <v>97557.90000000001</v>
      </c>
      <c r="E56" s="6">
        <f>'12_MODELO'!C56-'12_MODELO'!D56</f>
        <v>1050182.1</v>
      </c>
      <c r="F56" s="6">
        <f>'12_MODELO'!C56*'08_PREMISSAS'!E56</f>
        <v>771281.28</v>
      </c>
      <c r="G56" s="6">
        <f>'12_MODELO'!E56-'12_MODELO'!F56</f>
        <v>278900.82000000007</v>
      </c>
      <c r="H56" s="6">
        <f>'08_PREMISSAS'!J56</f>
        <v>112000.0</v>
      </c>
      <c r="I56" s="6">
        <f>'12_MODELO'!C56*'08_PREMISSAS'!F56</f>
        <v>41318.64</v>
      </c>
      <c r="J56" s="6">
        <f>'08_PREMISSAS'!L56</f>
        <v>33920.0</v>
      </c>
      <c r="K56" s="6">
        <f>'08_PREMISSAS'!M56</f>
        <v>20160.0</v>
      </c>
      <c r="L56" s="6">
        <f>'12_MODELO'!C56*'08_PREMISSAS'!G56</f>
        <v>26398.02</v>
      </c>
      <c r="M56" s="6">
        <f>SUM('12_MODELO'!H56:'12_MODELO'!L56)</f>
        <v>233796.66</v>
      </c>
      <c r="N56" s="6">
        <f>'12_MODELO'!G56-'12_MODELO'!M56</f>
        <v>45104.16000000006</v>
      </c>
      <c r="O56" s="6">
        <f>MIN('12_MODELO'!AC55*'12_MODELO'!BH56,'12_MODELO'!AC55-'12_MODELO'!AD55+'12_MODELO'!AB56)</f>
        <v>22560.0</v>
      </c>
      <c r="P56" s="6">
        <f>'12_MODELO'!N56-'12_MODELO'!O56</f>
        <v>22544.16000000006</v>
      </c>
      <c r="Q56" s="6">
        <f>'12_MODELO'!AG55*'12_MODELO'!BG56</f>
        <v>9912.0</v>
      </c>
      <c r="R56" s="6">
        <f>'12_MODELO'!P56-'12_MODELO'!Q56</f>
        <v>12632.160000000062</v>
      </c>
      <c r="S56" s="6">
        <f>MAX(0,'12_MODELO'!R56)*'12_MODELO'!BF56</f>
        <v>4294.934400000021</v>
      </c>
      <c r="T56" s="6">
        <f>'12_MODELO'!R56-'12_MODELO'!S56</f>
        <v>8337.225600000042</v>
      </c>
      <c r="U56" s="6">
        <f>'12_MODELO'!C56*'12_MODELO'!BB56/30</f>
        <v>1912900.0</v>
      </c>
      <c r="V56" s="6">
        <f>'12_MODELO'!F56*'12_MODELO'!BC56/30</f>
        <v>1414015.68</v>
      </c>
      <c r="W56" s="6">
        <f>'12_MODELO'!F56+'12_MODELO'!V56-'12_MODELO'!V55</f>
        <v>439466.3973333335</v>
      </c>
      <c r="X56" s="6">
        <f>'12_MODELO'!F56*'12_MODELO'!BD56/30</f>
        <v>899828.16</v>
      </c>
      <c r="Y56" s="6">
        <f>'12_MODELO'!H56*20%</f>
        <v>22400.0</v>
      </c>
      <c r="Z56" s="6">
        <f>'12_MODELO'!D56</f>
        <v>97557.90000000001</v>
      </c>
      <c r="AA56" s="6">
        <f>'12_MODELO'!S56</f>
        <v>4294.934400000021</v>
      </c>
      <c r="AB56" s="6">
        <f>'08_PREMISSAS'!V56</f>
        <v>18000.0</v>
      </c>
      <c r="AC56" s="6">
        <f>'12_MODELO'!AC55+'12_MODELO'!AB56</f>
        <v>2274000.0</v>
      </c>
      <c r="AD56" s="6">
        <f>'12_MODELO'!AD55+'12_MODELO'!O56</f>
        <v>652500.0</v>
      </c>
      <c r="AE56" s="6">
        <f>'08_PREMISSAS'!W56</f>
        <v>0.0</v>
      </c>
      <c r="AF56" s="6">
        <f>'08_PREMISSAS'!X56</f>
        <v>18000.0</v>
      </c>
      <c r="AG56" s="6">
        <f>'12_MODELO'!AG55+'12_MODELO'!AE56-'12_MODELO'!AF56</f>
        <v>808000.0</v>
      </c>
      <c r="AH56" s="6">
        <f>'08_PREMISSAS'!Y56</f>
        <v>0.0</v>
      </c>
      <c r="AI56" s="6">
        <f>'12_MODELO'!AI55</f>
        <v>3900000.0</v>
      </c>
      <c r="AJ56" s="6">
        <f>'12_MODELO'!AJ55+'12_MODELO'!T56-'12_MODELO'!AH56</f>
        <v>992393.9518070006</v>
      </c>
      <c r="AK56" s="6">
        <f>'12_MODELO'!U55+'12_MODELO'!C56-'12_MODELO'!U56</f>
        <v>1539658.8530000001</v>
      </c>
      <c r="AL56" s="6">
        <f>'12_MODELO'!X55+'12_MODELO'!W56-'12_MODELO'!X56</f>
        <v>714716.5006666667</v>
      </c>
      <c r="AM56" s="6">
        <f>'12_MODELO'!M56+'12_MODELO'!Y55-'12_MODELO'!Y56</f>
        <v>232581.66</v>
      </c>
      <c r="AN56" s="6">
        <f>'12_MODELO'!Z55+'12_MODELO'!D56-'12_MODELO'!Z56</f>
        <v>125048.68245000001</v>
      </c>
      <c r="AO56" s="6">
        <f>'12_MODELO'!AA55+'12_MODELO'!S56-'12_MODELO'!AA56</f>
        <v>21005.885967000017</v>
      </c>
      <c r="AP56" s="6">
        <f>'12_MODELO'!AK56-'12_MODELO'!AL56-'12_MODELO'!AM56-'12_MODELO'!AN56-'12_MODELO'!Q56-'12_MODELO'!AO56</f>
        <v>436394.12391633337</v>
      </c>
      <c r="AQ56" s="6">
        <f>'12_MODELO'!T56+'12_MODELO'!O56-('12_MODELO'!U56-'12_MODELO'!U55)-('12_MODELO'!V56-'12_MODELO'!V55)+('12_MODELO'!X56-'12_MODELO'!X55)+('12_MODELO'!Y56-'12_MODELO'!Y55)+('12_MODELO'!Z56-'12_MODELO'!Z55)+('12_MODELO'!AA56-'12_MODELO'!AA55)</f>
        <v>436394.1239163335</v>
      </c>
      <c r="AR56" s="6">
        <f>-'12_MODELO'!AB56</f>
        <v>-18000.0</v>
      </c>
      <c r="AS56" s="6">
        <f>'12_MODELO'!AE56-'12_MODELO'!AF56-'12_MODELO'!AH56</f>
        <v>-18000.0</v>
      </c>
      <c r="AT56" s="6">
        <f>'12_MODELO'!AQ56+'12_MODELO'!AR56+'12_MODELO'!AS56</f>
        <v>400394.1239163335</v>
      </c>
      <c r="AU56" s="6">
        <f>'12_MODELO'!AV55</f>
        <v>1375665.142290667</v>
      </c>
      <c r="AV56" s="6">
        <f>'12_MODELO'!AU56+'12_MODELO'!AT56</f>
        <v>1776059.2662070005</v>
      </c>
      <c r="AW56" s="6">
        <f>'12_MODELO'!AV56+'12_MODELO'!U56+'12_MODELO'!V56+'12_MODELO'!AC56-'12_MODELO'!AD56</f>
        <v>6724474.946207</v>
      </c>
      <c r="AX56" s="6">
        <f>'12_MODELO'!X56+'12_MODELO'!Y56+'12_MODELO'!Z56+'12_MODELO'!AA56+'12_MODELO'!AG56</f>
        <v>1832080.9944</v>
      </c>
      <c r="AY56" s="6">
        <f>'12_MODELO'!AI56+'12_MODELO'!AJ56</f>
        <v>4892393.951807001</v>
      </c>
      <c r="AZ56" s="6">
        <f>'12_MODELO'!AW56-'12_MODELO'!AX56-'12_MODELO'!AY56</f>
        <v>-9.313225746154785e-10</v>
      </c>
      <c r="BA56" s="6">
        <f>'12_MODELO'!AP56-'12_MODELO'!AQ56</f>
        <v>-1.1641532182693481e-10</v>
      </c>
      <c r="BB56" s="6">
        <f>'08_PREMISSAS'!O56</f>
        <v>50.0</v>
      </c>
      <c r="BC56" s="6">
        <f>'08_PREMISSAS'!P56</f>
        <v>55.0</v>
      </c>
      <c r="BD56" s="6">
        <f>'08_PREMISSAS'!Q56</f>
        <v>35.0</v>
      </c>
      <c r="BE56" s="9">
        <f>'08_PREMISSAS'!R56</f>
        <v>0.085</v>
      </c>
      <c r="BF56" s="9">
        <f>'08_PREMISSAS'!S56</f>
        <v>0.34</v>
      </c>
      <c r="BG56" s="9">
        <f>'08_PREMISSAS'!T56</f>
        <v>0.012</v>
      </c>
      <c r="BH56" s="9">
        <f>'08_PREMISSAS'!U56</f>
        <v>0.01</v>
      </c>
      <c r="BI56" s="9">
        <f>IFERROR('12_MODELO'!N56/'12_MODELO'!E56,0)</f>
        <v>0.04294889429176146</v>
      </c>
      <c r="BJ56" s="9">
        <f>IFERROR('12_MODELO'!T56/'12_MODELO'!E56,0)</f>
        <v>0.007938838035803544</v>
      </c>
      <c r="BK56" s="6">
        <f>'12_MODELO'!AQ56+'12_MODELO'!AR56</f>
        <v>418394.1239163335</v>
      </c>
      <c r="BL56" s="6">
        <f>'12_MODELO'!U56+'12_MODELO'!V56-'12_MODELO'!X56-'12_MODELO'!Y56-'12_MODELO'!Z56-'12_MODELO'!AA56</f>
        <v>2302834.6855999995</v>
      </c>
      <c r="BM56" s="6">
        <f>'12_MODELO'!AG56-'12_MODELO'!AV56</f>
        <v>-968059.2662070005</v>
      </c>
      <c r="BN56" s="6">
        <f>0</f>
        <v>0</v>
      </c>
      <c r="BO56" s="6">
        <f>'12_MODELO'!AV56+'12_MODELO'!U56+'12_MODELO'!V56</f>
        <v>5102974.946207</v>
      </c>
      <c r="BP56" s="6">
        <f>'12_MODELO'!AC56-'12_MODELO'!AD56</f>
        <v>1621500.0</v>
      </c>
      <c r="BQ56" s="6">
        <f>MIN('12_MODELO'!AG56,'12_MODELO'!AF56*12)</f>
        <v>216000.0</v>
      </c>
      <c r="BR56" s="6">
        <f>'12_MODELO'!AG56-'12_MODELO'!BQ56</f>
        <v>592000.0</v>
      </c>
      <c r="BS56" s="6">
        <f>'12_MODELO'!AX56-'12_MODELO'!BR56</f>
        <v>1240080.9944</v>
      </c>
      <c r="BT56" s="6">
        <f>'12_MODELO'!BR56</f>
        <v>592000.0</v>
      </c>
      <c r="BU56" s="6">
        <f>IFERROR('12_MODELO'!BO56/'12_MODELO'!BS56,0)</f>
        <v>4.115033589943873</v>
      </c>
    </row>
    <row r="57" spans="1:73">
      <c r="A57" s="5">
        <v>45870</v>
      </c>
      <c r="B57" t="s">
        <v>80</v>
      </c>
      <c r="C57" s="6">
        <f>'08_PREMISSAS'!C57*'08_PREMISSAS'!D57</f>
        <v>1245420.0</v>
      </c>
      <c r="D57" s="6">
        <f>'12_MODELO'!C57*'12_MODELO'!BE57</f>
        <v>105860.70000000001</v>
      </c>
      <c r="E57" s="6">
        <f>'12_MODELO'!C57-'12_MODELO'!D57</f>
        <v>1139559.3</v>
      </c>
      <c r="F57" s="6">
        <f>'12_MODELO'!C57*'08_PREMISSAS'!E57</f>
        <v>836922.2400000001</v>
      </c>
      <c r="G57" s="6">
        <f>'12_MODELO'!E57-'12_MODELO'!F57</f>
        <v>302637.05999999994</v>
      </c>
      <c r="H57" s="6">
        <f>'08_PREMISSAS'!J57</f>
        <v>112000.0</v>
      </c>
      <c r="I57" s="6">
        <f>'12_MODELO'!C57*'08_PREMISSAS'!F57</f>
        <v>44835.119999999995</v>
      </c>
      <c r="J57" s="6">
        <f>'08_PREMISSAS'!L57</f>
        <v>33920.0</v>
      </c>
      <c r="K57" s="6">
        <f>'08_PREMISSAS'!M57</f>
        <v>20160.0</v>
      </c>
      <c r="L57" s="6">
        <f>'12_MODELO'!C57*'08_PREMISSAS'!G57</f>
        <v>28644.66</v>
      </c>
      <c r="M57" s="6">
        <f>SUM('12_MODELO'!H57:'12_MODELO'!L57)</f>
        <v>239559.78</v>
      </c>
      <c r="N57" s="6">
        <f>'12_MODELO'!G57-'12_MODELO'!M57</f>
        <v>63077.27999999994</v>
      </c>
      <c r="O57" s="6">
        <f>MIN('12_MODELO'!AC56*'12_MODELO'!BH57,'12_MODELO'!AC56-'12_MODELO'!AD56+'12_MODELO'!AB57)</f>
        <v>22740.0</v>
      </c>
      <c r="P57" s="6">
        <f>'12_MODELO'!N57-'12_MODELO'!O57</f>
        <v>40337.27999999994</v>
      </c>
      <c r="Q57" s="6">
        <f>'12_MODELO'!AG56*'12_MODELO'!BG57</f>
        <v>9696.0</v>
      </c>
      <c r="R57" s="6">
        <f>'12_MODELO'!P57-'12_MODELO'!Q57</f>
        <v>30641.27999999994</v>
      </c>
      <c r="S57" s="6">
        <f>MAX(0,'12_MODELO'!R57)*'12_MODELO'!BF57</f>
        <v>10418.03519999998</v>
      </c>
      <c r="T57" s="6">
        <f>'12_MODELO'!R57-'12_MODELO'!S57</f>
        <v>20223.24479999996</v>
      </c>
      <c r="U57" s="6">
        <f>'12_MODELO'!C57*'12_MODELO'!BB57/30</f>
        <v>2075700.0</v>
      </c>
      <c r="V57" s="6">
        <f>'12_MODELO'!F57*'12_MODELO'!BC57/30</f>
        <v>1534357.4400000002</v>
      </c>
      <c r="W57" s="6">
        <f>'12_MODELO'!F57+'12_MODELO'!V57-'12_MODELO'!V56</f>
        <v>957264.0000000002</v>
      </c>
      <c r="X57" s="6">
        <f>'12_MODELO'!F57*'12_MODELO'!BD57/30</f>
        <v>976409.28</v>
      </c>
      <c r="Y57" s="6">
        <f>'12_MODELO'!H57*20%</f>
        <v>22400.0</v>
      </c>
      <c r="Z57" s="6">
        <f>'12_MODELO'!D57</f>
        <v>105860.70000000001</v>
      </c>
      <c r="AA57" s="6">
        <f>'12_MODELO'!S57</f>
        <v>10418.03519999998</v>
      </c>
      <c r="AB57" s="6">
        <f>'08_PREMISSAS'!V57</f>
        <v>18000.0</v>
      </c>
      <c r="AC57" s="6">
        <f>'12_MODELO'!AC56+'12_MODELO'!AB57</f>
        <v>2292000.0</v>
      </c>
      <c r="AD57" s="6">
        <f>'12_MODELO'!AD56+'12_MODELO'!O57</f>
        <v>675240.0</v>
      </c>
      <c r="AE57" s="6">
        <f>'08_PREMISSAS'!W57</f>
        <v>0.0</v>
      </c>
      <c r="AF57" s="6">
        <f>'08_PREMISSAS'!X57</f>
        <v>18000.0</v>
      </c>
      <c r="AG57" s="6">
        <f>'12_MODELO'!AG56+'12_MODELO'!AE57-'12_MODELO'!AF57</f>
        <v>790000.0</v>
      </c>
      <c r="AH57" s="6">
        <f>'08_PREMISSAS'!Y57</f>
        <v>0.0</v>
      </c>
      <c r="AI57" s="6">
        <f>'12_MODELO'!AI56</f>
        <v>3900000.0</v>
      </c>
      <c r="AJ57" s="6">
        <f>'12_MODELO'!AJ56+'12_MODELO'!T57-'12_MODELO'!AH57</f>
        <v>1012617.1966070005</v>
      </c>
      <c r="AK57" s="6">
        <f>'12_MODELO'!U56+'12_MODELO'!C57-'12_MODELO'!U57</f>
        <v>1082620.0</v>
      </c>
      <c r="AL57" s="6">
        <f>'12_MODELO'!X56+'12_MODELO'!W57-'12_MODELO'!X57</f>
        <v>880682.8800000001</v>
      </c>
      <c r="AM57" s="6">
        <f>'12_MODELO'!M57+'12_MODELO'!Y56-'12_MODELO'!Y57</f>
        <v>239559.78</v>
      </c>
      <c r="AN57" s="6">
        <f>'12_MODELO'!Z56+'12_MODELO'!D57-'12_MODELO'!Z57</f>
        <v>97557.90000000002</v>
      </c>
      <c r="AO57" s="6">
        <f>'12_MODELO'!AA56+'12_MODELO'!S57-'12_MODELO'!AA57</f>
        <v>4294.93440000002</v>
      </c>
      <c r="AP57" s="6">
        <f>'12_MODELO'!AK57-'12_MODELO'!AL57-'12_MODELO'!AM57-'12_MODELO'!AN57-'12_MODELO'!Q57-'12_MODELO'!AO57</f>
        <v>-149171.49440000017</v>
      </c>
      <c r="AQ57" s="6">
        <f>'12_MODELO'!T57+'12_MODELO'!O57-('12_MODELO'!U57-'12_MODELO'!U56)-('12_MODELO'!V57-'12_MODELO'!V56)+('12_MODELO'!X57-'12_MODELO'!X56)+('12_MODELO'!Y57-'12_MODELO'!Y56)+('12_MODELO'!Z57-'12_MODELO'!Z56)+('12_MODELO'!AA57-'12_MODELO'!AA56)</f>
        <v>-149171.49440000032</v>
      </c>
      <c r="AR57" s="6">
        <f>-'12_MODELO'!AB57</f>
        <v>-18000.0</v>
      </c>
      <c r="AS57" s="6">
        <f>'12_MODELO'!AE57-'12_MODELO'!AF57-'12_MODELO'!AH57</f>
        <v>-18000.0</v>
      </c>
      <c r="AT57" s="6">
        <f>'12_MODELO'!AQ57+'12_MODELO'!AR57+'12_MODELO'!AS57</f>
        <v>-185171.49440000032</v>
      </c>
      <c r="AU57" s="6">
        <f>'12_MODELO'!AV56</f>
        <v>1776059.2662070005</v>
      </c>
      <c r="AV57" s="6">
        <f>'12_MODELO'!AU57+'12_MODELO'!AT57</f>
        <v>1590887.771807</v>
      </c>
      <c r="AW57" s="6">
        <f>'12_MODELO'!AV57+'12_MODELO'!U57+'12_MODELO'!V57+'12_MODELO'!AC57-'12_MODELO'!AD57</f>
        <v>6817705.211807</v>
      </c>
      <c r="AX57" s="6">
        <f>'12_MODELO'!X57+'12_MODELO'!Y57+'12_MODELO'!Z57+'12_MODELO'!AA57+'12_MODELO'!AG57</f>
        <v>1905088.0152</v>
      </c>
      <c r="AY57" s="6">
        <f>'12_MODELO'!AI57+'12_MODELO'!AJ57</f>
        <v>4912617.196607</v>
      </c>
      <c r="AZ57" s="6">
        <f>'12_MODELO'!AW57-'12_MODELO'!AX57-'12_MODELO'!AY57</f>
        <v>0.0</v>
      </c>
      <c r="BA57" s="6">
        <f>'12_MODELO'!AP57-'12_MODELO'!AQ57</f>
        <v>1.4551915228366852e-10</v>
      </c>
      <c r="BB57" s="6">
        <f>'08_PREMISSAS'!O57</f>
        <v>50.0</v>
      </c>
      <c r="BC57" s="6">
        <f>'08_PREMISSAS'!P57</f>
        <v>55.0</v>
      </c>
      <c r="BD57" s="6">
        <f>'08_PREMISSAS'!Q57</f>
        <v>35.0</v>
      </c>
      <c r="BE57" s="9">
        <f>'08_PREMISSAS'!R57</f>
        <v>0.085</v>
      </c>
      <c r="BF57" s="9">
        <f>'08_PREMISSAS'!S57</f>
        <v>0.34</v>
      </c>
      <c r="BG57" s="9">
        <f>'08_PREMISSAS'!T57</f>
        <v>0.012</v>
      </c>
      <c r="BH57" s="9">
        <f>'08_PREMISSAS'!U57</f>
        <v>0.01</v>
      </c>
      <c r="BI57" s="9">
        <f>IFERROR('12_MODELO'!N57/'12_MODELO'!E57,0)</f>
        <v>0.05535234541984778</v>
      </c>
      <c r="BJ57" s="9">
        <f>IFERROR('12_MODELO'!T57/'12_MODELO'!E57,0)</f>
        <v>0.017746548863231567</v>
      </c>
      <c r="BK57" s="6">
        <f>'12_MODELO'!AQ57+'12_MODELO'!AR57</f>
        <v>-167171.49440000032</v>
      </c>
      <c r="BL57" s="6">
        <f>'12_MODELO'!U57+'12_MODELO'!V57-'12_MODELO'!X57-'12_MODELO'!Y57-'12_MODELO'!Z57-'12_MODELO'!AA57</f>
        <v>2494969.4248</v>
      </c>
      <c r="BM57" s="6">
        <f>'12_MODELO'!AG57-'12_MODELO'!AV57</f>
        <v>-800887.771807</v>
      </c>
      <c r="BN57" s="6">
        <f>0</f>
        <v>0</v>
      </c>
      <c r="BO57" s="6">
        <f>'12_MODELO'!AV57+'12_MODELO'!U57+'12_MODELO'!V57</f>
        <v>5200945.211807</v>
      </c>
      <c r="BP57" s="6">
        <f>'12_MODELO'!AC57-'12_MODELO'!AD57</f>
        <v>1616760.0</v>
      </c>
      <c r="BQ57" s="6">
        <f>MIN('12_MODELO'!AG57,'12_MODELO'!AF57*12)</f>
        <v>216000.0</v>
      </c>
      <c r="BR57" s="6">
        <f>'12_MODELO'!AG57-'12_MODELO'!BQ57</f>
        <v>574000.0</v>
      </c>
      <c r="BS57" s="6">
        <f>'12_MODELO'!AX57-'12_MODELO'!BR57</f>
        <v>1331088.0152</v>
      </c>
      <c r="BT57" s="6">
        <f>'12_MODELO'!BR57</f>
        <v>574000.0</v>
      </c>
      <c r="BU57" s="6">
        <f>IFERROR('12_MODELO'!BO57/'12_MODELO'!BS57,0)</f>
        <v>3.9072887385478734</v>
      </c>
    </row>
    <row r="58" spans="1:73">
      <c r="A58" s="5">
        <v>45901</v>
      </c>
      <c r="B58" t="s">
        <v>80</v>
      </c>
      <c r="C58" s="6">
        <f>'08_PREMISSAS'!C58*'08_PREMISSAS'!D58</f>
        <v>1294260.0</v>
      </c>
      <c r="D58" s="6">
        <f>'12_MODELO'!C58*'12_MODELO'!BE58</f>
        <v>110012.1</v>
      </c>
      <c r="E58" s="6">
        <f>'12_MODELO'!C58-'12_MODELO'!D58</f>
        <v>1184247.9</v>
      </c>
      <c r="F58" s="6">
        <f>'12_MODELO'!C58*'08_PREMISSAS'!E58</f>
        <v>869742.7200000001</v>
      </c>
      <c r="G58" s="6">
        <f>'12_MODELO'!E58-'12_MODELO'!F58</f>
        <v>314505.1799999998</v>
      </c>
      <c r="H58" s="6">
        <f>'08_PREMISSAS'!J58</f>
        <v>112000.0</v>
      </c>
      <c r="I58" s="6">
        <f>'12_MODELO'!C58*'08_PREMISSAS'!F58</f>
        <v>46593.35999999999</v>
      </c>
      <c r="J58" s="6">
        <f>'08_PREMISSAS'!L58</f>
        <v>33920.0</v>
      </c>
      <c r="K58" s="6">
        <f>'08_PREMISSAS'!M58</f>
        <v>20160.0</v>
      </c>
      <c r="L58" s="6">
        <f>'12_MODELO'!C58*'08_PREMISSAS'!G58</f>
        <v>29767.98</v>
      </c>
      <c r="M58" s="6">
        <f>SUM('12_MODELO'!H58:'12_MODELO'!L58)</f>
        <v>242441.34</v>
      </c>
      <c r="N58" s="6">
        <f>'12_MODELO'!G58-'12_MODELO'!M58</f>
        <v>72063.83999999982</v>
      </c>
      <c r="O58" s="6">
        <f>MIN('12_MODELO'!AC57*'12_MODELO'!BH58,'12_MODELO'!AC57-'12_MODELO'!AD57+'12_MODELO'!AB58)</f>
        <v>22920.0</v>
      </c>
      <c r="P58" s="6">
        <f>'12_MODELO'!N58-'12_MODELO'!O58</f>
        <v>49143.83999999982</v>
      </c>
      <c r="Q58" s="6">
        <f>'12_MODELO'!AG57*'12_MODELO'!BG58</f>
        <v>9480.0</v>
      </c>
      <c r="R58" s="6">
        <f>'12_MODELO'!P58-'12_MODELO'!Q58</f>
        <v>39663.83999999982</v>
      </c>
      <c r="S58" s="6">
        <f>MAX(0,'12_MODELO'!R58)*'12_MODELO'!BF58</f>
        <v>13485.705599999941</v>
      </c>
      <c r="T58" s="6">
        <f>'12_MODELO'!R58-'12_MODELO'!S58</f>
        <v>26178.13439999988</v>
      </c>
      <c r="U58" s="6">
        <f>'12_MODELO'!C58*'12_MODELO'!BB58/30</f>
        <v>2157100.0</v>
      </c>
      <c r="V58" s="6">
        <f>'12_MODELO'!F58*'12_MODELO'!BC58/30</f>
        <v>1594528.32</v>
      </c>
      <c r="W58" s="6">
        <f>'12_MODELO'!F58+'12_MODELO'!V58-'12_MODELO'!V57</f>
        <v>929913.5999999999</v>
      </c>
      <c r="X58" s="6">
        <f>'12_MODELO'!F58*'12_MODELO'!BD58/30</f>
        <v>1014699.8400000001</v>
      </c>
      <c r="Y58" s="6">
        <f>'12_MODELO'!H58*20%</f>
        <v>22400.0</v>
      </c>
      <c r="Z58" s="6">
        <f>'12_MODELO'!D58</f>
        <v>110012.1</v>
      </c>
      <c r="AA58" s="6">
        <f>'12_MODELO'!S58</f>
        <v>13485.705599999941</v>
      </c>
      <c r="AB58" s="6">
        <f>'08_PREMISSAS'!V58</f>
        <v>90000.0</v>
      </c>
      <c r="AC58" s="6">
        <f>'12_MODELO'!AC57+'12_MODELO'!AB58</f>
        <v>2382000.0</v>
      </c>
      <c r="AD58" s="6">
        <f>'12_MODELO'!AD57+'12_MODELO'!O58</f>
        <v>698160.0</v>
      </c>
      <c r="AE58" s="6">
        <f>'08_PREMISSAS'!W58</f>
        <v>0.0</v>
      </c>
      <c r="AF58" s="6">
        <f>'08_PREMISSAS'!X58</f>
        <v>18000.0</v>
      </c>
      <c r="AG58" s="6">
        <f>'12_MODELO'!AG57+'12_MODELO'!AE58-'12_MODELO'!AF58</f>
        <v>772000.0</v>
      </c>
      <c r="AH58" s="6">
        <f>'08_PREMISSAS'!Y58</f>
        <v>0.0</v>
      </c>
      <c r="AI58" s="6">
        <f>'12_MODELO'!AI57</f>
        <v>3900000.0</v>
      </c>
      <c r="AJ58" s="6">
        <f>'12_MODELO'!AJ57+'12_MODELO'!T58-'12_MODELO'!AH58</f>
        <v>1038795.3310070004</v>
      </c>
      <c r="AK58" s="6">
        <f>'12_MODELO'!U57+'12_MODELO'!C58-'12_MODELO'!U58</f>
        <v>1212860.0</v>
      </c>
      <c r="AL58" s="6">
        <f>'12_MODELO'!X57+'12_MODELO'!W58-'12_MODELO'!X58</f>
        <v>891623.0399999998</v>
      </c>
      <c r="AM58" s="6">
        <f>'12_MODELO'!M58+'12_MODELO'!Y57-'12_MODELO'!Y58</f>
        <v>242441.33999999997</v>
      </c>
      <c r="AN58" s="6">
        <f>'12_MODELO'!Z57+'12_MODELO'!D58-'12_MODELO'!Z58</f>
        <v>105860.70000000001</v>
      </c>
      <c r="AO58" s="6">
        <f>'12_MODELO'!AA57+'12_MODELO'!S58-'12_MODELO'!AA58</f>
        <v>10418.035199999978</v>
      </c>
      <c r="AP58" s="6">
        <f>'12_MODELO'!AK58-'12_MODELO'!AL58-'12_MODELO'!AM58-'12_MODELO'!AN58-'12_MODELO'!Q58-'12_MODELO'!AO58</f>
        <v>-46963.11519999976</v>
      </c>
      <c r="AQ58" s="6">
        <f>'12_MODELO'!T58+'12_MODELO'!O58-('12_MODELO'!U58-'12_MODELO'!U57)-('12_MODELO'!V58-'12_MODELO'!V57)+('12_MODELO'!X58-'12_MODELO'!X57)+('12_MODELO'!Y58-'12_MODELO'!Y57)+('12_MODELO'!Z58-'12_MODELO'!Z57)+('12_MODELO'!AA58-'12_MODELO'!AA57)</f>
        <v>-46963.1152</v>
      </c>
      <c r="AR58" s="6">
        <f>-'12_MODELO'!AB58</f>
        <v>-90000.0</v>
      </c>
      <c r="AS58" s="6">
        <f>'12_MODELO'!AE58-'12_MODELO'!AF58-'12_MODELO'!AH58</f>
        <v>-18000.0</v>
      </c>
      <c r="AT58" s="6">
        <f>'12_MODELO'!AQ58+'12_MODELO'!AR58+'12_MODELO'!AS58</f>
        <v>-154963.1152</v>
      </c>
      <c r="AU58" s="6">
        <f>'12_MODELO'!AV57</f>
        <v>1590887.771807</v>
      </c>
      <c r="AV58" s="6">
        <f>'12_MODELO'!AU58+'12_MODELO'!AT58</f>
        <v>1435924.6566070002</v>
      </c>
      <c r="AW58" s="6">
        <f>'12_MODELO'!AV58+'12_MODELO'!U58+'12_MODELO'!V58+'12_MODELO'!AC58-'12_MODELO'!AD58</f>
        <v>6871392.976607</v>
      </c>
      <c r="AX58" s="6">
        <f>'12_MODELO'!X58+'12_MODELO'!Y58+'12_MODELO'!Z58+'12_MODELO'!AA58+'12_MODELO'!AG58</f>
        <v>1932597.6456</v>
      </c>
      <c r="AY58" s="6">
        <f>'12_MODELO'!AI58+'12_MODELO'!AJ58</f>
        <v>4938795.331007</v>
      </c>
      <c r="AZ58" s="6">
        <f>'12_MODELO'!AW58-'12_MODELO'!AX58-'12_MODELO'!AY58</f>
        <v>0.0</v>
      </c>
      <c r="BA58" s="6">
        <f>'12_MODELO'!AP58-'12_MODELO'!AQ58</f>
        <v>2.4010660126805305e-10</v>
      </c>
      <c r="BB58" s="6">
        <f>'08_PREMISSAS'!O58</f>
        <v>50.0</v>
      </c>
      <c r="BC58" s="6">
        <f>'08_PREMISSAS'!P58</f>
        <v>55.0</v>
      </c>
      <c r="BD58" s="6">
        <f>'08_PREMISSAS'!Q58</f>
        <v>35.0</v>
      </c>
      <c r="BE58" s="9">
        <f>'08_PREMISSAS'!R58</f>
        <v>0.085</v>
      </c>
      <c r="BF58" s="9">
        <f>'08_PREMISSAS'!S58</f>
        <v>0.34</v>
      </c>
      <c r="BG58" s="9">
        <f>'08_PREMISSAS'!T58</f>
        <v>0.012</v>
      </c>
      <c r="BH58" s="9">
        <f>'08_PREMISSAS'!U58</f>
        <v>0.01</v>
      </c>
      <c r="BI58" s="9">
        <f>IFERROR('12_MODELO'!N58/'12_MODELO'!E58,0)</f>
        <v>0.060851988844565254</v>
      </c>
      <c r="BJ58" s="9">
        <f>IFERROR('12_MODELO'!T58/'12_MODELO'!E58,0)</f>
        <v>0.022105282517283654</v>
      </c>
      <c r="BK58" s="6">
        <f>'12_MODELO'!AQ58+'12_MODELO'!AR58</f>
        <v>-136963.1152</v>
      </c>
      <c r="BL58" s="6">
        <f>'12_MODELO'!U58+'12_MODELO'!V58-'12_MODELO'!X58-'12_MODELO'!Y58-'12_MODELO'!Z58-'12_MODELO'!AA58</f>
        <v>2591030.6744000004</v>
      </c>
      <c r="BM58" s="6">
        <f>'12_MODELO'!AG58-'12_MODELO'!AV58</f>
        <v>-663924.6566070002</v>
      </c>
      <c r="BN58" s="6">
        <f>0</f>
        <v>0</v>
      </c>
      <c r="BO58" s="6">
        <f>'12_MODELO'!AV58+'12_MODELO'!U58+'12_MODELO'!V58</f>
        <v>5187552.976607</v>
      </c>
      <c r="BP58" s="6">
        <f>'12_MODELO'!AC58-'12_MODELO'!AD58</f>
        <v>1683840.0</v>
      </c>
      <c r="BQ58" s="6">
        <f>MIN('12_MODELO'!AG58,'12_MODELO'!AF58*12)</f>
        <v>216000.0</v>
      </c>
      <c r="BR58" s="6">
        <f>'12_MODELO'!AG58-'12_MODELO'!BQ58</f>
        <v>556000.0</v>
      </c>
      <c r="BS58" s="6">
        <f>'12_MODELO'!AX58-'12_MODELO'!BR58</f>
        <v>1376597.6456</v>
      </c>
      <c r="BT58" s="6">
        <f>'12_MODELO'!BR58</f>
        <v>556000.0</v>
      </c>
      <c r="BU58" s="6">
        <f>IFERROR('12_MODELO'!BO58/'12_MODELO'!BS58,0)</f>
        <v>3.7683872213408938</v>
      </c>
    </row>
    <row r="59" spans="1:73">
      <c r="A59" s="5">
        <v>45931</v>
      </c>
      <c r="B59" t="s">
        <v>80</v>
      </c>
      <c r="C59" s="6">
        <f>'08_PREMISSAS'!C59*'08_PREMISSAS'!D59</f>
        <v>1367520.0000000005</v>
      </c>
      <c r="D59" s="6">
        <f>'12_MODELO'!C59*'12_MODELO'!BE59</f>
        <v>116239.20000000004</v>
      </c>
      <c r="E59" s="6">
        <f>'12_MODELO'!C59-'12_MODELO'!D59</f>
        <v>1251280.8000000005</v>
      </c>
      <c r="F59" s="6">
        <f>'12_MODELO'!C59*'08_PREMISSAS'!E59</f>
        <v>918973.4400000004</v>
      </c>
      <c r="G59" s="6">
        <f>'12_MODELO'!E59-'12_MODELO'!F59</f>
        <v>332307.3600000001</v>
      </c>
      <c r="H59" s="6">
        <f>'08_PREMISSAS'!J59</f>
        <v>112000.0</v>
      </c>
      <c r="I59" s="6">
        <f>'12_MODELO'!C59*'08_PREMISSAS'!F59</f>
        <v>49230.720000000016</v>
      </c>
      <c r="J59" s="6">
        <f>'08_PREMISSAS'!L59</f>
        <v>33920.0</v>
      </c>
      <c r="K59" s="6">
        <f>'08_PREMISSAS'!M59</f>
        <v>20160.0</v>
      </c>
      <c r="L59" s="6">
        <f>'12_MODELO'!C59*'08_PREMISSAS'!G59</f>
        <v>31452.96000000001</v>
      </c>
      <c r="M59" s="6">
        <f>SUM('12_MODELO'!H59:'12_MODELO'!L59)</f>
        <v>246763.68000000002</v>
      </c>
      <c r="N59" s="6">
        <f>'12_MODELO'!G59-'12_MODELO'!M59</f>
        <v>85543.68000000008</v>
      </c>
      <c r="O59" s="6">
        <f>MIN('12_MODELO'!AC58*'12_MODELO'!BH59,'12_MODELO'!AC58-'12_MODELO'!AD58+'12_MODELO'!AB59)</f>
        <v>23820.0</v>
      </c>
      <c r="P59" s="6">
        <f>'12_MODELO'!N59-'12_MODELO'!O59</f>
        <v>61723.68000000008</v>
      </c>
      <c r="Q59" s="6">
        <f>'12_MODELO'!AG58*'12_MODELO'!BG59</f>
        <v>9264.0</v>
      </c>
      <c r="R59" s="6">
        <f>'12_MODELO'!P59-'12_MODELO'!Q59</f>
        <v>52459.68000000008</v>
      </c>
      <c r="S59" s="6">
        <f>MAX(0,'12_MODELO'!R59)*'12_MODELO'!BF59</f>
        <v>17836.29120000003</v>
      </c>
      <c r="T59" s="6">
        <f>'12_MODELO'!R59-'12_MODELO'!S59</f>
        <v>34623.38880000005</v>
      </c>
      <c r="U59" s="6">
        <f>'12_MODELO'!C59*'12_MODELO'!BB59/30</f>
        <v>2279200.000000001</v>
      </c>
      <c r="V59" s="6">
        <f>'12_MODELO'!F59*'12_MODELO'!BC59/30</f>
        <v>1684784.6400000008</v>
      </c>
      <c r="W59" s="6">
        <f>'12_MODELO'!F59+'12_MODELO'!V59-'12_MODELO'!V58</f>
        <v>1009229.7600000009</v>
      </c>
      <c r="X59" s="6">
        <f>'12_MODELO'!F59*'12_MODELO'!BD59/30</f>
        <v>1072135.6800000004</v>
      </c>
      <c r="Y59" s="6">
        <f>'12_MODELO'!H59*20%</f>
        <v>22400.0</v>
      </c>
      <c r="Z59" s="6">
        <f>'12_MODELO'!D59</f>
        <v>116239.20000000004</v>
      </c>
      <c r="AA59" s="6">
        <f>'12_MODELO'!S59</f>
        <v>17836.29120000003</v>
      </c>
      <c r="AB59" s="6">
        <f>'08_PREMISSAS'!V59</f>
        <v>18000.0</v>
      </c>
      <c r="AC59" s="6">
        <f>'12_MODELO'!AC58+'12_MODELO'!AB59</f>
        <v>2400000.0</v>
      </c>
      <c r="AD59" s="6">
        <f>'12_MODELO'!AD58+'12_MODELO'!O59</f>
        <v>721980.0</v>
      </c>
      <c r="AE59" s="6">
        <f>'08_PREMISSAS'!W59</f>
        <v>0.0</v>
      </c>
      <c r="AF59" s="6">
        <f>'08_PREMISSAS'!X59</f>
        <v>18000.0</v>
      </c>
      <c r="AG59" s="6">
        <f>'12_MODELO'!AG58+'12_MODELO'!AE59-'12_MODELO'!AF59</f>
        <v>754000.0</v>
      </c>
      <c r="AH59" s="6">
        <f>'08_PREMISSAS'!Y59</f>
        <v>0.0</v>
      </c>
      <c r="AI59" s="6">
        <f>'12_MODELO'!AI58</f>
        <v>3900000.0</v>
      </c>
      <c r="AJ59" s="6">
        <f>'12_MODELO'!AJ58+'12_MODELO'!T59-'12_MODELO'!AH59</f>
        <v>1073418.7198070004</v>
      </c>
      <c r="AK59" s="6">
        <f>'12_MODELO'!U58+'12_MODELO'!C59-'12_MODELO'!U59</f>
        <v>1245419.9999999995</v>
      </c>
      <c r="AL59" s="6">
        <f>'12_MODELO'!X58+'12_MODELO'!W59-'12_MODELO'!X59</f>
        <v>951793.9200000006</v>
      </c>
      <c r="AM59" s="6">
        <f>'12_MODELO'!M59+'12_MODELO'!Y58-'12_MODELO'!Y59</f>
        <v>246763.68000000005</v>
      </c>
      <c r="AN59" s="6">
        <f>'12_MODELO'!Z58+'12_MODELO'!D59-'12_MODELO'!Z59</f>
        <v>110012.1</v>
      </c>
      <c r="AO59" s="6">
        <f>'12_MODELO'!AA58+'12_MODELO'!S59-'12_MODELO'!AA59</f>
        <v>13485.705599999943</v>
      </c>
      <c r="AP59" s="6">
        <f>'12_MODELO'!AK59-'12_MODELO'!AL59-'12_MODELO'!AM59-'12_MODELO'!AN59-'12_MODELO'!Q59-'12_MODELO'!AO59</f>
        <v>-85899.40560000109</v>
      </c>
      <c r="AQ59" s="6">
        <f>'12_MODELO'!T59+'12_MODELO'!O59-('12_MODELO'!U59-'12_MODELO'!U58)-('12_MODELO'!V59-'12_MODELO'!V58)+('12_MODELO'!X59-'12_MODELO'!X58)+('12_MODELO'!Y59-'12_MODELO'!Y58)+('12_MODELO'!Z59-'12_MODELO'!Z58)+('12_MODELO'!AA59-'12_MODELO'!AA58)</f>
        <v>-85899.4056000012</v>
      </c>
      <c r="AR59" s="6">
        <f>-'12_MODELO'!AB59</f>
        <v>-18000.0</v>
      </c>
      <c r="AS59" s="6">
        <f>'12_MODELO'!AE59-'12_MODELO'!AF59-'12_MODELO'!AH59</f>
        <v>-18000.0</v>
      </c>
      <c r="AT59" s="6">
        <f>'12_MODELO'!AQ59+'12_MODELO'!AR59+'12_MODELO'!AS59</f>
        <v>-121899.4056000012</v>
      </c>
      <c r="AU59" s="6">
        <f>'12_MODELO'!AV58</f>
        <v>1435924.6566070002</v>
      </c>
      <c r="AV59" s="6">
        <f>'12_MODELO'!AU59+'12_MODELO'!AT59</f>
        <v>1314025.251006999</v>
      </c>
      <c r="AW59" s="6">
        <f>'12_MODELO'!AV59+'12_MODELO'!U59+'12_MODELO'!V59+'12_MODELO'!AC59-'12_MODELO'!AD59</f>
        <v>6956029.891007001</v>
      </c>
      <c r="AX59" s="6">
        <f>'12_MODELO'!X59+'12_MODELO'!Y59+'12_MODELO'!Z59+'12_MODELO'!AA59+'12_MODELO'!AG59</f>
        <v>1982611.1712000004</v>
      </c>
      <c r="AY59" s="6">
        <f>'12_MODELO'!AI59+'12_MODELO'!AJ59</f>
        <v>4973418.719807001</v>
      </c>
      <c r="AZ59" s="6">
        <f>'12_MODELO'!AW59-'12_MODELO'!AX59-'12_MODELO'!AY59</f>
        <v>-9.313225746154785e-10</v>
      </c>
      <c r="BA59" s="6">
        <f>'12_MODELO'!AP59-'12_MODELO'!AQ59</f>
        <v>1.1641532182693481e-10</v>
      </c>
      <c r="BB59" s="6">
        <f>'08_PREMISSAS'!O59</f>
        <v>50.0</v>
      </c>
      <c r="BC59" s="6">
        <f>'08_PREMISSAS'!P59</f>
        <v>55.0</v>
      </c>
      <c r="BD59" s="6">
        <f>'08_PREMISSAS'!Q59</f>
        <v>35.0</v>
      </c>
      <c r="BE59" s="9">
        <f>'08_PREMISSAS'!R59</f>
        <v>0.085</v>
      </c>
      <c r="BF59" s="9">
        <f>'08_PREMISSAS'!S59</f>
        <v>0.34</v>
      </c>
      <c r="BG59" s="9">
        <f>'08_PREMISSAS'!T59</f>
        <v>0.012</v>
      </c>
      <c r="BH59" s="9">
        <f>'08_PREMISSAS'!U59</f>
        <v>0.01</v>
      </c>
      <c r="BI59" s="9">
        <f>IFERROR('12_MODELO'!N59/'12_MODELO'!E59,0)</f>
        <v>0.06836489459440283</v>
      </c>
      <c r="BJ59" s="9">
        <f>IFERROR('12_MODELO'!T59/'12_MODELO'!E59,0)</f>
        <v>0.02767035888347367</v>
      </c>
      <c r="BK59" s="6">
        <f>'12_MODELO'!AQ59+'12_MODELO'!AR59</f>
        <v>-103899.4056000012</v>
      </c>
      <c r="BL59" s="6">
        <f>'12_MODELO'!U59+'12_MODELO'!V59-'12_MODELO'!X59-'12_MODELO'!Y59-'12_MODELO'!Z59-'12_MODELO'!AA59</f>
        <v>2735373.468800001</v>
      </c>
      <c r="BM59" s="6">
        <f>'12_MODELO'!AG59-'12_MODELO'!AV59</f>
        <v>-560025.251006999</v>
      </c>
      <c r="BN59" s="6">
        <f>0</f>
        <v>0</v>
      </c>
      <c r="BO59" s="6">
        <f>'12_MODELO'!AV59+'12_MODELO'!U59+'12_MODELO'!V59</f>
        <v>5278009.891007001</v>
      </c>
      <c r="BP59" s="6">
        <f>'12_MODELO'!AC59-'12_MODELO'!AD59</f>
        <v>1678020.0</v>
      </c>
      <c r="BQ59" s="6">
        <f>MIN('12_MODELO'!AG59,'12_MODELO'!AF59*12)</f>
        <v>216000.0</v>
      </c>
      <c r="BR59" s="6">
        <f>'12_MODELO'!AG59-'12_MODELO'!BQ59</f>
        <v>538000.0</v>
      </c>
      <c r="BS59" s="6">
        <f>'12_MODELO'!AX59-'12_MODELO'!BR59</f>
        <v>1444611.1712000004</v>
      </c>
      <c r="BT59" s="6">
        <f>'12_MODELO'!BR59</f>
        <v>538000.0</v>
      </c>
      <c r="BU59" s="6">
        <f>IFERROR('12_MODELO'!BO59/'12_MODELO'!BS59,0)</f>
        <v>3.653585128116306</v>
      </c>
    </row>
    <row r="60" spans="1:73">
      <c r="A60" s="5">
        <v>45962</v>
      </c>
      <c r="B60" t="s">
        <v>80</v>
      </c>
      <c r="C60" s="6">
        <f>'08_PREMISSAS'!C60*'08_PREMISSAS'!D60</f>
        <v>1575090.0000000002</v>
      </c>
      <c r="D60" s="6">
        <f>'12_MODELO'!C60*'12_MODELO'!BE60</f>
        <v>133882.65000000002</v>
      </c>
      <c r="E60" s="6">
        <f>'12_MODELO'!C60-'12_MODELO'!D60</f>
        <v>1441207.35</v>
      </c>
      <c r="F60" s="6">
        <f>'12_MODELO'!C60*'08_PREMISSAS'!E60</f>
        <v>1058460.4800000002</v>
      </c>
      <c r="G60" s="6">
        <f>'12_MODELO'!E60-'12_MODELO'!F60</f>
        <v>382746.8699999999</v>
      </c>
      <c r="H60" s="6">
        <f>'08_PREMISSAS'!J60</f>
        <v>112000.0</v>
      </c>
      <c r="I60" s="6">
        <f>'12_MODELO'!C60*'08_PREMISSAS'!F60</f>
        <v>56703.240000000005</v>
      </c>
      <c r="J60" s="6">
        <f>'08_PREMISSAS'!L60</f>
        <v>33920.0</v>
      </c>
      <c r="K60" s="6">
        <f>'08_PREMISSAS'!M60</f>
        <v>20160.0</v>
      </c>
      <c r="L60" s="6">
        <f>'12_MODELO'!C60*'08_PREMISSAS'!G60</f>
        <v>36227.07000000001</v>
      </c>
      <c r="M60" s="6">
        <f>SUM('12_MODELO'!H60:'12_MODELO'!L60)</f>
        <v>259010.31</v>
      </c>
      <c r="N60" s="6">
        <f>'12_MODELO'!G60-'12_MODELO'!M60</f>
        <v>123736.55999999988</v>
      </c>
      <c r="O60" s="6">
        <f>MIN('12_MODELO'!AC59*'12_MODELO'!BH60,'12_MODELO'!AC59-'12_MODELO'!AD59+'12_MODELO'!AB60)</f>
        <v>24000.0</v>
      </c>
      <c r="P60" s="6">
        <f>'12_MODELO'!N60-'12_MODELO'!O60</f>
        <v>99736.55999999988</v>
      </c>
      <c r="Q60" s="6">
        <f>'12_MODELO'!AG59*'12_MODELO'!BG60</f>
        <v>9048.0</v>
      </c>
      <c r="R60" s="6">
        <f>'12_MODELO'!P60-'12_MODELO'!Q60</f>
        <v>90688.55999999988</v>
      </c>
      <c r="S60" s="6">
        <f>MAX(0,'12_MODELO'!R60)*'12_MODELO'!BF60</f>
        <v>30834.11039999996</v>
      </c>
      <c r="T60" s="6">
        <f>'12_MODELO'!R60-'12_MODELO'!S60</f>
        <v>59854.44959999992</v>
      </c>
      <c r="U60" s="6">
        <f>'12_MODELO'!C60*'12_MODELO'!BB60/30</f>
        <v>2625150.0000000005</v>
      </c>
      <c r="V60" s="6">
        <f>'12_MODELO'!F60*'12_MODELO'!BC60/30</f>
        <v>1940510.8800000004</v>
      </c>
      <c r="W60" s="6">
        <f>'12_MODELO'!F60+'12_MODELO'!V60-'12_MODELO'!V59</f>
        <v>1314186.7199999995</v>
      </c>
      <c r="X60" s="6">
        <f>'12_MODELO'!F60*'12_MODELO'!BD60/30</f>
        <v>1234870.56</v>
      </c>
      <c r="Y60" s="6">
        <f>'12_MODELO'!H60*20%</f>
        <v>22400.0</v>
      </c>
      <c r="Z60" s="6">
        <f>'12_MODELO'!D60</f>
        <v>133882.65000000002</v>
      </c>
      <c r="AA60" s="6">
        <f>'12_MODELO'!S60</f>
        <v>30834.11039999996</v>
      </c>
      <c r="AB60" s="6">
        <f>'08_PREMISSAS'!V60</f>
        <v>18000.0</v>
      </c>
      <c r="AC60" s="6">
        <f>'12_MODELO'!AC59+'12_MODELO'!AB60</f>
        <v>2418000.0</v>
      </c>
      <c r="AD60" s="6">
        <f>'12_MODELO'!AD59+'12_MODELO'!O60</f>
        <v>745980.0</v>
      </c>
      <c r="AE60" s="6">
        <f>'08_PREMISSAS'!W60</f>
        <v>0.0</v>
      </c>
      <c r="AF60" s="6">
        <f>'08_PREMISSAS'!X60</f>
        <v>18000.0</v>
      </c>
      <c r="AG60" s="6">
        <f>'12_MODELO'!AG59+'12_MODELO'!AE60-'12_MODELO'!AF60</f>
        <v>736000.0</v>
      </c>
      <c r="AH60" s="6">
        <f>'08_PREMISSAS'!Y60</f>
        <v>0.0</v>
      </c>
      <c r="AI60" s="6">
        <f>'12_MODELO'!AI59</f>
        <v>3900000.0</v>
      </c>
      <c r="AJ60" s="6">
        <f>'12_MODELO'!AJ59+'12_MODELO'!T60-'12_MODELO'!AH60</f>
        <v>1133273.1694070003</v>
      </c>
      <c r="AK60" s="6">
        <f>'12_MODELO'!U59+'12_MODELO'!C60-'12_MODELO'!U60</f>
        <v>1229140.0000000005</v>
      </c>
      <c r="AL60" s="6">
        <f>'12_MODELO'!X59+'12_MODELO'!W60-'12_MODELO'!X60</f>
        <v>1151451.8399999999</v>
      </c>
      <c r="AM60" s="6">
        <f>'12_MODELO'!M60+'12_MODELO'!Y59-'12_MODELO'!Y60</f>
        <v>259010.31</v>
      </c>
      <c r="AN60" s="6">
        <f>'12_MODELO'!Z59+'12_MODELO'!D60-'12_MODELO'!Z60</f>
        <v>116239.20000000004</v>
      </c>
      <c r="AO60" s="6">
        <f>'12_MODELO'!AA59+'12_MODELO'!S60-'12_MODELO'!AA60</f>
        <v>17836.29120000003</v>
      </c>
      <c r="AP60" s="6">
        <f>'12_MODELO'!AK60-'12_MODELO'!AL60-'12_MODELO'!AM60-'12_MODELO'!AN60-'12_MODELO'!Q60-'12_MODELO'!AO60</f>
        <v>-324445.64119999943</v>
      </c>
      <c r="AQ60" s="6">
        <f>'12_MODELO'!T60+'12_MODELO'!O60-('12_MODELO'!U60-'12_MODELO'!U59)-('12_MODELO'!V60-'12_MODELO'!V59)+('12_MODELO'!X60-'12_MODELO'!X59)+('12_MODELO'!Y60-'12_MODELO'!Y59)+('12_MODELO'!Z60-'12_MODELO'!Z59)+('12_MODELO'!AA60-'12_MODELO'!AA59)</f>
        <v>-324445.64119999955</v>
      </c>
      <c r="AR60" s="6">
        <f>-'12_MODELO'!AB60</f>
        <v>-18000.0</v>
      </c>
      <c r="AS60" s="6">
        <f>'12_MODELO'!AE60-'12_MODELO'!AF60-'12_MODELO'!AH60</f>
        <v>-18000.0</v>
      </c>
      <c r="AT60" s="6">
        <f>'12_MODELO'!AQ60+'12_MODELO'!AR60+'12_MODELO'!AS60</f>
        <v>-360445.64119999955</v>
      </c>
      <c r="AU60" s="6">
        <f>'12_MODELO'!AV59</f>
        <v>1314025.251006999</v>
      </c>
      <c r="AV60" s="6">
        <f>'12_MODELO'!AU60+'12_MODELO'!AT60</f>
        <v>953579.6098069996</v>
      </c>
      <c r="AW60" s="6">
        <f>'12_MODELO'!AV60+'12_MODELO'!U60+'12_MODELO'!V60+'12_MODELO'!AC60-'12_MODELO'!AD60</f>
        <v>7191260.489807</v>
      </c>
      <c r="AX60" s="6">
        <f>'12_MODELO'!X60+'12_MODELO'!Y60+'12_MODELO'!Z60+'12_MODELO'!AA60+'12_MODELO'!AG60</f>
        <v>2157987.3204</v>
      </c>
      <c r="AY60" s="6">
        <f>'12_MODELO'!AI60+'12_MODELO'!AJ60</f>
        <v>5033273.169407001</v>
      </c>
      <c r="AZ60" s="6">
        <f>'12_MODELO'!AW60-'12_MODELO'!AX60-'12_MODELO'!AY60</f>
        <v>0.0</v>
      </c>
      <c r="BA60" s="6">
        <f>'12_MODELO'!AP60-'12_MODELO'!AQ60</f>
        <v>1.1641532182693481e-10</v>
      </c>
      <c r="BB60" s="6">
        <f>'08_PREMISSAS'!O60</f>
        <v>50.0</v>
      </c>
      <c r="BC60" s="6">
        <f>'08_PREMISSAS'!P60</f>
        <v>55.0</v>
      </c>
      <c r="BD60" s="6">
        <f>'08_PREMISSAS'!Q60</f>
        <v>35.0</v>
      </c>
      <c r="BE60" s="9">
        <f>'08_PREMISSAS'!R60</f>
        <v>0.085</v>
      </c>
      <c r="BF60" s="9">
        <f>'08_PREMISSAS'!S60</f>
        <v>0.34</v>
      </c>
      <c r="BG60" s="9">
        <f>'08_PREMISSAS'!T60</f>
        <v>0.012</v>
      </c>
      <c r="BH60" s="9">
        <f>'08_PREMISSAS'!U60</f>
        <v>0.01</v>
      </c>
      <c r="BI60" s="9">
        <f>IFERROR('12_MODELO'!N60/'12_MODELO'!E60,0)</f>
        <v>0.08585618162438588</v>
      </c>
      <c r="BJ60" s="9">
        <f>IFERROR('12_MODELO'!T60/'12_MODELO'!E60,0)</f>
        <v>0.04153076904582808</v>
      </c>
      <c r="BK60" s="6">
        <f>'12_MODELO'!AQ60+'12_MODELO'!AR60</f>
        <v>-342445.64119999955</v>
      </c>
      <c r="BL60" s="6">
        <f>'12_MODELO'!U60+'12_MODELO'!V60-'12_MODELO'!X60-'12_MODELO'!Y60-'12_MODELO'!Z60-'12_MODELO'!AA60</f>
        <v>3143673.5596000007</v>
      </c>
      <c r="BM60" s="6">
        <f>'12_MODELO'!AG60-'12_MODELO'!AV60</f>
        <v>-217579.60980699956</v>
      </c>
      <c r="BN60" s="6">
        <f>0</f>
        <v>0</v>
      </c>
      <c r="BO60" s="6">
        <f>'12_MODELO'!AV60+'12_MODELO'!U60+'12_MODELO'!V60</f>
        <v>5519240.489807</v>
      </c>
      <c r="BP60" s="6">
        <f>'12_MODELO'!AC60-'12_MODELO'!AD60</f>
        <v>1672020.0</v>
      </c>
      <c r="BQ60" s="6">
        <f>MIN('12_MODELO'!AG60,'12_MODELO'!AF60*12)</f>
        <v>216000.0</v>
      </c>
      <c r="BR60" s="6">
        <f>'12_MODELO'!AG60-'12_MODELO'!BQ60</f>
        <v>520000.0</v>
      </c>
      <c r="BS60" s="6">
        <f>'12_MODELO'!AX60-'12_MODELO'!BR60</f>
        <v>1637987.3204</v>
      </c>
      <c r="BT60" s="6">
        <f>'12_MODELO'!BR60</f>
        <v>520000.0</v>
      </c>
      <c r="BU60" s="6">
        <f>IFERROR('12_MODELO'!BO60/'12_MODELO'!BS60,0)</f>
        <v>3.3695257717008396</v>
      </c>
    </row>
    <row r="61" spans="1:73">
      <c r="A61" s="5">
        <v>45992</v>
      </c>
      <c r="B61" t="s">
        <v>80</v>
      </c>
      <c r="C61" s="6">
        <f>'08_PREMISSAS'!C61*'08_PREMISSAS'!D61</f>
        <v>1440780.0</v>
      </c>
      <c r="D61" s="6">
        <f>'12_MODELO'!C61*'12_MODELO'!BE61</f>
        <v>122466.3</v>
      </c>
      <c r="E61" s="6">
        <f>'12_MODELO'!C61-'12_MODELO'!D61</f>
        <v>1318313.7</v>
      </c>
      <c r="F61" s="6">
        <f>'12_MODELO'!C61*'08_PREMISSAS'!E61</f>
        <v>968204.16</v>
      </c>
      <c r="G61" s="6">
        <f>'12_MODELO'!E61-'12_MODELO'!F61</f>
        <v>350109.5399999999</v>
      </c>
      <c r="H61" s="6">
        <f>'08_PREMISSAS'!J61</f>
        <v>112000.0</v>
      </c>
      <c r="I61" s="6">
        <f>'12_MODELO'!C61*'08_PREMISSAS'!F61</f>
        <v>51868.079999999994</v>
      </c>
      <c r="J61" s="6">
        <f>'08_PREMISSAS'!L61</f>
        <v>33920.0</v>
      </c>
      <c r="K61" s="6">
        <f>'08_PREMISSAS'!M61</f>
        <v>20160.0</v>
      </c>
      <c r="L61" s="6">
        <f>'12_MODELO'!C61*'08_PREMISSAS'!G61</f>
        <v>33137.94</v>
      </c>
      <c r="M61" s="6">
        <f>SUM('12_MODELO'!H61:'12_MODELO'!L61)</f>
        <v>251086.02</v>
      </c>
      <c r="N61" s="6">
        <f>'12_MODELO'!G61-'12_MODELO'!M61</f>
        <v>99023.51999999993</v>
      </c>
      <c r="O61" s="6">
        <f>MIN('12_MODELO'!AC60*'12_MODELO'!BH61,'12_MODELO'!AC60-'12_MODELO'!AD60+'12_MODELO'!AB61)</f>
        <v>24180.0</v>
      </c>
      <c r="P61" s="6">
        <f>'12_MODELO'!N61-'12_MODELO'!O61</f>
        <v>74843.51999999993</v>
      </c>
      <c r="Q61" s="6">
        <f>'12_MODELO'!AG60*'12_MODELO'!BG61</f>
        <v>8832.0</v>
      </c>
      <c r="R61" s="6">
        <f>'12_MODELO'!P61-'12_MODELO'!Q61</f>
        <v>66011.51999999993</v>
      </c>
      <c r="S61" s="6">
        <f>MAX(0,'12_MODELO'!R61)*'12_MODELO'!BF61</f>
        <v>22443.916799999977</v>
      </c>
      <c r="T61" s="6">
        <f>'12_MODELO'!R61-'12_MODELO'!S61</f>
        <v>43567.603199999954</v>
      </c>
      <c r="U61" s="6">
        <f>'12_MODELO'!C61*'12_MODELO'!BB61/30</f>
        <v>2401300.0</v>
      </c>
      <c r="V61" s="6">
        <f>'12_MODELO'!F61*'12_MODELO'!BC61/30</f>
        <v>1775040.9600000002</v>
      </c>
      <c r="W61" s="6">
        <f>'12_MODELO'!F61+'12_MODELO'!V61-'12_MODELO'!V60</f>
        <v>802734.2399999998</v>
      </c>
      <c r="X61" s="6">
        <f>'12_MODELO'!F61*'12_MODELO'!BD61/30</f>
        <v>1129571.52</v>
      </c>
      <c r="Y61" s="6">
        <f>'12_MODELO'!H61*20%</f>
        <v>22400.0</v>
      </c>
      <c r="Z61" s="6">
        <f>'12_MODELO'!D61</f>
        <v>122466.3</v>
      </c>
      <c r="AA61" s="6">
        <f>'12_MODELO'!S61</f>
        <v>22443.916799999977</v>
      </c>
      <c r="AB61" s="6">
        <f>'08_PREMISSAS'!V61</f>
        <v>90000.0</v>
      </c>
      <c r="AC61" s="6">
        <f>'12_MODELO'!AC60+'12_MODELO'!AB61</f>
        <v>2508000.0</v>
      </c>
      <c r="AD61" s="6">
        <f>'12_MODELO'!AD60+'12_MODELO'!O61</f>
        <v>770160.0</v>
      </c>
      <c r="AE61" s="6">
        <f>'08_PREMISSAS'!W61</f>
        <v>0.0</v>
      </c>
      <c r="AF61" s="6">
        <f>'08_PREMISSAS'!X61</f>
        <v>18000.0</v>
      </c>
      <c r="AG61" s="6">
        <f>'12_MODELO'!AG60+'12_MODELO'!AE61-'12_MODELO'!AF61</f>
        <v>718000.0</v>
      </c>
      <c r="AH61" s="6">
        <f>'08_PREMISSAS'!Y61</f>
        <v>0.0</v>
      </c>
      <c r="AI61" s="6">
        <f>'12_MODELO'!AI60</f>
        <v>3900000.0</v>
      </c>
      <c r="AJ61" s="6">
        <f>'12_MODELO'!AJ60+'12_MODELO'!T61-'12_MODELO'!AH61</f>
        <v>1176840.7726070003</v>
      </c>
      <c r="AK61" s="6">
        <f>'12_MODELO'!U60+'12_MODELO'!C61-'12_MODELO'!U61</f>
        <v>1664630.0000000005</v>
      </c>
      <c r="AL61" s="6">
        <f>'12_MODELO'!X60+'12_MODELO'!W61-'12_MODELO'!X61</f>
        <v>908033.2799999998</v>
      </c>
      <c r="AM61" s="6">
        <f>'12_MODELO'!M61+'12_MODELO'!Y60-'12_MODELO'!Y61</f>
        <v>251086.02000000002</v>
      </c>
      <c r="AN61" s="6">
        <f>'12_MODELO'!Z60+'12_MODELO'!D61-'12_MODELO'!Z61</f>
        <v>133882.65000000002</v>
      </c>
      <c r="AO61" s="6">
        <f>'12_MODELO'!AA60+'12_MODELO'!S61-'12_MODELO'!AA61</f>
        <v>30834.11039999996</v>
      </c>
      <c r="AP61" s="6">
        <f>'12_MODELO'!AK61-'12_MODELO'!AL61-'12_MODELO'!AM61-'12_MODELO'!AN61-'12_MODELO'!Q61-'12_MODELO'!AO61</f>
        <v>331961.9396000007</v>
      </c>
      <c r="AQ61" s="6">
        <f>'12_MODELO'!T61+'12_MODELO'!O61-('12_MODELO'!U61-'12_MODELO'!U60)-('12_MODELO'!V61-'12_MODELO'!V60)+('12_MODELO'!X61-'12_MODELO'!X60)+('12_MODELO'!Y61-'12_MODELO'!Y60)+('12_MODELO'!Z61-'12_MODELO'!Z60)+('12_MODELO'!AA61-'12_MODELO'!AA60)</f>
        <v>331961.9396000005</v>
      </c>
      <c r="AR61" s="6">
        <f>-'12_MODELO'!AB61</f>
        <v>-90000.0</v>
      </c>
      <c r="AS61" s="6">
        <f>'12_MODELO'!AE61-'12_MODELO'!AF61-'12_MODELO'!AH61</f>
        <v>-18000.0</v>
      </c>
      <c r="AT61" s="6">
        <f>'12_MODELO'!AQ61+'12_MODELO'!AR61+'12_MODELO'!AS61</f>
        <v>223961.9396000005</v>
      </c>
      <c r="AU61" s="6">
        <f>'12_MODELO'!AV60</f>
        <v>953579.6098069996</v>
      </c>
      <c r="AV61" s="6">
        <f>'12_MODELO'!AU61+'12_MODELO'!AT61</f>
        <v>1177541.5494070002</v>
      </c>
      <c r="AW61" s="6">
        <f>'12_MODELO'!AV61+'12_MODELO'!U61+'12_MODELO'!V61+'12_MODELO'!AC61-'12_MODELO'!AD61</f>
        <v>7091722.509407001</v>
      </c>
      <c r="AX61" s="6">
        <f>'12_MODELO'!X61+'12_MODELO'!Y61+'12_MODELO'!Z61+'12_MODELO'!AA61+'12_MODELO'!AG61</f>
        <v>2014881.7368</v>
      </c>
      <c r="AY61" s="6">
        <f>'12_MODELO'!AI61+'12_MODELO'!AJ61</f>
        <v>5076840.772607001</v>
      </c>
      <c r="AZ61" s="6">
        <f>'12_MODELO'!AW61-'12_MODELO'!AX61-'12_MODELO'!AY61</f>
        <v>0.0</v>
      </c>
      <c r="BA61" s="6">
        <f>'12_MODELO'!AP61-'12_MODELO'!AQ61</f>
        <v>1.7462298274040222e-10</v>
      </c>
      <c r="BB61" s="6">
        <f>'08_PREMISSAS'!O61</f>
        <v>50.0</v>
      </c>
      <c r="BC61" s="6">
        <f>'08_PREMISSAS'!P61</f>
        <v>55.0</v>
      </c>
      <c r="BD61" s="6">
        <f>'08_PREMISSAS'!Q61</f>
        <v>35.0</v>
      </c>
      <c r="BE61" s="9">
        <f>'08_PREMISSAS'!R61</f>
        <v>0.085</v>
      </c>
      <c r="BF61" s="9">
        <f>'08_PREMISSAS'!S61</f>
        <v>0.34</v>
      </c>
      <c r="BG61" s="9">
        <f>'08_PREMISSAS'!T61</f>
        <v>0.012</v>
      </c>
      <c r="BH61" s="9">
        <f>'08_PREMISSAS'!U61</f>
        <v>0.01</v>
      </c>
      <c r="BI61" s="9">
        <f>IFERROR('12_MODELO'!N61/'12_MODELO'!E61,0)</f>
        <v>0.07511377603069735</v>
      </c>
      <c r="BJ61" s="9">
        <f>IFERROR('12_MODELO'!T61/'12_MODELO'!E61,0)</f>
        <v>0.033047978792907905</v>
      </c>
      <c r="BK61" s="6">
        <f>'12_MODELO'!AQ61+'12_MODELO'!AR61</f>
        <v>241961.9396000005</v>
      </c>
      <c r="BL61" s="6">
        <f>'12_MODELO'!U61+'12_MODELO'!V61-'12_MODELO'!X61-'12_MODELO'!Y61-'12_MODELO'!Z61-'12_MODELO'!AA61</f>
        <v>2879459.2232000004</v>
      </c>
      <c r="BM61" s="6">
        <f>'12_MODELO'!AG61-'12_MODELO'!AV61</f>
        <v>-459541.5494070002</v>
      </c>
      <c r="BN61" s="6">
        <f>0</f>
        <v>0</v>
      </c>
      <c r="BO61" s="6">
        <f>'12_MODELO'!AV61+'12_MODELO'!U61+'12_MODELO'!V61</f>
        <v>5353882.509407001</v>
      </c>
      <c r="BP61" s="6">
        <f>'12_MODELO'!AC61-'12_MODELO'!AD61</f>
        <v>1737840.0</v>
      </c>
      <c r="BQ61" s="6">
        <f>MIN('12_MODELO'!AG61,'12_MODELO'!AF61*12)</f>
        <v>216000.0</v>
      </c>
      <c r="BR61" s="6">
        <f>'12_MODELO'!AG61-'12_MODELO'!BQ61</f>
        <v>502000.0</v>
      </c>
      <c r="BS61" s="6">
        <f>'12_MODELO'!AX61-'12_MODELO'!BR61</f>
        <v>1512881.7368</v>
      </c>
      <c r="BT61" s="6">
        <f>'12_MODELO'!BR61</f>
        <v>502000.0</v>
      </c>
      <c r="BU61" s="6">
        <f>IFERROR('12_MODELO'!BO61/'12_MODELO'!BS61,0)</f>
        <v>3.5388638643568826</v>
      </c>
    </row>
    <row r="62" spans="1:73">
      <c r="A62" s="5">
        <v>46023</v>
      </c>
      <c r="B62" t="s">
        <v>81</v>
      </c>
      <c r="C62" s="6">
        <f>'08_PREMISSAS'!C62*'08_PREMISSAS'!D62</f>
        <v>1289222.4688000001</v>
      </c>
      <c r="D62" s="6">
        <f>'12_MODELO'!C62*'12_MODELO'!BE62</f>
        <v>109583.90984800002</v>
      </c>
      <c r="E62" s="6">
        <f>'12_MODELO'!C62-'12_MODELO'!D62</f>
        <v>1179638.5589520002</v>
      </c>
      <c r="F62" s="6">
        <f>'12_MODELO'!C62*'08_PREMISSAS'!E62</f>
        <v>850886.8294080001</v>
      </c>
      <c r="G62" s="6">
        <f>'12_MODELO'!E62-'12_MODELO'!F62</f>
        <v>328751.7295440001</v>
      </c>
      <c r="H62" s="6">
        <f>'08_PREMISSAS'!J62</f>
        <v>125000.0</v>
      </c>
      <c r="I62" s="6">
        <f>'12_MODELO'!C62*'08_PREMISSAS'!F62</f>
        <v>45122.78640800001</v>
      </c>
      <c r="J62" s="6">
        <f>'08_PREMISSAS'!L62</f>
        <v>37000.0</v>
      </c>
      <c r="K62" s="6">
        <f>'08_PREMISSAS'!M62</f>
        <v>24000.0</v>
      </c>
      <c r="L62" s="6">
        <f>'12_MODELO'!C62*'08_PREMISSAS'!G62</f>
        <v>29652.116782400004</v>
      </c>
      <c r="M62" s="6">
        <f>SUM('12_MODELO'!H62:'12_MODELO'!L62)</f>
        <v>260774.90319040001</v>
      </c>
      <c r="N62" s="6">
        <f>'12_MODELO'!G62-'12_MODELO'!M62</f>
        <v>67976.8263536001</v>
      </c>
      <c r="O62" s="6">
        <f>MIN('12_MODELO'!AC25*'12_MODELO'!BH62,'12_MODELO'!AC25-'12_MODELO'!AD25+'12_MODELO'!AB62)</f>
        <v>25080.0</v>
      </c>
      <c r="P62" s="6">
        <f>'12_MODELO'!N62-'12_MODELO'!O62</f>
        <v>42896.8263536001</v>
      </c>
      <c r="Q62" s="6">
        <f>'12_MODELO'!AG25*'12_MODELO'!BG62</f>
        <v>8616.0</v>
      </c>
      <c r="R62" s="6">
        <f>'12_MODELO'!P62-'12_MODELO'!Q62</f>
        <v>34280.8263536001</v>
      </c>
      <c r="S62" s="6">
        <f>MAX(0,'12_MODELO'!R62)*'12_MODELO'!BF62</f>
        <v>11655.480960224037</v>
      </c>
      <c r="T62" s="6">
        <f>'12_MODELO'!R62-'12_MODELO'!S62</f>
        <v>22625.34539337607</v>
      </c>
      <c r="U62" s="6">
        <f>'12_MODELO'!C62*'12_MODELO'!BB62/30</f>
        <v>1933833.7032000003</v>
      </c>
      <c r="V62" s="6">
        <f>'12_MODELO'!F62*'12_MODELO'!BC62/30</f>
        <v>1361418.9270528</v>
      </c>
      <c r="W62" s="6">
        <f>'12_MODELO'!F62+'12_MODELO'!V62-'12_MODELO'!V25</f>
        <v>198331.61246080045</v>
      </c>
      <c r="X62" s="6">
        <f>'12_MODELO'!F62*'12_MODELO'!BD62/30</f>
        <v>1021064.1952896002</v>
      </c>
      <c r="Y62" s="6">
        <f>'12_MODELO'!H62*20%</f>
        <v>25000.0</v>
      </c>
      <c r="Z62" s="6">
        <f>'12_MODELO'!D62</f>
        <v>109583.90984800002</v>
      </c>
      <c r="AA62" s="6">
        <f>'12_MODELO'!S62</f>
        <v>11655.480960224037</v>
      </c>
      <c r="AB62" s="6">
        <f>'08_PREMISSAS'!V62</f>
        <v>22000.0</v>
      </c>
      <c r="AC62" s="6">
        <f>'12_MODELO'!AC25+'12_MODELO'!AB62</f>
        <v>2530000.0</v>
      </c>
      <c r="AD62" s="6">
        <f>'12_MODELO'!AD25+'12_MODELO'!O62</f>
        <v>795240.0</v>
      </c>
      <c r="AE62" s="6">
        <f>'08_PREMISSAS'!W62</f>
        <v>0.0</v>
      </c>
      <c r="AF62" s="6">
        <f>'08_PREMISSAS'!X62</f>
        <v>18000.0</v>
      </c>
      <c r="AG62" s="6">
        <f>'12_MODELO'!AG25+'12_MODELO'!AE62-'12_MODELO'!AF62</f>
        <v>700000.0</v>
      </c>
      <c r="AH62" s="6">
        <f>'08_PREMISSAS'!Y62</f>
        <v>0.0</v>
      </c>
      <c r="AI62" s="6">
        <f>'12_MODELO'!AI25</f>
        <v>3900000.0</v>
      </c>
      <c r="AJ62" s="6">
        <f>'12_MODELO'!AJ25+'12_MODELO'!T62-'12_MODELO'!AH62</f>
        <v>1258901.8896043762</v>
      </c>
      <c r="AK62" s="6">
        <f>'12_MODELO'!U25+'12_MODELO'!C62-'12_MODELO'!U62</f>
        <v>2011083.1575999996</v>
      </c>
      <c r="AL62" s="6">
        <f>'12_MODELO'!X25+'12_MODELO'!W62-'12_MODELO'!X62</f>
        <v>532826.9371712</v>
      </c>
      <c r="AM62" s="6">
        <f>'12_MODELO'!M62+'12_MODELO'!Y25-'12_MODELO'!Y62</f>
        <v>257807.3031904</v>
      </c>
      <c r="AN62" s="6">
        <f>'12_MODELO'!Z25+'12_MODELO'!D62-'12_MODELO'!Z62</f>
        <v>144085.5468</v>
      </c>
      <c r="AO62" s="6">
        <f>'12_MODELO'!AA25+'12_MODELO'!S62-'12_MODELO'!AA62</f>
        <v>31810.11888800001</v>
      </c>
      <c r="AP62" s="6">
        <f>'12_MODELO'!AK62-'12_MODELO'!AL62-'12_MODELO'!AM62-'12_MODELO'!AN62-'12_MODELO'!Q62-'12_MODELO'!AO62</f>
        <v>1035937.2515503992</v>
      </c>
      <c r="AQ62" s="6">
        <f>'12_MODELO'!T62+'12_MODELO'!O62-('12_MODELO'!U62-'12_MODELO'!U25)-('12_MODELO'!V62-'12_MODELO'!V25)+('12_MODELO'!X62-'12_MODELO'!X25)+('12_MODELO'!Y62-'12_MODELO'!Y25)+('12_MODELO'!Z62-'12_MODELO'!Z25)+('12_MODELO'!AA62-'12_MODELO'!AA25)</f>
        <v>1035937.2515503998</v>
      </c>
      <c r="AR62" s="6">
        <f>-'12_MODELO'!AB62</f>
        <v>-22000.0</v>
      </c>
      <c r="AS62" s="6">
        <f>'12_MODELO'!AE62-'12_MODELO'!AF62-'12_MODELO'!AH62</f>
        <v>-18000.0</v>
      </c>
      <c r="AT62" s="6">
        <f>'12_MODELO'!AQ62+'12_MODELO'!AR62+'12_MODELO'!AS62</f>
        <v>995937.2515503998</v>
      </c>
      <c r="AU62" s="6">
        <f>'12_MODELO'!AV25</f>
        <v>1000255.5938990002</v>
      </c>
      <c r="AV62" s="6">
        <f>'12_MODELO'!AU62+'12_MODELO'!AT62</f>
        <v>1996192.8454494001</v>
      </c>
      <c r="AW62" s="6">
        <f>'12_MODELO'!AV62+'12_MODELO'!U62+'12_MODELO'!V62+'12_MODELO'!AC62-'12_MODELO'!AD62</f>
        <v>7026205.4757022</v>
      </c>
      <c r="AX62" s="6">
        <f>'12_MODELO'!X62+'12_MODELO'!Y62+'12_MODELO'!Z62+'12_MODELO'!AA62+'12_MODELO'!AG62</f>
        <v>1867303.5860978242</v>
      </c>
      <c r="AY62" s="6">
        <f>'12_MODELO'!AI62+'12_MODELO'!AJ62</f>
        <v>5158901.889604377</v>
      </c>
      <c r="AZ62" s="6">
        <f>'12_MODELO'!AW62-'12_MODELO'!AX62-'12_MODELO'!AY62</f>
        <v>-9.313225746154785e-10</v>
      </c>
      <c r="BA62" s="6">
        <f>'12_MODELO'!AP62-'12_MODELO'!AQ62</f>
        <v>-5.820766091346741e-10</v>
      </c>
      <c r="BB62" s="6">
        <f>'08_PREMISSAS'!O62</f>
        <v>45.0</v>
      </c>
      <c r="BC62" s="6">
        <f>'08_PREMISSAS'!P62</f>
        <v>48.0</v>
      </c>
      <c r="BD62" s="6">
        <f>'08_PREMISSAS'!Q62</f>
        <v>36.0</v>
      </c>
      <c r="BE62" s="9">
        <f>'08_PREMISSAS'!R62</f>
        <v>0.085</v>
      </c>
      <c r="BF62" s="9">
        <f>'08_PREMISSAS'!S62</f>
        <v>0.34</v>
      </c>
      <c r="BG62" s="9">
        <f>'08_PREMISSAS'!T62</f>
        <v>0.012</v>
      </c>
      <c r="BH62" s="9">
        <f>'08_PREMISSAS'!U62</f>
        <v>0.01</v>
      </c>
      <c r="BI62" s="9">
        <f>IFERROR('12_MODELO'!N62/'12_MODELO'!E62,0)</f>
        <v>0.05762513088245541</v>
      </c>
      <c r="BJ62" s="9">
        <f>IFERROR('12_MODELO'!T62/'12_MODELO'!E62,0)</f>
        <v>0.019179896436648015</v>
      </c>
      <c r="BK62" s="6">
        <f>'12_MODELO'!AQ62+'12_MODELO'!AR62</f>
        <v>1013937.2515503998</v>
      </c>
      <c r="BL62" s="6">
        <f>'12_MODELO'!U62+'12_MODELO'!V62-'12_MODELO'!X62-'12_MODELO'!Y62-'12_MODELO'!Z62-'12_MODELO'!AA62</f>
        <v>2127949.0441549765</v>
      </c>
      <c r="BM62" s="6">
        <f>'12_MODELO'!AG62-'12_MODELO'!AV62</f>
        <v>-1296192.8454494001</v>
      </c>
      <c r="BN62" s="6">
        <f>0</f>
        <v>0</v>
      </c>
      <c r="BO62" s="6">
        <f>'12_MODELO'!AV62+'12_MODELO'!U62+'12_MODELO'!V62</f>
        <v>5291445.4757022</v>
      </c>
      <c r="BP62" s="6">
        <f>'12_MODELO'!AC62-'12_MODELO'!AD62</f>
        <v>1734760.0</v>
      </c>
      <c r="BQ62" s="6">
        <f>MIN('12_MODELO'!AG62,'12_MODELO'!AF62*12)</f>
        <v>216000.0</v>
      </c>
      <c r="BR62" s="6">
        <f>'12_MODELO'!AG62-'12_MODELO'!BQ62</f>
        <v>484000.0</v>
      </c>
      <c r="BS62" s="6">
        <f>'12_MODELO'!AX62-'12_MODELO'!BR62</f>
        <v>1383303.5860978242</v>
      </c>
      <c r="BT62" s="6">
        <f>'12_MODELO'!BR62</f>
        <v>484000.0</v>
      </c>
      <c r="BU62" s="6">
        <f>IFERROR('12_MODELO'!BO62/'12_MODELO'!BS62,0)</f>
        <v>3.8252235654422724</v>
      </c>
    </row>
    <row r="63" spans="1:73">
      <c r="A63" s="5">
        <v>46054</v>
      </c>
      <c r="B63" t="s">
        <v>81</v>
      </c>
      <c r="C63" s="6">
        <f>'08_PREMISSAS'!C63*'08_PREMISSAS'!D63</f>
        <v>1317939.5712</v>
      </c>
      <c r="D63" s="6">
        <f>'12_MODELO'!C63*'12_MODELO'!BE63</f>
        <v>112024.863552</v>
      </c>
      <c r="E63" s="6">
        <f>'12_MODELO'!C63-'12_MODELO'!D63</f>
        <v>1205914.707648</v>
      </c>
      <c r="F63" s="6">
        <f>'12_MODELO'!C63*'08_PREMISSAS'!E63</f>
        <v>869840.116992</v>
      </c>
      <c r="G63" s="6">
        <f>'12_MODELO'!E63-'12_MODELO'!F63</f>
        <v>336074.59065599996</v>
      </c>
      <c r="H63" s="6">
        <f>'08_PREMISSAS'!J63</f>
        <v>125000.0</v>
      </c>
      <c r="I63" s="6">
        <f>'12_MODELO'!C63*'08_PREMISSAS'!F63</f>
        <v>46127.884992</v>
      </c>
      <c r="J63" s="6">
        <f>'08_PREMISSAS'!L63</f>
        <v>37000.0</v>
      </c>
      <c r="K63" s="6">
        <f>'08_PREMISSAS'!M63</f>
        <v>24000.0</v>
      </c>
      <c r="L63" s="6">
        <f>'12_MODELO'!C63*'08_PREMISSAS'!G63</f>
        <v>30312.610137599997</v>
      </c>
      <c r="M63" s="6">
        <f>SUM('12_MODELO'!H63:'12_MODELO'!L63)</f>
        <v>262440.4951296</v>
      </c>
      <c r="N63" s="6">
        <f>'12_MODELO'!G63-'12_MODELO'!M63</f>
        <v>73634.09552639996</v>
      </c>
      <c r="O63" s="6">
        <f>MIN('12_MODELO'!AC62*'12_MODELO'!BH63,'12_MODELO'!AC62-'12_MODELO'!AD62+'12_MODELO'!AB63)</f>
        <v>25300.0</v>
      </c>
      <c r="P63" s="6">
        <f>'12_MODELO'!N63-'12_MODELO'!O63</f>
        <v>48334.095526399964</v>
      </c>
      <c r="Q63" s="6">
        <f>'12_MODELO'!AG62*'12_MODELO'!BG63</f>
        <v>8400.0</v>
      </c>
      <c r="R63" s="6">
        <f>'12_MODELO'!P63-'12_MODELO'!Q63</f>
        <v>39934.095526399964</v>
      </c>
      <c r="S63" s="6">
        <f>MAX(0,'12_MODELO'!R63)*'12_MODELO'!BF63</f>
        <v>13577.592478975988</v>
      </c>
      <c r="T63" s="6">
        <f>'12_MODELO'!R63-'12_MODELO'!S63</f>
        <v>26356.503047423976</v>
      </c>
      <c r="U63" s="6">
        <f>'12_MODELO'!C63*'12_MODELO'!BB63/30</f>
        <v>1976909.3568</v>
      </c>
      <c r="V63" s="6">
        <f>'12_MODELO'!F63*'12_MODELO'!BC63/30</f>
        <v>1391744.1871872</v>
      </c>
      <c r="W63" s="6">
        <f>'12_MODELO'!F63+'12_MODELO'!V63-'12_MODELO'!V62</f>
        <v>900165.3771263999</v>
      </c>
      <c r="X63" s="6">
        <f>'12_MODELO'!F63*'12_MODELO'!BD63/30</f>
        <v>1043808.1403904001</v>
      </c>
      <c r="Y63" s="6">
        <f>'12_MODELO'!H63*20%</f>
        <v>25000.0</v>
      </c>
      <c r="Z63" s="6">
        <f>'12_MODELO'!D63</f>
        <v>112024.863552</v>
      </c>
      <c r="AA63" s="6">
        <f>'12_MODELO'!S63</f>
        <v>13577.592478975988</v>
      </c>
      <c r="AB63" s="6">
        <f>'08_PREMISSAS'!V63</f>
        <v>22000.0</v>
      </c>
      <c r="AC63" s="6">
        <f>'12_MODELO'!AC62+'12_MODELO'!AB63</f>
        <v>2552000.0</v>
      </c>
      <c r="AD63" s="6">
        <f>'12_MODELO'!AD62+'12_MODELO'!O63</f>
        <v>820540.0</v>
      </c>
      <c r="AE63" s="6">
        <f>'08_PREMISSAS'!W63</f>
        <v>0.0</v>
      </c>
      <c r="AF63" s="6">
        <f>'08_PREMISSAS'!X63</f>
        <v>18000.0</v>
      </c>
      <c r="AG63" s="6">
        <f>'12_MODELO'!AG62+'12_MODELO'!AE63-'12_MODELO'!AF63</f>
        <v>682000.0</v>
      </c>
      <c r="AH63" s="6">
        <f>'08_PREMISSAS'!Y63</f>
        <v>0.0</v>
      </c>
      <c r="AI63" s="6">
        <f>'12_MODELO'!AI62</f>
        <v>3900000.0</v>
      </c>
      <c r="AJ63" s="6">
        <f>'12_MODELO'!AJ62+'12_MODELO'!T63-'12_MODELO'!AH63</f>
        <v>1285258.3926518</v>
      </c>
      <c r="AK63" s="6">
        <f>'12_MODELO'!U62+'12_MODELO'!C63-'12_MODELO'!U63</f>
        <v>1274863.9176000005</v>
      </c>
      <c r="AL63" s="6">
        <f>'12_MODELO'!X62+'12_MODELO'!W63-'12_MODELO'!X63</f>
        <v>877421.4320256</v>
      </c>
      <c r="AM63" s="6">
        <f>'12_MODELO'!M63+'12_MODELO'!Y62-'12_MODELO'!Y63</f>
        <v>262440.4951296</v>
      </c>
      <c r="AN63" s="6">
        <f>'12_MODELO'!Z62+'12_MODELO'!D63-'12_MODELO'!Z63</f>
        <v>109583.90984800001</v>
      </c>
      <c r="AO63" s="6">
        <f>'12_MODELO'!AA62+'12_MODELO'!S63-'12_MODELO'!AA63</f>
        <v>11655.480960224035</v>
      </c>
      <c r="AP63" s="6">
        <f>'12_MODELO'!AK63-'12_MODELO'!AL63-'12_MODELO'!AM63-'12_MODELO'!AN63-'12_MODELO'!Q63-'12_MODELO'!AO63</f>
        <v>5362.59963657648</v>
      </c>
      <c r="AQ63" s="6">
        <f>'12_MODELO'!T63+'12_MODELO'!O63-('12_MODELO'!U63-'12_MODELO'!U62)-('12_MODELO'!V63-'12_MODELO'!V62)+('12_MODELO'!X63-'12_MODELO'!X62)+('12_MODELO'!Y63-'12_MODELO'!Y62)+('12_MODELO'!Z63-'12_MODELO'!Z62)+('12_MODELO'!AA63-'12_MODELO'!AA62)</f>
        <v>5362.59963657632</v>
      </c>
      <c r="AR63" s="6">
        <f>-'12_MODELO'!AB63</f>
        <v>-22000.0</v>
      </c>
      <c r="AS63" s="6">
        <f>'12_MODELO'!AE63-'12_MODELO'!AF63-'12_MODELO'!AH63</f>
        <v>-18000.0</v>
      </c>
      <c r="AT63" s="6">
        <f>'12_MODELO'!AQ63+'12_MODELO'!AR63+'12_MODELO'!AS63</f>
        <v>-34637.40036342368</v>
      </c>
      <c r="AU63" s="6">
        <f>'12_MODELO'!AV62</f>
        <v>1996192.8454494001</v>
      </c>
      <c r="AV63" s="6">
        <f>'12_MODELO'!AU63+'12_MODELO'!AT63</f>
        <v>1961555.4450859765</v>
      </c>
      <c r="AW63" s="6">
        <f>'12_MODELO'!AV63+'12_MODELO'!U63+'12_MODELO'!V63+'12_MODELO'!AC63-'12_MODELO'!AD63</f>
        <v>7061668.989073176</v>
      </c>
      <c r="AX63" s="6">
        <f>'12_MODELO'!X63+'12_MODELO'!Y63+'12_MODELO'!Z63+'12_MODELO'!AA63+'12_MODELO'!AG63</f>
        <v>1876410.596421376</v>
      </c>
      <c r="AY63" s="6">
        <f>'12_MODELO'!AI63+'12_MODELO'!AJ63</f>
        <v>5185258.3926518</v>
      </c>
      <c r="AZ63" s="6">
        <f>'12_MODELO'!AW63-'12_MODELO'!AX63-'12_MODELO'!AY63</f>
        <v>0.0</v>
      </c>
      <c r="BA63" s="6">
        <f>'12_MODELO'!AP63-'12_MODELO'!AQ63</f>
        <v>1.6007106751203537e-10</v>
      </c>
      <c r="BB63" s="6">
        <f>'08_PREMISSAS'!O63</f>
        <v>45.0</v>
      </c>
      <c r="BC63" s="6">
        <f>'08_PREMISSAS'!P63</f>
        <v>48.0</v>
      </c>
      <c r="BD63" s="6">
        <f>'08_PREMISSAS'!Q63</f>
        <v>36.0</v>
      </c>
      <c r="BE63" s="9">
        <f>'08_PREMISSAS'!R63</f>
        <v>0.085</v>
      </c>
      <c r="BF63" s="9">
        <f>'08_PREMISSAS'!S63</f>
        <v>0.34</v>
      </c>
      <c r="BG63" s="9">
        <f>'08_PREMISSAS'!T63</f>
        <v>0.012</v>
      </c>
      <c r="BH63" s="9">
        <f>'08_PREMISSAS'!U63</f>
        <v>0.01</v>
      </c>
      <c r="BI63" s="9">
        <f>IFERROR('12_MODELO'!N63/'12_MODELO'!E63,0)</f>
        <v>0.06106078237491184</v>
      </c>
      <c r="BJ63" s="9">
        <f>IFERROR('12_MODELO'!T63/'12_MODELO'!E63,0)</f>
        <v>0.021856025870046272</v>
      </c>
      <c r="BK63" s="6">
        <f>'12_MODELO'!AQ63+'12_MODELO'!AR63</f>
        <v>-16637.40036342368</v>
      </c>
      <c r="BL63" s="6">
        <f>'12_MODELO'!U63+'12_MODELO'!V63-'12_MODELO'!X63-'12_MODELO'!Y63-'12_MODELO'!Z63-'12_MODELO'!AA63</f>
        <v>2174242.947565824</v>
      </c>
      <c r="BM63" s="6">
        <f>'12_MODELO'!AG63-'12_MODELO'!AV63</f>
        <v>-1279555.4450859765</v>
      </c>
      <c r="BN63" s="6">
        <f>0</f>
        <v>0</v>
      </c>
      <c r="BO63" s="6">
        <f>'12_MODELO'!AV63+'12_MODELO'!U63+'12_MODELO'!V63</f>
        <v>5330208.989073176</v>
      </c>
      <c r="BP63" s="6">
        <f>'12_MODELO'!AC63-'12_MODELO'!AD63</f>
        <v>1731460.0</v>
      </c>
      <c r="BQ63" s="6">
        <f>MIN('12_MODELO'!AG63,'12_MODELO'!AF63*12)</f>
        <v>216000.0</v>
      </c>
      <c r="BR63" s="6">
        <f>'12_MODELO'!AG63-'12_MODELO'!BQ63</f>
        <v>466000.0</v>
      </c>
      <c r="BS63" s="6">
        <f>'12_MODELO'!AX63-'12_MODELO'!BR63</f>
        <v>1410410.596421376</v>
      </c>
      <c r="BT63" s="6">
        <f>'12_MODELO'!BR63</f>
        <v>466000.0</v>
      </c>
      <c r="BU63" s="6">
        <f>IFERROR('12_MODELO'!BO63/'12_MODELO'!BS63,0)</f>
        <v>3.77918955132461</v>
      </c>
    </row>
    <row r="64" spans="1:73">
      <c r="A64" s="5">
        <v>46082</v>
      </c>
      <c r="B64" t="s">
        <v>81</v>
      </c>
      <c r="C64" s="6">
        <f>'08_PREMISSAS'!C64*'08_PREMISSAS'!D64</f>
        <v>1556747.4496000002</v>
      </c>
      <c r="D64" s="6">
        <f>'12_MODELO'!C64*'12_MODELO'!BE64</f>
        <v>132323.533216</v>
      </c>
      <c r="E64" s="6">
        <f>'12_MODELO'!C64-'12_MODELO'!D64</f>
        <v>1424423.916384</v>
      </c>
      <c r="F64" s="6">
        <f>'12_MODELO'!C64*'08_PREMISSAS'!E64</f>
        <v>1027453.3167360001</v>
      </c>
      <c r="G64" s="6">
        <f>'12_MODELO'!E64-'12_MODELO'!F64</f>
        <v>396970.599648</v>
      </c>
      <c r="H64" s="6">
        <f>'08_PREMISSAS'!J64</f>
        <v>125000.0</v>
      </c>
      <c r="I64" s="6">
        <f>'12_MODELO'!C64*'08_PREMISSAS'!F64</f>
        <v>54486.16073600001</v>
      </c>
      <c r="J64" s="6">
        <f>'08_PREMISSAS'!L64</f>
        <v>37000.0</v>
      </c>
      <c r="K64" s="6">
        <f>'08_PREMISSAS'!M64</f>
        <v>24000.0</v>
      </c>
      <c r="L64" s="6">
        <f>'12_MODELO'!C64*'08_PREMISSAS'!G64</f>
        <v>35805.191340800004</v>
      </c>
      <c r="M64" s="6">
        <f>SUM('12_MODELO'!H64:'12_MODELO'!L64)</f>
        <v>276291.3520768</v>
      </c>
      <c r="N64" s="6">
        <f>'12_MODELO'!G64-'12_MODELO'!M64</f>
        <v>120679.24757119996</v>
      </c>
      <c r="O64" s="6">
        <f>MIN('12_MODELO'!AC63*'12_MODELO'!BH64,'12_MODELO'!AC63-'12_MODELO'!AD63+'12_MODELO'!AB64)</f>
        <v>25520.0</v>
      </c>
      <c r="P64" s="6">
        <f>'12_MODELO'!N64-'12_MODELO'!O64</f>
        <v>95159.24757119996</v>
      </c>
      <c r="Q64" s="6">
        <f>'12_MODELO'!AG63*'12_MODELO'!BG64</f>
        <v>8184.0</v>
      </c>
      <c r="R64" s="6">
        <f>'12_MODELO'!P64-'12_MODELO'!Q64</f>
        <v>86975.24757119996</v>
      </c>
      <c r="S64" s="6">
        <f>MAX(0,'12_MODELO'!R64)*'12_MODELO'!BF64</f>
        <v>29571.584174207987</v>
      </c>
      <c r="T64" s="6">
        <f>'12_MODELO'!R64-'12_MODELO'!S64</f>
        <v>57403.66339699197</v>
      </c>
      <c r="U64" s="6">
        <f>'12_MODELO'!C64*'12_MODELO'!BB64/30</f>
        <v>2335121.1744000004</v>
      </c>
      <c r="V64" s="6">
        <f>'12_MODELO'!F64*'12_MODELO'!BC64/30</f>
        <v>1643925.3067776002</v>
      </c>
      <c r="W64" s="6">
        <f>'12_MODELO'!F64+'12_MODELO'!V64-'12_MODELO'!V63</f>
        <v>1279634.4363264004</v>
      </c>
      <c r="X64" s="6">
        <f>'12_MODELO'!F64*'12_MODELO'!BD64/30</f>
        <v>1232943.9800832001</v>
      </c>
      <c r="Y64" s="6">
        <f>'12_MODELO'!H64*20%</f>
        <v>25000.0</v>
      </c>
      <c r="Z64" s="6">
        <f>'12_MODELO'!D64</f>
        <v>132323.533216</v>
      </c>
      <c r="AA64" s="6">
        <f>'12_MODELO'!S64</f>
        <v>29571.584174207987</v>
      </c>
      <c r="AB64" s="6">
        <f>'08_PREMISSAS'!V64</f>
        <v>120000.0</v>
      </c>
      <c r="AC64" s="6">
        <f>'12_MODELO'!AC63+'12_MODELO'!AB64</f>
        <v>2672000.0</v>
      </c>
      <c r="AD64" s="6">
        <f>'12_MODELO'!AD63+'12_MODELO'!O64</f>
        <v>846060.0</v>
      </c>
      <c r="AE64" s="6">
        <f>'08_PREMISSAS'!W64</f>
        <v>0.0</v>
      </c>
      <c r="AF64" s="6">
        <f>'08_PREMISSAS'!X64</f>
        <v>18000.0</v>
      </c>
      <c r="AG64" s="6">
        <f>'12_MODELO'!AG63+'12_MODELO'!AE64-'12_MODELO'!AF64</f>
        <v>664000.0</v>
      </c>
      <c r="AH64" s="6">
        <f>'08_PREMISSAS'!Y64</f>
        <v>0.0</v>
      </c>
      <c r="AI64" s="6">
        <f>'12_MODELO'!AI63</f>
        <v>3900000.0</v>
      </c>
      <c r="AJ64" s="6">
        <f>'12_MODELO'!AJ63+'12_MODELO'!T64-'12_MODELO'!AH64</f>
        <v>1342662.056048792</v>
      </c>
      <c r="AK64" s="6">
        <f>'12_MODELO'!U63+'12_MODELO'!C64-'12_MODELO'!U64</f>
        <v>1198535.6319999998</v>
      </c>
      <c r="AL64" s="6">
        <f>'12_MODELO'!X63+'12_MODELO'!W64-'12_MODELO'!X64</f>
        <v>1090498.5966336</v>
      </c>
      <c r="AM64" s="6">
        <f>'12_MODELO'!M64+'12_MODELO'!Y63-'12_MODELO'!Y64</f>
        <v>276291.3520768</v>
      </c>
      <c r="AN64" s="6">
        <f>'12_MODELO'!Z63+'12_MODELO'!D64-'12_MODELO'!Z64</f>
        <v>112024.863552</v>
      </c>
      <c r="AO64" s="6">
        <f>'12_MODELO'!AA63+'12_MODELO'!S64-'12_MODELO'!AA64</f>
        <v>13577.592478975988</v>
      </c>
      <c r="AP64" s="6">
        <f>'12_MODELO'!AK64-'12_MODELO'!AL64-'12_MODELO'!AM64-'12_MODELO'!AN64-'12_MODELO'!Q64-'12_MODELO'!AO64</f>
        <v>-302040.7727413763</v>
      </c>
      <c r="AQ64" s="6">
        <f>'12_MODELO'!T64+'12_MODELO'!O64-('12_MODELO'!U64-'12_MODELO'!U63)-('12_MODELO'!V64-'12_MODELO'!V63)+('12_MODELO'!X64-'12_MODELO'!X63)+('12_MODELO'!Y64-'12_MODELO'!Y63)+('12_MODELO'!Z64-'12_MODELO'!Z63)+('12_MODELO'!AA64-'12_MODELO'!AA63)</f>
        <v>-302040.77274137654</v>
      </c>
      <c r="AR64" s="6">
        <f>-'12_MODELO'!AB64</f>
        <v>-120000.0</v>
      </c>
      <c r="AS64" s="6">
        <f>'12_MODELO'!AE64-'12_MODELO'!AF64-'12_MODELO'!AH64</f>
        <v>-18000.0</v>
      </c>
      <c r="AT64" s="6">
        <f>'12_MODELO'!AQ64+'12_MODELO'!AR64+'12_MODELO'!AS64</f>
        <v>-440040.77274137654</v>
      </c>
      <c r="AU64" s="6">
        <f>'12_MODELO'!AV63</f>
        <v>1961555.4450859765</v>
      </c>
      <c r="AV64" s="6">
        <f>'12_MODELO'!AU64+'12_MODELO'!AT64</f>
        <v>1521514.6723445999</v>
      </c>
      <c r="AW64" s="6">
        <f>'12_MODELO'!AV64+'12_MODELO'!U64+'12_MODELO'!V64+'12_MODELO'!AC64-'12_MODELO'!AD64</f>
        <v>7326501.153522201</v>
      </c>
      <c r="AX64" s="6">
        <f>'12_MODELO'!X64+'12_MODELO'!Y64+'12_MODELO'!Z64+'12_MODELO'!AA64+'12_MODELO'!AG64</f>
        <v>2083839.097473408</v>
      </c>
      <c r="AY64" s="6">
        <f>'12_MODELO'!AI64+'12_MODELO'!AJ64</f>
        <v>5242662.056048792</v>
      </c>
      <c r="AZ64" s="6">
        <f>'12_MODELO'!AW64-'12_MODELO'!AX64-'12_MODELO'!AY64</f>
        <v>9.313225746154785e-10</v>
      </c>
      <c r="BA64" s="6">
        <f>'12_MODELO'!AP64-'12_MODELO'!AQ64</f>
        <v>2.3283064365386963e-10</v>
      </c>
      <c r="BB64" s="6">
        <f>'08_PREMISSAS'!O64</f>
        <v>45.0</v>
      </c>
      <c r="BC64" s="6">
        <f>'08_PREMISSAS'!P64</f>
        <v>48.0</v>
      </c>
      <c r="BD64" s="6">
        <f>'08_PREMISSAS'!Q64</f>
        <v>36.0</v>
      </c>
      <c r="BE64" s="9">
        <f>'08_PREMISSAS'!R64</f>
        <v>0.085</v>
      </c>
      <c r="BF64" s="9">
        <f>'08_PREMISSAS'!S64</f>
        <v>0.34</v>
      </c>
      <c r="BG64" s="9">
        <f>'08_PREMISSAS'!T64</f>
        <v>0.012</v>
      </c>
      <c r="BH64" s="9">
        <f>'08_PREMISSAS'!U64</f>
        <v>0.01</v>
      </c>
      <c r="BI64" s="9">
        <f>IFERROR('12_MODELO'!N64/'12_MODELO'!E64,0)</f>
        <v>0.08472144154778914</v>
      </c>
      <c r="BJ64" s="9">
        <f>IFERROR('12_MODELO'!T64/'12_MODELO'!E64,0)</f>
        <v>0.04029956443213562</v>
      </c>
      <c r="BK64" s="6">
        <f>'12_MODELO'!AQ64+'12_MODELO'!AR64</f>
        <v>-422040.77274137654</v>
      </c>
      <c r="BL64" s="6">
        <f>'12_MODELO'!U64+'12_MODELO'!V64-'12_MODELO'!X64-'12_MODELO'!Y64-'12_MODELO'!Z64-'12_MODELO'!AA64</f>
        <v>2559207.3837041925</v>
      </c>
      <c r="BM64" s="6">
        <f>'12_MODELO'!AG64-'12_MODELO'!AV64</f>
        <v>-857514.6723445999</v>
      </c>
      <c r="BN64" s="6">
        <f>0</f>
        <v>0</v>
      </c>
      <c r="BO64" s="6">
        <f>'12_MODELO'!AV64+'12_MODELO'!U64+'12_MODELO'!V64</f>
        <v>5500561.153522201</v>
      </c>
      <c r="BP64" s="6">
        <f>'12_MODELO'!AC64-'12_MODELO'!AD64</f>
        <v>1825940.0</v>
      </c>
      <c r="BQ64" s="6">
        <f>MIN('12_MODELO'!AG64,'12_MODELO'!AF64*12)</f>
        <v>216000.0</v>
      </c>
      <c r="BR64" s="6">
        <f>'12_MODELO'!AG64-'12_MODELO'!BQ64</f>
        <v>448000.0</v>
      </c>
      <c r="BS64" s="6">
        <f>'12_MODELO'!AX64-'12_MODELO'!BR64</f>
        <v>1635839.097473408</v>
      </c>
      <c r="BT64" s="6">
        <f>'12_MODELO'!BR64</f>
        <v>448000.0</v>
      </c>
      <c r="BU64" s="6">
        <f>IFERROR('12_MODELO'!BO64/'12_MODELO'!BS64,0)</f>
        <v>3.362531903056937</v>
      </c>
    </row>
    <row r="65" spans="1:73">
      <c r="A65" s="5">
        <v>46113</v>
      </c>
      <c r="B65" t="s">
        <v>81</v>
      </c>
      <c r="C65" s="6">
        <f>'08_PREMISSAS'!C65*'08_PREMISSAS'!D65</f>
        <v>1550412.8864000004</v>
      </c>
      <c r="D65" s="6">
        <f>'12_MODELO'!C65*'12_MODELO'!BE65</f>
        <v>131785.09534400006</v>
      </c>
      <c r="E65" s="6">
        <f>'12_MODELO'!C65-'12_MODELO'!D65</f>
        <v>1418627.7910560004</v>
      </c>
      <c r="F65" s="6">
        <f>'12_MODELO'!C65*'08_PREMISSAS'!E65</f>
        <v>1023272.5050240003</v>
      </c>
      <c r="G65" s="6">
        <f>'12_MODELO'!E65-'12_MODELO'!F65</f>
        <v>395355.2860320001</v>
      </c>
      <c r="H65" s="6">
        <f>'08_PREMISSAS'!J65</f>
        <v>125000.0</v>
      </c>
      <c r="I65" s="6">
        <f>'12_MODELO'!C65*'08_PREMISSAS'!F65</f>
        <v>54264.45102400002</v>
      </c>
      <c r="J65" s="6">
        <f>'08_PREMISSAS'!L65</f>
        <v>37000.0</v>
      </c>
      <c r="K65" s="6">
        <f>'08_PREMISSAS'!M65</f>
        <v>24000.0</v>
      </c>
      <c r="L65" s="6">
        <f>'12_MODELO'!C65*'08_PREMISSAS'!G65</f>
        <v>35659.4963872</v>
      </c>
      <c r="M65" s="6">
        <f>SUM('12_MODELO'!H65:'12_MODELO'!L65)</f>
        <v>275923.94741120003</v>
      </c>
      <c r="N65" s="6">
        <f>'12_MODELO'!G65-'12_MODELO'!M65</f>
        <v>119431.33862080006</v>
      </c>
      <c r="O65" s="6">
        <f>MIN('12_MODELO'!AC64*'12_MODELO'!BH65,'12_MODELO'!AC64-'12_MODELO'!AD64+'12_MODELO'!AB65)</f>
        <v>26720.0</v>
      </c>
      <c r="P65" s="6">
        <f>'12_MODELO'!N65-'12_MODELO'!O65</f>
        <v>92711.33862080006</v>
      </c>
      <c r="Q65" s="6">
        <f>'12_MODELO'!AG64*'12_MODELO'!BG65</f>
        <v>7968.0</v>
      </c>
      <c r="R65" s="6">
        <f>'12_MODELO'!P65-'12_MODELO'!Q65</f>
        <v>84743.33862080006</v>
      </c>
      <c r="S65" s="6">
        <f>MAX(0,'12_MODELO'!R65)*'12_MODELO'!BF65</f>
        <v>28812.735131072022</v>
      </c>
      <c r="T65" s="6">
        <f>'12_MODELO'!R65-'12_MODELO'!S65</f>
        <v>55930.60348972803</v>
      </c>
      <c r="U65" s="6">
        <f>'12_MODELO'!C65*'12_MODELO'!BB65/30</f>
        <v>2325619.3296000008</v>
      </c>
      <c r="V65" s="6">
        <f>'12_MODELO'!F65*'12_MODELO'!BC65/30</f>
        <v>1637236.0080384007</v>
      </c>
      <c r="W65" s="6">
        <f>'12_MODELO'!F65+'12_MODELO'!V65-'12_MODELO'!V64</f>
        <v>1016583.2062848005</v>
      </c>
      <c r="X65" s="6">
        <f>'12_MODELO'!F65*'12_MODELO'!BD65/30</f>
        <v>1227927.0060288005</v>
      </c>
      <c r="Y65" s="6">
        <f>'12_MODELO'!H65*20%</f>
        <v>25000.0</v>
      </c>
      <c r="Z65" s="6">
        <f>'12_MODELO'!D65</f>
        <v>131785.09534400006</v>
      </c>
      <c r="AA65" s="6">
        <f>'12_MODELO'!S65</f>
        <v>28812.735131072022</v>
      </c>
      <c r="AB65" s="6">
        <f>'08_PREMISSAS'!V65</f>
        <v>22000.0</v>
      </c>
      <c r="AC65" s="6">
        <f>'12_MODELO'!AC64+'12_MODELO'!AB65</f>
        <v>2694000.0</v>
      </c>
      <c r="AD65" s="6">
        <f>'12_MODELO'!AD64+'12_MODELO'!O65</f>
        <v>872780.0</v>
      </c>
      <c r="AE65" s="6">
        <f>'08_PREMISSAS'!W65</f>
        <v>0.0</v>
      </c>
      <c r="AF65" s="6">
        <f>'08_PREMISSAS'!X65</f>
        <v>18000.0</v>
      </c>
      <c r="AG65" s="6">
        <f>'12_MODELO'!AG64+'12_MODELO'!AE65-'12_MODELO'!AF65</f>
        <v>646000.0</v>
      </c>
      <c r="AH65" s="6">
        <f>'08_PREMISSAS'!Y65</f>
        <v>0.0</v>
      </c>
      <c r="AI65" s="6">
        <f>'12_MODELO'!AI64</f>
        <v>3900000.0</v>
      </c>
      <c r="AJ65" s="6">
        <f>'12_MODELO'!AJ64+'12_MODELO'!T65-'12_MODELO'!AH65</f>
        <v>1398592.65953852</v>
      </c>
      <c r="AK65" s="6">
        <f>'12_MODELO'!U64+'12_MODELO'!C65-'12_MODELO'!U65</f>
        <v>1559914.7312000003</v>
      </c>
      <c r="AL65" s="6">
        <f>'12_MODELO'!X64+'12_MODELO'!W65-'12_MODELO'!X65</f>
        <v>1021600.1803392002</v>
      </c>
      <c r="AM65" s="6">
        <f>'12_MODELO'!M65+'12_MODELO'!Y64-'12_MODELO'!Y65</f>
        <v>275923.94741120003</v>
      </c>
      <c r="AN65" s="6">
        <f>'12_MODELO'!Z64+'12_MODELO'!D65-'12_MODELO'!Z65</f>
        <v>132323.53321600004</v>
      </c>
      <c r="AO65" s="6">
        <f>'12_MODELO'!AA64+'12_MODELO'!S65-'12_MODELO'!AA65</f>
        <v>29571.584174207983</v>
      </c>
      <c r="AP65" s="6">
        <f>'12_MODELO'!AK65-'12_MODELO'!AL65-'12_MODELO'!AM65-'12_MODELO'!AN65-'12_MODELO'!Q65-'12_MODELO'!AO65</f>
        <v>92527.48605939203</v>
      </c>
      <c r="AQ65" s="6">
        <f>'12_MODELO'!T65+'12_MODELO'!O65-('12_MODELO'!U65-'12_MODELO'!U64)-('12_MODELO'!V65-'12_MODELO'!V64)+('12_MODELO'!X65-'12_MODELO'!X64)+('12_MODELO'!Y65-'12_MODELO'!Y64)+('12_MODELO'!Z65-'12_MODELO'!Z64)+('12_MODELO'!AA65-'12_MODELO'!AA64)</f>
        <v>92527.48605939161</v>
      </c>
      <c r="AR65" s="6">
        <f>-'12_MODELO'!AB65</f>
        <v>-22000.0</v>
      </c>
      <c r="AS65" s="6">
        <f>'12_MODELO'!AE65-'12_MODELO'!AF65-'12_MODELO'!AH65</f>
        <v>-18000.0</v>
      </c>
      <c r="AT65" s="6">
        <f>'12_MODELO'!AQ65+'12_MODELO'!AR65+'12_MODELO'!AS65</f>
        <v>52527.48605939161</v>
      </c>
      <c r="AU65" s="6">
        <f>'12_MODELO'!AV64</f>
        <v>1521514.6723445999</v>
      </c>
      <c r="AV65" s="6">
        <f>'12_MODELO'!AU65+'12_MODELO'!AT65</f>
        <v>1574042.1584039915</v>
      </c>
      <c r="AW65" s="6">
        <f>'12_MODELO'!AV65+'12_MODELO'!U65+'12_MODELO'!V65+'12_MODELO'!AC65-'12_MODELO'!AD65</f>
        <v>7358117.496042393</v>
      </c>
      <c r="AX65" s="6">
        <f>'12_MODELO'!X65+'12_MODELO'!Y65+'12_MODELO'!Z65+'12_MODELO'!AA65+'12_MODELO'!AG65</f>
        <v>2059524.8365038726</v>
      </c>
      <c r="AY65" s="6">
        <f>'12_MODELO'!AI65+'12_MODELO'!AJ65</f>
        <v>5298592.6595385205</v>
      </c>
      <c r="AZ65" s="6">
        <f>'12_MODELO'!AW65-'12_MODELO'!AX65-'12_MODELO'!AY65</f>
        <v>0.0</v>
      </c>
      <c r="BA65" s="6">
        <f>'12_MODELO'!AP65-'12_MODELO'!AQ65</f>
        <v>4.220055416226387e-10</v>
      </c>
      <c r="BB65" s="6">
        <f>'08_PREMISSAS'!O65</f>
        <v>45.0</v>
      </c>
      <c r="BC65" s="6">
        <f>'08_PREMISSAS'!P65</f>
        <v>48.0</v>
      </c>
      <c r="BD65" s="6">
        <f>'08_PREMISSAS'!Q65</f>
        <v>36.0</v>
      </c>
      <c r="BE65" s="9">
        <f>'08_PREMISSAS'!R65</f>
        <v>0.085</v>
      </c>
      <c r="BF65" s="9">
        <f>'08_PREMISSAS'!S65</f>
        <v>0.34</v>
      </c>
      <c r="BG65" s="9">
        <f>'08_PREMISSAS'!T65</f>
        <v>0.012</v>
      </c>
      <c r="BH65" s="9">
        <f>'08_PREMISSAS'!U65</f>
        <v>0.01</v>
      </c>
      <c r="BI65" s="9">
        <f>IFERROR('12_MODELO'!N65/'12_MODELO'!E65,0)</f>
        <v>0.08418793102304697</v>
      </c>
      <c r="BJ65" s="9">
        <f>IFERROR('12_MODELO'!T65/'12_MODELO'!E65,0)</f>
        <v>0.03942584788085557</v>
      </c>
      <c r="BK65" s="6">
        <f>'12_MODELO'!AQ65+'12_MODELO'!AR65</f>
        <v>70527.48605939161</v>
      </c>
      <c r="BL65" s="6">
        <f>'12_MODELO'!U65+'12_MODELO'!V65-'12_MODELO'!X65-'12_MODELO'!Y65-'12_MODELO'!Z65-'12_MODELO'!AA65</f>
        <v>2549330.5011345292</v>
      </c>
      <c r="BM65" s="6">
        <f>'12_MODELO'!AG65-'12_MODELO'!AV65</f>
        <v>-928042.1584039915</v>
      </c>
      <c r="BN65" s="6">
        <f>0</f>
        <v>0</v>
      </c>
      <c r="BO65" s="6">
        <f>'12_MODELO'!AV65+'12_MODELO'!U65+'12_MODELO'!V65</f>
        <v>5536897.496042393</v>
      </c>
      <c r="BP65" s="6">
        <f>'12_MODELO'!AC65-'12_MODELO'!AD65</f>
        <v>1821220.0</v>
      </c>
      <c r="BQ65" s="6">
        <f>MIN('12_MODELO'!AG65,'12_MODELO'!AF65*12)</f>
        <v>216000.0</v>
      </c>
      <c r="BR65" s="6">
        <f>'12_MODELO'!AG65-'12_MODELO'!BQ65</f>
        <v>430000.0</v>
      </c>
      <c r="BS65" s="6">
        <f>'12_MODELO'!AX65-'12_MODELO'!BR65</f>
        <v>1629524.8365038726</v>
      </c>
      <c r="BT65" s="6">
        <f>'12_MODELO'!BR65</f>
        <v>430000.0</v>
      </c>
      <c r="BU65" s="6">
        <f>IFERROR('12_MODELO'!BO65/'12_MODELO'!BS65,0)</f>
        <v>3.397860144262511</v>
      </c>
    </row>
    <row r="66" spans="1:73">
      <c r="A66" s="5">
        <v>46143</v>
      </c>
      <c r="B66" t="s">
        <v>81</v>
      </c>
      <c r="C66" s="6">
        <f>'08_PREMISSAS'!C66*'08_PREMISSAS'!D66</f>
        <v>1623639.9536000001</v>
      </c>
      <c r="D66" s="6">
        <f>'12_MODELO'!C66*'12_MODELO'!BE66</f>
        <v>138009.39605600003</v>
      </c>
      <c r="E66" s="6">
        <f>'12_MODELO'!C66-'12_MODELO'!D66</f>
        <v>1485630.557544</v>
      </c>
      <c r="F66" s="6">
        <f>'12_MODELO'!C66*'08_PREMISSAS'!E66</f>
        <v>1071602.369376</v>
      </c>
      <c r="G66" s="6">
        <f>'12_MODELO'!E66-'12_MODELO'!F66</f>
        <v>414028.18816799996</v>
      </c>
      <c r="H66" s="6">
        <f>'08_PREMISSAS'!J66</f>
        <v>125000.0</v>
      </c>
      <c r="I66" s="6">
        <f>'12_MODELO'!C66*'08_PREMISSAS'!F66</f>
        <v>56827.39837600001</v>
      </c>
      <c r="J66" s="6">
        <f>'08_PREMISSAS'!L66</f>
        <v>37000.0</v>
      </c>
      <c r="K66" s="6">
        <f>'08_PREMISSAS'!M66</f>
        <v>24000.0</v>
      </c>
      <c r="L66" s="6">
        <f>'12_MODELO'!C66*'08_PREMISSAS'!G66</f>
        <v>37343.7189328</v>
      </c>
      <c r="M66" s="6">
        <f>SUM('12_MODELO'!H66:'12_MODELO'!L66)</f>
        <v>280171.1173088</v>
      </c>
      <c r="N66" s="6">
        <f>'12_MODELO'!G66-'12_MODELO'!M66</f>
        <v>133857.07085919997</v>
      </c>
      <c r="O66" s="6">
        <f>MIN('12_MODELO'!AC65*'12_MODELO'!BH66,'12_MODELO'!AC65-'12_MODELO'!AD65+'12_MODELO'!AB66)</f>
        <v>26940.0</v>
      </c>
      <c r="P66" s="6">
        <f>'12_MODELO'!N66-'12_MODELO'!O66</f>
        <v>106917.07085919997</v>
      </c>
      <c r="Q66" s="6">
        <f>'12_MODELO'!AG65*'12_MODELO'!BG66</f>
        <v>7752.0</v>
      </c>
      <c r="R66" s="6">
        <f>'12_MODELO'!P66-'12_MODELO'!Q66</f>
        <v>99165.07085919997</v>
      </c>
      <c r="S66" s="6">
        <f>MAX(0,'12_MODELO'!R66)*'12_MODELO'!BF66</f>
        <v>33716.12409212799</v>
      </c>
      <c r="T66" s="6">
        <f>'12_MODELO'!R66-'12_MODELO'!S66</f>
        <v>65448.94676707198</v>
      </c>
      <c r="U66" s="6">
        <f>'12_MODELO'!C66*'12_MODELO'!BB66/30</f>
        <v>2435459.9304</v>
      </c>
      <c r="V66" s="6">
        <f>'12_MODELO'!F66*'12_MODELO'!BC66/30</f>
        <v>1714563.7910016</v>
      </c>
      <c r="W66" s="6">
        <f>'12_MODELO'!F66+'12_MODELO'!V66-'12_MODELO'!V65</f>
        <v>1148930.1523391996</v>
      </c>
      <c r="X66" s="6">
        <f>'12_MODELO'!F66*'12_MODELO'!BD66/30</f>
        <v>1285922.8432512</v>
      </c>
      <c r="Y66" s="6">
        <f>'12_MODELO'!H66*20%</f>
        <v>25000.0</v>
      </c>
      <c r="Z66" s="6">
        <f>'12_MODELO'!D66</f>
        <v>138009.39605600003</v>
      </c>
      <c r="AA66" s="6">
        <f>'12_MODELO'!S66</f>
        <v>33716.12409212799</v>
      </c>
      <c r="AB66" s="6">
        <f>'08_PREMISSAS'!V66</f>
        <v>22000.0</v>
      </c>
      <c r="AC66" s="6">
        <f>'12_MODELO'!AC65+'12_MODELO'!AB66</f>
        <v>2716000.0</v>
      </c>
      <c r="AD66" s="6">
        <f>'12_MODELO'!AD65+'12_MODELO'!O66</f>
        <v>899720.0</v>
      </c>
      <c r="AE66" s="6">
        <f>'08_PREMISSAS'!W66</f>
        <v>0.0</v>
      </c>
      <c r="AF66" s="6">
        <f>'08_PREMISSAS'!X66</f>
        <v>18000.0</v>
      </c>
      <c r="AG66" s="6">
        <f>'12_MODELO'!AG65+'12_MODELO'!AE66-'12_MODELO'!AF66</f>
        <v>628000.0</v>
      </c>
      <c r="AH66" s="6">
        <f>'08_PREMISSAS'!Y66</f>
        <v>0.0</v>
      </c>
      <c r="AI66" s="6">
        <f>'12_MODELO'!AI65</f>
        <v>3900000.0</v>
      </c>
      <c r="AJ66" s="6">
        <f>'12_MODELO'!AJ65+'12_MODELO'!T66-'12_MODELO'!AH66</f>
        <v>1464041.606305592</v>
      </c>
      <c r="AK66" s="6">
        <f>'12_MODELO'!U65+'12_MODELO'!C66-'12_MODELO'!U66</f>
        <v>1513799.352800001</v>
      </c>
      <c r="AL66" s="6">
        <f>'12_MODELO'!X65+'12_MODELO'!W66-'12_MODELO'!X66</f>
        <v>1090934.3151168</v>
      </c>
      <c r="AM66" s="6">
        <f>'12_MODELO'!M66+'12_MODELO'!Y65-'12_MODELO'!Y66</f>
        <v>280171.1173088</v>
      </c>
      <c r="AN66" s="6">
        <f>'12_MODELO'!Z65+'12_MODELO'!D66-'12_MODELO'!Z66</f>
        <v>131785.09534400003</v>
      </c>
      <c r="AO66" s="6">
        <f>'12_MODELO'!AA65+'12_MODELO'!S66-'12_MODELO'!AA66</f>
        <v>28812.73513107202</v>
      </c>
      <c r="AP66" s="6">
        <f>'12_MODELO'!AK66-'12_MODELO'!AL66-'12_MODELO'!AM66-'12_MODELO'!AN66-'12_MODELO'!Q66-'12_MODELO'!AO66</f>
        <v>-25655.91010067102</v>
      </c>
      <c r="AQ66" s="6">
        <f>'12_MODELO'!T66+'12_MODELO'!O66-('12_MODELO'!U66-'12_MODELO'!U65)-('12_MODELO'!V66-'12_MODELO'!V65)+('12_MODELO'!X66-'12_MODELO'!X65)+('12_MODELO'!Y66-'12_MODELO'!Y65)+('12_MODELO'!Z66-'12_MODELO'!Z65)+('12_MODELO'!AA66-'12_MODELO'!AA65)</f>
        <v>-25655.910100671157</v>
      </c>
      <c r="AR66" s="6">
        <f>-'12_MODELO'!AB66</f>
        <v>-22000.0</v>
      </c>
      <c r="AS66" s="6">
        <f>'12_MODELO'!AE66-'12_MODELO'!AF66-'12_MODELO'!AH66</f>
        <v>-18000.0</v>
      </c>
      <c r="AT66" s="6">
        <f>'12_MODELO'!AQ66+'12_MODELO'!AR66+'12_MODELO'!AS66</f>
        <v>-65655.91010067116</v>
      </c>
      <c r="AU66" s="6">
        <f>'12_MODELO'!AV65</f>
        <v>1574042.1584039915</v>
      </c>
      <c r="AV66" s="6">
        <f>'12_MODELO'!AU66+'12_MODELO'!AT66</f>
        <v>1508386.2483033203</v>
      </c>
      <c r="AW66" s="6">
        <f>'12_MODELO'!AV66+'12_MODELO'!U66+'12_MODELO'!V66+'12_MODELO'!AC66-'12_MODELO'!AD66</f>
        <v>7474689.96970492</v>
      </c>
      <c r="AX66" s="6">
        <f>'12_MODELO'!X66+'12_MODELO'!Y66+'12_MODELO'!Z66+'12_MODELO'!AA66+'12_MODELO'!AG66</f>
        <v>2110648.3633993277</v>
      </c>
      <c r="AY66" s="6">
        <f>'12_MODELO'!AI66+'12_MODELO'!AJ66</f>
        <v>5364041.606305592</v>
      </c>
      <c r="AZ66" s="6">
        <f>'12_MODELO'!AW66-'12_MODELO'!AX66-'12_MODELO'!AY66</f>
        <v>9.313225746154785e-10</v>
      </c>
      <c r="BA66" s="6">
        <f>'12_MODELO'!AP66-'12_MODELO'!AQ66</f>
        <v>1.382431946694851e-10</v>
      </c>
      <c r="BB66" s="6">
        <f>'08_PREMISSAS'!O66</f>
        <v>45.0</v>
      </c>
      <c r="BC66" s="6">
        <f>'08_PREMISSAS'!P66</f>
        <v>48.0</v>
      </c>
      <c r="BD66" s="6">
        <f>'08_PREMISSAS'!Q66</f>
        <v>36.0</v>
      </c>
      <c r="BE66" s="9">
        <f>'08_PREMISSAS'!R66</f>
        <v>0.085</v>
      </c>
      <c r="BF66" s="9">
        <f>'08_PREMISSAS'!S66</f>
        <v>0.34</v>
      </c>
      <c r="BG66" s="9">
        <f>'08_PREMISSAS'!T66</f>
        <v>0.012</v>
      </c>
      <c r="BH66" s="9">
        <f>'08_PREMISSAS'!U66</f>
        <v>0.01</v>
      </c>
      <c r="BI66" s="9">
        <f>IFERROR('12_MODELO'!N66/'12_MODELO'!E66,0)</f>
        <v>0.09010118308315392</v>
      </c>
      <c r="BJ66" s="9">
        <f>IFERROR('12_MODELO'!T66/'12_MODELO'!E66,0)</f>
        <v>0.04405465843087546</v>
      </c>
      <c r="BK66" s="6">
        <f>'12_MODELO'!AQ66+'12_MODELO'!AR66</f>
        <v>-47655.91010067116</v>
      </c>
      <c r="BL66" s="6">
        <f>'12_MODELO'!U66+'12_MODELO'!V66-'12_MODELO'!X66-'12_MODELO'!Y66-'12_MODELO'!Z66-'12_MODELO'!AA66</f>
        <v>2667375.358002272</v>
      </c>
      <c r="BM66" s="6">
        <f>'12_MODELO'!AG66-'12_MODELO'!AV66</f>
        <v>-880386.2483033203</v>
      </c>
      <c r="BN66" s="6">
        <f>0</f>
        <v>0</v>
      </c>
      <c r="BO66" s="6">
        <f>'12_MODELO'!AV66+'12_MODELO'!U66+'12_MODELO'!V66</f>
        <v>5658409.96970492</v>
      </c>
      <c r="BP66" s="6">
        <f>'12_MODELO'!AC66-'12_MODELO'!AD66</f>
        <v>1816280.0</v>
      </c>
      <c r="BQ66" s="6">
        <f>MIN('12_MODELO'!AG66,'12_MODELO'!AF66*12)</f>
        <v>216000.0</v>
      </c>
      <c r="BR66" s="6">
        <f>'12_MODELO'!AG66-'12_MODELO'!BQ66</f>
        <v>412000.0</v>
      </c>
      <c r="BS66" s="6">
        <f>'12_MODELO'!AX66-'12_MODELO'!BR66</f>
        <v>1698648.3633993277</v>
      </c>
      <c r="BT66" s="6">
        <f>'12_MODELO'!BR66</f>
        <v>412000.0</v>
      </c>
      <c r="BU66" s="6">
        <f>IFERROR('12_MODELO'!BO66/'12_MODELO'!BS66,0)</f>
        <v>3.3311249647816075</v>
      </c>
    </row>
    <row r="67" spans="1:73">
      <c r="A67" s="5">
        <v>46174</v>
      </c>
      <c r="B67" t="s">
        <v>81</v>
      </c>
      <c r="C67" s="6">
        <f>'08_PREMISSAS'!C67*'08_PREMISSAS'!D67</f>
        <v>1647700.2863999999</v>
      </c>
      <c r="D67" s="6">
        <f>'12_MODELO'!C67*'12_MODELO'!BE67</f>
        <v>140054.524344</v>
      </c>
      <c r="E67" s="6">
        <f>'12_MODELO'!C67-'12_MODELO'!D67</f>
        <v>1507645.7620559998</v>
      </c>
      <c r="F67" s="6">
        <f>'12_MODELO'!C67*'08_PREMISSAS'!E67</f>
        <v>1087482.189024</v>
      </c>
      <c r="G67" s="6">
        <f>'12_MODELO'!E67-'12_MODELO'!F67</f>
        <v>420163.57303199987</v>
      </c>
      <c r="H67" s="6">
        <f>'08_PREMISSAS'!J67</f>
        <v>125000.0</v>
      </c>
      <c r="I67" s="6">
        <f>'12_MODELO'!C67*'08_PREMISSAS'!F67</f>
        <v>57669.510024</v>
      </c>
      <c r="J67" s="6">
        <f>'08_PREMISSAS'!L67</f>
        <v>37000.0</v>
      </c>
      <c r="K67" s="6">
        <f>'08_PREMISSAS'!M67</f>
        <v>24000.0</v>
      </c>
      <c r="L67" s="6">
        <f>'12_MODELO'!C67*'08_PREMISSAS'!G67</f>
        <v>37897.106587199996</v>
      </c>
      <c r="M67" s="6">
        <f>SUM('12_MODELO'!H67:'12_MODELO'!L67)</f>
        <v>281566.6166112</v>
      </c>
      <c r="N67" s="6">
        <f>'12_MODELO'!G67-'12_MODELO'!M67</f>
        <v>138596.9564207999</v>
      </c>
      <c r="O67" s="6">
        <f>MIN('12_MODELO'!AC66*'12_MODELO'!BH67,'12_MODELO'!AC66-'12_MODELO'!AD66+'12_MODELO'!AB67)</f>
        <v>27160.0</v>
      </c>
      <c r="P67" s="6">
        <f>'12_MODELO'!N67-'12_MODELO'!O67</f>
        <v>111436.95642079989</v>
      </c>
      <c r="Q67" s="6">
        <f>'12_MODELO'!AG66*'12_MODELO'!BG67</f>
        <v>7536.0</v>
      </c>
      <c r="R67" s="6">
        <f>'12_MODELO'!P67-'12_MODELO'!Q67</f>
        <v>103900.95642079989</v>
      </c>
      <c r="S67" s="6">
        <f>MAX(0,'12_MODELO'!R67)*'12_MODELO'!BF67</f>
        <v>35326.32518307197</v>
      </c>
      <c r="T67" s="6">
        <f>'12_MODELO'!R67-'12_MODELO'!S67</f>
        <v>68574.63123772792</v>
      </c>
      <c r="U67" s="6">
        <f>'12_MODELO'!C67*'12_MODELO'!BB67/30</f>
        <v>2471550.4296</v>
      </c>
      <c r="V67" s="6">
        <f>'12_MODELO'!F67*'12_MODELO'!BC67/30</f>
        <v>1739971.5024384</v>
      </c>
      <c r="W67" s="6">
        <f>'12_MODELO'!F67+'12_MODELO'!V67-'12_MODELO'!V66</f>
        <v>1112889.9004608</v>
      </c>
      <c r="X67" s="6">
        <f>'12_MODELO'!F67*'12_MODELO'!BD67/30</f>
        <v>1304978.6268288</v>
      </c>
      <c r="Y67" s="6">
        <f>'12_MODELO'!H67*20%</f>
        <v>25000.0</v>
      </c>
      <c r="Z67" s="6">
        <f>'12_MODELO'!D67</f>
        <v>140054.524344</v>
      </c>
      <c r="AA67" s="6">
        <f>'12_MODELO'!S67</f>
        <v>35326.32518307197</v>
      </c>
      <c r="AB67" s="6">
        <f>'08_PREMISSAS'!V67</f>
        <v>120000.0</v>
      </c>
      <c r="AC67" s="6">
        <f>'12_MODELO'!AC66+'12_MODELO'!AB67</f>
        <v>2836000.0</v>
      </c>
      <c r="AD67" s="6">
        <f>'12_MODELO'!AD66+'12_MODELO'!O67</f>
        <v>926880.0</v>
      </c>
      <c r="AE67" s="6">
        <f>'08_PREMISSAS'!W67</f>
        <v>0.0</v>
      </c>
      <c r="AF67" s="6">
        <f>'08_PREMISSAS'!X67</f>
        <v>18000.0</v>
      </c>
      <c r="AG67" s="6">
        <f>'12_MODELO'!AG66+'12_MODELO'!AE67-'12_MODELO'!AF67</f>
        <v>610000.0</v>
      </c>
      <c r="AH67" s="6">
        <f>'08_PREMISSAS'!Y67</f>
        <v>0.0</v>
      </c>
      <c r="AI67" s="6">
        <f>'12_MODELO'!AI66</f>
        <v>3900000.0</v>
      </c>
      <c r="AJ67" s="6">
        <f>'12_MODELO'!AJ66+'12_MODELO'!T67-'12_MODELO'!AH67</f>
        <v>1532616.2375433198</v>
      </c>
      <c r="AK67" s="6">
        <f>'12_MODELO'!U66+'12_MODELO'!C67-'12_MODELO'!U67</f>
        <v>1611609.7871999997</v>
      </c>
      <c r="AL67" s="6">
        <f>'12_MODELO'!X66+'12_MODELO'!W67-'12_MODELO'!X67</f>
        <v>1093834.1168831997</v>
      </c>
      <c r="AM67" s="6">
        <f>'12_MODELO'!M67+'12_MODELO'!Y66-'12_MODELO'!Y67</f>
        <v>281566.6166112</v>
      </c>
      <c r="AN67" s="6">
        <f>'12_MODELO'!Z66+'12_MODELO'!D67-'12_MODELO'!Z67</f>
        <v>138009.39605600006</v>
      </c>
      <c r="AO67" s="6">
        <f>'12_MODELO'!AA66+'12_MODELO'!S67-'12_MODELO'!AA67</f>
        <v>33716.124092128</v>
      </c>
      <c r="AP67" s="6">
        <f>'12_MODELO'!AK67-'12_MODELO'!AL67-'12_MODELO'!AM67-'12_MODELO'!AN67-'12_MODELO'!Q67-'12_MODELO'!AO67</f>
        <v>56947.53355747198</v>
      </c>
      <c r="AQ67" s="6">
        <f>'12_MODELO'!T67+'12_MODELO'!O67-('12_MODELO'!U67-'12_MODELO'!U66)-('12_MODELO'!V67-'12_MODELO'!V66)+('12_MODELO'!X67-'12_MODELO'!X66)+('12_MODELO'!Y67-'12_MODELO'!Y66)+('12_MODELO'!Z67-'12_MODELO'!Z66)+('12_MODELO'!AA67-'12_MODELO'!AA66)</f>
        <v>56947.53355747199</v>
      </c>
      <c r="AR67" s="6">
        <f>-'12_MODELO'!AB67</f>
        <v>-120000.0</v>
      </c>
      <c r="AS67" s="6">
        <f>'12_MODELO'!AE67-'12_MODELO'!AF67-'12_MODELO'!AH67</f>
        <v>-18000.0</v>
      </c>
      <c r="AT67" s="6">
        <f>'12_MODELO'!AQ67+'12_MODELO'!AR67+'12_MODELO'!AS67</f>
        <v>-81052.466442528</v>
      </c>
      <c r="AU67" s="6">
        <f>'12_MODELO'!AV66</f>
        <v>1508386.2483033203</v>
      </c>
      <c r="AV67" s="6">
        <f>'12_MODELO'!AU67+'12_MODELO'!AT67</f>
        <v>1427333.7818607923</v>
      </c>
      <c r="AW67" s="6">
        <f>'12_MODELO'!AV67+'12_MODELO'!U67+'12_MODELO'!V67+'12_MODELO'!AC67-'12_MODELO'!AD67</f>
        <v>7547975.7138991915</v>
      </c>
      <c r="AX67" s="6">
        <f>'12_MODELO'!X67+'12_MODELO'!Y67+'12_MODELO'!Z67+'12_MODELO'!AA67+'12_MODELO'!AG67</f>
        <v>2115359.476355872</v>
      </c>
      <c r="AY67" s="6">
        <f>'12_MODELO'!AI67+'12_MODELO'!AJ67</f>
        <v>5432616.23754332</v>
      </c>
      <c r="AZ67" s="6">
        <f>'12_MODELO'!AW67-'12_MODELO'!AX67-'12_MODELO'!AY67</f>
        <v>-9.313225746154785e-10</v>
      </c>
      <c r="BA67" s="6">
        <f>'12_MODELO'!AP67-'12_MODELO'!AQ67</f>
        <v>-7.275957614183426e-12</v>
      </c>
      <c r="BB67" s="6">
        <f>'08_PREMISSAS'!O67</f>
        <v>45.0</v>
      </c>
      <c r="BC67" s="6">
        <f>'08_PREMISSAS'!P67</f>
        <v>48.0</v>
      </c>
      <c r="BD67" s="6">
        <f>'08_PREMISSAS'!Q67</f>
        <v>36.0</v>
      </c>
      <c r="BE67" s="9">
        <f>'08_PREMISSAS'!R67</f>
        <v>0.085</v>
      </c>
      <c r="BF67" s="9">
        <f>'08_PREMISSAS'!S67</f>
        <v>0.34</v>
      </c>
      <c r="BG67" s="9">
        <f>'08_PREMISSAS'!T67</f>
        <v>0.012</v>
      </c>
      <c r="BH67" s="9">
        <f>'08_PREMISSAS'!U67</f>
        <v>0.01</v>
      </c>
      <c r="BI67" s="9">
        <f>IFERROR('12_MODELO'!N67/'12_MODELO'!E67,0)</f>
        <v>0.09192939078195204</v>
      </c>
      <c r="BJ67" s="9">
        <f>IFERROR('12_MODELO'!T67/'12_MODELO'!E67,0)</f>
        <v>0.04548457798482559</v>
      </c>
      <c r="BK67" s="6">
        <f>'12_MODELO'!AQ67+'12_MODELO'!AR67</f>
        <v>-63052.46644252801</v>
      </c>
      <c r="BL67" s="6">
        <f>'12_MODELO'!U67+'12_MODELO'!V67-'12_MODELO'!X67-'12_MODELO'!Y67-'12_MODELO'!Z67-'12_MODELO'!AA67</f>
        <v>2706162.455682528</v>
      </c>
      <c r="BM67" s="6">
        <f>'12_MODELO'!AG67-'12_MODELO'!AV67</f>
        <v>-817333.7818607923</v>
      </c>
      <c r="BN67" s="6">
        <f>0</f>
        <v>0</v>
      </c>
      <c r="BO67" s="6">
        <f>'12_MODELO'!AV67+'12_MODELO'!U67+'12_MODELO'!V67</f>
        <v>5638855.713899192</v>
      </c>
      <c r="BP67" s="6">
        <f>'12_MODELO'!AC67-'12_MODELO'!AD67</f>
        <v>1909120.0</v>
      </c>
      <c r="BQ67" s="6">
        <f>MIN('12_MODELO'!AG67,'12_MODELO'!AF67*12)</f>
        <v>216000.0</v>
      </c>
      <c r="BR67" s="6">
        <f>'12_MODELO'!AG67-'12_MODELO'!BQ67</f>
        <v>394000.0</v>
      </c>
      <c r="BS67" s="6">
        <f>'12_MODELO'!AX67-'12_MODELO'!BR67</f>
        <v>1721359.4763558721</v>
      </c>
      <c r="BT67" s="6">
        <f>'12_MODELO'!BR67</f>
        <v>394000.0</v>
      </c>
      <c r="BU67" s="6">
        <f>IFERROR('12_MODELO'!BO67/'12_MODELO'!BS67,0)</f>
        <v>3.2758153025866985</v>
      </c>
    </row>
    <row r="68" spans="1:73">
      <c r="A68" s="5">
        <v>46204</v>
      </c>
      <c r="B68" t="s">
        <v>81</v>
      </c>
      <c r="C68" s="6">
        <f>'08_PREMISSAS'!C68*'08_PREMISSAS'!D68</f>
        <v>1352189.9776</v>
      </c>
      <c r="D68" s="6">
        <f>'12_MODELO'!C68*'12_MODELO'!BE68</f>
        <v>114936.14809600002</v>
      </c>
      <c r="E68" s="6">
        <f>'12_MODELO'!C68-'12_MODELO'!D68</f>
        <v>1237253.829504</v>
      </c>
      <c r="F68" s="6">
        <f>'12_MODELO'!C68*'08_PREMISSAS'!E68</f>
        <v>892445.3852160001</v>
      </c>
      <c r="G68" s="6">
        <f>'12_MODELO'!E68-'12_MODELO'!F68</f>
        <v>344808.4442879999</v>
      </c>
      <c r="H68" s="6">
        <f>'08_PREMISSAS'!J68</f>
        <v>125000.0</v>
      </c>
      <c r="I68" s="6">
        <f>'12_MODELO'!C68*'08_PREMISSAS'!F68</f>
        <v>47326.649216000005</v>
      </c>
      <c r="J68" s="6">
        <f>'08_PREMISSAS'!L68</f>
        <v>37000.0</v>
      </c>
      <c r="K68" s="6">
        <f>'08_PREMISSAS'!M68</f>
        <v>24000.0</v>
      </c>
      <c r="L68" s="6">
        <f>'12_MODELO'!C68*'08_PREMISSAS'!G68</f>
        <v>31100.3694848</v>
      </c>
      <c r="M68" s="6">
        <f>SUM('12_MODELO'!H68:'12_MODELO'!L68)</f>
        <v>264427.0187008</v>
      </c>
      <c r="N68" s="6">
        <f>'12_MODELO'!G68-'12_MODELO'!M68</f>
        <v>80381.42558719986</v>
      </c>
      <c r="O68" s="6">
        <f>MIN('12_MODELO'!AC67*'12_MODELO'!BH68,'12_MODELO'!AC67-'12_MODELO'!AD67+'12_MODELO'!AB68)</f>
        <v>28360.0</v>
      </c>
      <c r="P68" s="6">
        <f>'12_MODELO'!N68-'12_MODELO'!O68</f>
        <v>52021.42558719986</v>
      </c>
      <c r="Q68" s="6">
        <f>'12_MODELO'!AG67*'12_MODELO'!BG68</f>
        <v>7320.0</v>
      </c>
      <c r="R68" s="6">
        <f>'12_MODELO'!P68-'12_MODELO'!Q68</f>
        <v>44701.42558719986</v>
      </c>
      <c r="S68" s="6">
        <f>MAX(0,'12_MODELO'!R68)*'12_MODELO'!BF68</f>
        <v>15198.484699647954</v>
      </c>
      <c r="T68" s="6">
        <f>'12_MODELO'!R68-'12_MODELO'!S68</f>
        <v>29502.940887551908</v>
      </c>
      <c r="U68" s="6">
        <f>'12_MODELO'!C68*'12_MODELO'!BB68/30</f>
        <v>2028284.9664000003</v>
      </c>
      <c r="V68" s="6">
        <f>'12_MODELO'!F68*'12_MODELO'!BC68/30</f>
        <v>1427912.6163456002</v>
      </c>
      <c r="W68" s="6">
        <f>'12_MODELO'!F68+'12_MODELO'!V68-'12_MODELO'!V67</f>
        <v>580386.4991232003</v>
      </c>
      <c r="X68" s="6">
        <f>'12_MODELO'!F68*'12_MODELO'!BD68/30</f>
        <v>1070934.4622592002</v>
      </c>
      <c r="Y68" s="6">
        <f>'12_MODELO'!H68*20%</f>
        <v>25000.0</v>
      </c>
      <c r="Z68" s="6">
        <f>'12_MODELO'!D68</f>
        <v>114936.14809600002</v>
      </c>
      <c r="AA68" s="6">
        <f>'12_MODELO'!S68</f>
        <v>15198.484699647954</v>
      </c>
      <c r="AB68" s="6">
        <f>'08_PREMISSAS'!V68</f>
        <v>22000.0</v>
      </c>
      <c r="AC68" s="6">
        <f>'12_MODELO'!AC67+'12_MODELO'!AB68</f>
        <v>2858000.0</v>
      </c>
      <c r="AD68" s="6">
        <f>'12_MODELO'!AD67+'12_MODELO'!O68</f>
        <v>955240.0</v>
      </c>
      <c r="AE68" s="6">
        <f>'08_PREMISSAS'!W68</f>
        <v>0.0</v>
      </c>
      <c r="AF68" s="6">
        <f>'08_PREMISSAS'!X68</f>
        <v>18000.0</v>
      </c>
      <c r="AG68" s="6">
        <f>'12_MODELO'!AG67+'12_MODELO'!AE68-'12_MODELO'!AF68</f>
        <v>592000.0</v>
      </c>
      <c r="AH68" s="6">
        <f>'08_PREMISSAS'!Y68</f>
        <v>0.0</v>
      </c>
      <c r="AI68" s="6">
        <f>'12_MODELO'!AI67</f>
        <v>3900000.0</v>
      </c>
      <c r="AJ68" s="6">
        <f>'12_MODELO'!AJ67+'12_MODELO'!T68-'12_MODELO'!AH68</f>
        <v>1562119.1784308718</v>
      </c>
      <c r="AK68" s="6">
        <f>'12_MODELO'!U67+'12_MODELO'!C68-'12_MODELO'!U68</f>
        <v>1795455.4408</v>
      </c>
      <c r="AL68" s="6">
        <f>'12_MODELO'!X67+'12_MODELO'!W68-'12_MODELO'!X68</f>
        <v>814430.6636928001</v>
      </c>
      <c r="AM68" s="6">
        <f>'12_MODELO'!M68+'12_MODELO'!Y67-'12_MODELO'!Y68</f>
        <v>264427.0187008</v>
      </c>
      <c r="AN68" s="6">
        <f>'12_MODELO'!Z67+'12_MODELO'!D68-'12_MODELO'!Z68</f>
        <v>140054.524344</v>
      </c>
      <c r="AO68" s="6">
        <f>'12_MODELO'!AA67+'12_MODELO'!S68-'12_MODELO'!AA68</f>
        <v>35326.32518307197</v>
      </c>
      <c r="AP68" s="6">
        <f>'12_MODELO'!AK68-'12_MODELO'!AL68-'12_MODELO'!AM68-'12_MODELO'!AN68-'12_MODELO'!Q68-'12_MODELO'!AO68</f>
        <v>533896.9088793278</v>
      </c>
      <c r="AQ68" s="6">
        <f>'12_MODELO'!T68+'12_MODELO'!O68-('12_MODELO'!U68-'12_MODELO'!U67)-('12_MODELO'!V68-'12_MODELO'!V67)+('12_MODELO'!X68-'12_MODELO'!X67)+('12_MODELO'!Y68-'12_MODELO'!Y67)+('12_MODELO'!Z68-'12_MODELO'!Z67)+('12_MODELO'!AA68-'12_MODELO'!AA67)</f>
        <v>533896.9088793276</v>
      </c>
      <c r="AR68" s="6">
        <f>-'12_MODELO'!AB68</f>
        <v>-22000.0</v>
      </c>
      <c r="AS68" s="6">
        <f>'12_MODELO'!AE68-'12_MODELO'!AF68-'12_MODELO'!AH68</f>
        <v>-18000.0</v>
      </c>
      <c r="AT68" s="6">
        <f>'12_MODELO'!AQ68+'12_MODELO'!AR68+'12_MODELO'!AS68</f>
        <v>493896.9088793276</v>
      </c>
      <c r="AU68" s="6">
        <f>'12_MODELO'!AV67</f>
        <v>1427333.7818607923</v>
      </c>
      <c r="AV68" s="6">
        <f>'12_MODELO'!AU68+'12_MODELO'!AT68</f>
        <v>1921230.69074012</v>
      </c>
      <c r="AW68" s="6">
        <f>'12_MODELO'!AV68+'12_MODELO'!U68+'12_MODELO'!V68+'12_MODELO'!AC68-'12_MODELO'!AD68</f>
        <v>7280188.27348572</v>
      </c>
      <c r="AX68" s="6">
        <f>'12_MODELO'!X68+'12_MODELO'!Y68+'12_MODELO'!Z68+'12_MODELO'!AA68+'12_MODELO'!AG68</f>
        <v>1818069.0950548481</v>
      </c>
      <c r="AY68" s="6">
        <f>'12_MODELO'!AI68+'12_MODELO'!AJ68</f>
        <v>5462119.178430872</v>
      </c>
      <c r="AZ68" s="6">
        <f>'12_MODELO'!AW68-'12_MODELO'!AX68-'12_MODELO'!AY68</f>
        <v>0.0</v>
      </c>
      <c r="BA68" s="6">
        <f>'12_MODELO'!AP68-'12_MODELO'!AQ68</f>
        <v>2.3283064365386963e-10</v>
      </c>
      <c r="BB68" s="6">
        <f>'08_PREMISSAS'!O68</f>
        <v>45.0</v>
      </c>
      <c r="BC68" s="6">
        <f>'08_PREMISSAS'!P68</f>
        <v>48.0</v>
      </c>
      <c r="BD68" s="6">
        <f>'08_PREMISSAS'!Q68</f>
        <v>36.0</v>
      </c>
      <c r="BE68" s="9">
        <f>'08_PREMISSAS'!R68</f>
        <v>0.085</v>
      </c>
      <c r="BF68" s="9">
        <f>'08_PREMISSAS'!S68</f>
        <v>0.34</v>
      </c>
      <c r="BG68" s="9">
        <f>'08_PREMISSAS'!T68</f>
        <v>0.012</v>
      </c>
      <c r="BH68" s="9">
        <f>'08_PREMISSAS'!U68</f>
        <v>0.01</v>
      </c>
      <c r="BI68" s="9">
        <f>IFERROR('12_MODELO'!N68/'12_MODELO'!E68,0)</f>
        <v>0.06496761106766895</v>
      </c>
      <c r="BJ68" s="9">
        <f>IFERROR('12_MODELO'!T68/'12_MODELO'!E68,0)</f>
        <v>0.023845503795594858</v>
      </c>
      <c r="BK68" s="6">
        <f>'12_MODELO'!AQ68+'12_MODELO'!AR68</f>
        <v>511896.9088793276</v>
      </c>
      <c r="BL68" s="6">
        <f>'12_MODELO'!U68+'12_MODELO'!V68-'12_MODELO'!X68-'12_MODELO'!Y68-'12_MODELO'!Z68-'12_MODELO'!AA68</f>
        <v>2230128.4876907524</v>
      </c>
      <c r="BM68" s="6">
        <f>'12_MODELO'!AG68-'12_MODELO'!AV68</f>
        <v>-1329230.69074012</v>
      </c>
      <c r="BN68" s="6">
        <f>0</f>
        <v>0</v>
      </c>
      <c r="BO68" s="6">
        <f>'12_MODELO'!AV68+'12_MODELO'!U68+'12_MODELO'!V68</f>
        <v>5377428.27348572</v>
      </c>
      <c r="BP68" s="6">
        <f>'12_MODELO'!AC68-'12_MODELO'!AD68</f>
        <v>1902760.0</v>
      </c>
      <c r="BQ68" s="6">
        <f>MIN('12_MODELO'!AG68,'12_MODELO'!AF68*12)</f>
        <v>216000.0</v>
      </c>
      <c r="BR68" s="6">
        <f>'12_MODELO'!AG68-'12_MODELO'!BQ68</f>
        <v>376000.0</v>
      </c>
      <c r="BS68" s="6">
        <f>'12_MODELO'!AX68-'12_MODELO'!BR68</f>
        <v>1442069.0950548481</v>
      </c>
      <c r="BT68" s="6">
        <f>'12_MODELO'!BR68</f>
        <v>376000.0</v>
      </c>
      <c r="BU68" s="6">
        <f>IFERROR('12_MODELO'!BO68/'12_MODELO'!BS68,0)</f>
        <v>3.7289671430627207</v>
      </c>
    </row>
    <row r="69" spans="1:73">
      <c r="A69" s="5">
        <v>46235</v>
      </c>
      <c r="B69" t="s">
        <v>81</v>
      </c>
      <c r="C69" s="6">
        <f>'08_PREMISSAS'!C69*'08_PREMISSAS'!D69</f>
        <v>1454482.2208000002</v>
      </c>
      <c r="D69" s="6">
        <f>'12_MODELO'!C69*'12_MODELO'!BE69</f>
        <v>123630.98876800002</v>
      </c>
      <c r="E69" s="6">
        <f>'12_MODELO'!C69-'12_MODELO'!D69</f>
        <v>1330851.2320320003</v>
      </c>
      <c r="F69" s="6">
        <f>'12_MODELO'!C69*'08_PREMISSAS'!E69</f>
        <v>959958.2657280002</v>
      </c>
      <c r="G69" s="6">
        <f>'12_MODELO'!E69-'12_MODELO'!F69</f>
        <v>370892.9663040001</v>
      </c>
      <c r="H69" s="6">
        <f>'08_PREMISSAS'!J69</f>
        <v>125000.0</v>
      </c>
      <c r="I69" s="6">
        <f>'12_MODELO'!C69*'08_PREMISSAS'!F69</f>
        <v>50906.877728000014</v>
      </c>
      <c r="J69" s="6">
        <f>'08_PREMISSAS'!L69</f>
        <v>37000.0</v>
      </c>
      <c r="K69" s="6">
        <f>'08_PREMISSAS'!M69</f>
        <v>24000.0</v>
      </c>
      <c r="L69" s="6">
        <f>'12_MODELO'!C69*'08_PREMISSAS'!G69</f>
        <v>33453.09107840001</v>
      </c>
      <c r="M69" s="6">
        <f>SUM('12_MODELO'!H69:'12_MODELO'!L69)</f>
        <v>270359.9688064</v>
      </c>
      <c r="N69" s="6">
        <f>'12_MODELO'!G69-'12_MODELO'!M69</f>
        <v>100532.9974976001</v>
      </c>
      <c r="O69" s="6">
        <f>MIN('12_MODELO'!AC68*'12_MODELO'!BH69,'12_MODELO'!AC68-'12_MODELO'!AD68+'12_MODELO'!AB69)</f>
        <v>28580.0</v>
      </c>
      <c r="P69" s="6">
        <f>'12_MODELO'!N69-'12_MODELO'!O69</f>
        <v>71952.9974976001</v>
      </c>
      <c r="Q69" s="6">
        <f>'12_MODELO'!AG68*'12_MODELO'!BG69</f>
        <v>7104.0</v>
      </c>
      <c r="R69" s="6">
        <f>'12_MODELO'!P69-'12_MODELO'!Q69</f>
        <v>64848.997497600096</v>
      </c>
      <c r="S69" s="6">
        <f>MAX(0,'12_MODELO'!R69)*'12_MODELO'!BF69</f>
        <v>22048.659149184034</v>
      </c>
      <c r="T69" s="6">
        <f>'12_MODELO'!R69-'12_MODELO'!S69</f>
        <v>42800.33834841606</v>
      </c>
      <c r="U69" s="6">
        <f>'12_MODELO'!C69*'12_MODELO'!BB69/30</f>
        <v>2181723.3312000004</v>
      </c>
      <c r="V69" s="6">
        <f>'12_MODELO'!F69*'12_MODELO'!BC69/30</f>
        <v>1535933.2251648004</v>
      </c>
      <c r="W69" s="6">
        <f>'12_MODELO'!F69+'12_MODELO'!V69-'12_MODELO'!V68</f>
        <v>1067978.8745472003</v>
      </c>
      <c r="X69" s="6">
        <f>'12_MODELO'!F69*'12_MODELO'!BD69/30</f>
        <v>1151949.9188736002</v>
      </c>
      <c r="Y69" s="6">
        <f>'12_MODELO'!H69*20%</f>
        <v>25000.0</v>
      </c>
      <c r="Z69" s="6">
        <f>'12_MODELO'!D69</f>
        <v>123630.98876800002</v>
      </c>
      <c r="AA69" s="6">
        <f>'12_MODELO'!S69</f>
        <v>22048.659149184034</v>
      </c>
      <c r="AB69" s="6">
        <f>'08_PREMISSAS'!V69</f>
        <v>22000.0</v>
      </c>
      <c r="AC69" s="6">
        <f>'12_MODELO'!AC68+'12_MODELO'!AB69</f>
        <v>2880000.0</v>
      </c>
      <c r="AD69" s="6">
        <f>'12_MODELO'!AD68+'12_MODELO'!O69</f>
        <v>983820.0</v>
      </c>
      <c r="AE69" s="6">
        <f>'08_PREMISSAS'!W69</f>
        <v>0.0</v>
      </c>
      <c r="AF69" s="6">
        <f>'08_PREMISSAS'!X69</f>
        <v>18000.0</v>
      </c>
      <c r="AG69" s="6">
        <f>'12_MODELO'!AG68+'12_MODELO'!AE69-'12_MODELO'!AF69</f>
        <v>574000.0</v>
      </c>
      <c r="AH69" s="6">
        <f>'08_PREMISSAS'!Y69</f>
        <v>0.0</v>
      </c>
      <c r="AI69" s="6">
        <f>'12_MODELO'!AI68</f>
        <v>3900000.0</v>
      </c>
      <c r="AJ69" s="6">
        <f>'12_MODELO'!AJ68+'12_MODELO'!T69-'12_MODELO'!AH69</f>
        <v>1604919.516779288</v>
      </c>
      <c r="AK69" s="6">
        <f>'12_MODELO'!U68+'12_MODELO'!C69-'12_MODELO'!U69</f>
        <v>1301043.8560000001</v>
      </c>
      <c r="AL69" s="6">
        <f>'12_MODELO'!X68+'12_MODELO'!W69-'12_MODELO'!X69</f>
        <v>986963.4179328005</v>
      </c>
      <c r="AM69" s="6">
        <f>'12_MODELO'!M69+'12_MODELO'!Y68-'12_MODELO'!Y69</f>
        <v>270359.9688064</v>
      </c>
      <c r="AN69" s="6">
        <f>'12_MODELO'!Z68+'12_MODELO'!D69-'12_MODELO'!Z69</f>
        <v>114936.14809600003</v>
      </c>
      <c r="AO69" s="6">
        <f>'12_MODELO'!AA68+'12_MODELO'!S69-'12_MODELO'!AA69</f>
        <v>15198.48469964795</v>
      </c>
      <c r="AP69" s="6">
        <f>'12_MODELO'!AK69-'12_MODELO'!AL69-'12_MODELO'!AM69-'12_MODELO'!AN69-'12_MODELO'!Q69-'12_MODELO'!AO69</f>
        <v>-93518.16353484834</v>
      </c>
      <c r="AQ69" s="6">
        <f>'12_MODELO'!T69+'12_MODELO'!O69-('12_MODELO'!U69-'12_MODELO'!U68)-('12_MODELO'!V69-'12_MODELO'!V68)+('12_MODELO'!X69-'12_MODELO'!X68)+('12_MODELO'!Y69-'12_MODELO'!Y68)+('12_MODELO'!Z69-'12_MODELO'!Z68)+('12_MODELO'!AA69-'12_MODELO'!AA68)</f>
        <v>-93518.16353484812</v>
      </c>
      <c r="AR69" s="6">
        <f>-'12_MODELO'!AB69</f>
        <v>-22000.0</v>
      </c>
      <c r="AS69" s="6">
        <f>'12_MODELO'!AE69-'12_MODELO'!AF69-'12_MODELO'!AH69</f>
        <v>-18000.0</v>
      </c>
      <c r="AT69" s="6">
        <f>'12_MODELO'!AQ69+'12_MODELO'!AR69+'12_MODELO'!AS69</f>
        <v>-133518.16353484814</v>
      </c>
      <c r="AU69" s="6">
        <f>'12_MODELO'!AV68</f>
        <v>1921230.69074012</v>
      </c>
      <c r="AV69" s="6">
        <f>'12_MODELO'!AU69+'12_MODELO'!AT69</f>
        <v>1787712.5272052716</v>
      </c>
      <c r="AW69" s="6">
        <f>'12_MODELO'!AV69+'12_MODELO'!U69+'12_MODELO'!V69+'12_MODELO'!AC69-'12_MODELO'!AD69</f>
        <v>7401549.083570072</v>
      </c>
      <c r="AX69" s="6">
        <f>'12_MODELO'!X69+'12_MODELO'!Y69+'12_MODELO'!Z69+'12_MODELO'!AA69+'12_MODELO'!AG69</f>
        <v>1896629.5667907842</v>
      </c>
      <c r="AY69" s="6">
        <f>'12_MODELO'!AI69+'12_MODELO'!AJ69</f>
        <v>5504919.516779288</v>
      </c>
      <c r="AZ69" s="6">
        <f>'12_MODELO'!AW69-'12_MODELO'!AX69-'12_MODELO'!AY69</f>
        <v>9.313225746154785e-10</v>
      </c>
      <c r="BA69" s="6">
        <f>'12_MODELO'!AP69-'12_MODELO'!AQ69</f>
        <v>-2.1827872842550278e-10</v>
      </c>
      <c r="BB69" s="6">
        <f>'08_PREMISSAS'!O69</f>
        <v>45.0</v>
      </c>
      <c r="BC69" s="6">
        <f>'08_PREMISSAS'!P69</f>
        <v>48.0</v>
      </c>
      <c r="BD69" s="6">
        <f>'08_PREMISSAS'!Q69</f>
        <v>36.0</v>
      </c>
      <c r="BE69" s="9">
        <f>'08_PREMISSAS'!R69</f>
        <v>0.085</v>
      </c>
      <c r="BF69" s="9">
        <f>'08_PREMISSAS'!S69</f>
        <v>0.34</v>
      </c>
      <c r="BG69" s="9">
        <f>'08_PREMISSAS'!T69</f>
        <v>0.012</v>
      </c>
      <c r="BH69" s="9">
        <f>'08_PREMISSAS'!U69</f>
        <v>0.01</v>
      </c>
      <c r="BI69" s="9">
        <f>IFERROR('12_MODELO'!N69/'12_MODELO'!E69,0)</f>
        <v>0.07554037226542747</v>
      </c>
      <c r="BJ69" s="9">
        <f>IFERROR('12_MODELO'!T69/'12_MODELO'!E69,0)</f>
        <v>0.03216012227231941</v>
      </c>
      <c r="BK69" s="6">
        <f>'12_MODELO'!AQ69+'12_MODELO'!AR69</f>
        <v>-115518.16353484812</v>
      </c>
      <c r="BL69" s="6">
        <f>'12_MODELO'!U69+'12_MODELO'!V69-'12_MODELO'!X69-'12_MODELO'!Y69-'12_MODELO'!Z69-'12_MODELO'!AA69</f>
        <v>2395026.9895740165</v>
      </c>
      <c r="BM69" s="6">
        <f>'12_MODELO'!AG69-'12_MODELO'!AV69</f>
        <v>-1213712.5272052716</v>
      </c>
      <c r="BN69" s="6">
        <f>0</f>
        <v>0</v>
      </c>
      <c r="BO69" s="6">
        <f>'12_MODELO'!AV69+'12_MODELO'!U69+'12_MODELO'!V69</f>
        <v>5505369.083570072</v>
      </c>
      <c r="BP69" s="6">
        <f>'12_MODELO'!AC69-'12_MODELO'!AD69</f>
        <v>1896180.0</v>
      </c>
      <c r="BQ69" s="6">
        <f>MIN('12_MODELO'!AG69,'12_MODELO'!AF69*12)</f>
        <v>216000.0</v>
      </c>
      <c r="BR69" s="6">
        <f>'12_MODELO'!AG69-'12_MODELO'!BQ69</f>
        <v>358000.0</v>
      </c>
      <c r="BS69" s="6">
        <f>'12_MODELO'!AX69-'12_MODELO'!BR69</f>
        <v>1538629.5667907842</v>
      </c>
      <c r="BT69" s="6">
        <f>'12_MODELO'!BR69</f>
        <v>358000.0</v>
      </c>
      <c r="BU69" s="6">
        <f>IFERROR('12_MODELO'!BO69/'12_MODELO'!BS69,0)</f>
        <v>3.578099110010582</v>
      </c>
    </row>
    <row r="70" spans="1:73">
      <c r="A70" s="5">
        <v>46266</v>
      </c>
      <c r="B70" t="s">
        <v>81</v>
      </c>
      <c r="C70" s="6">
        <f>'08_PREMISSAS'!C70*'08_PREMISSAS'!D70</f>
        <v>1551548.7120000003</v>
      </c>
      <c r="D70" s="6">
        <f>'12_MODELO'!C70*'12_MODELO'!BE70</f>
        <v>131881.64052000004</v>
      </c>
      <c r="E70" s="6">
        <f>'12_MODELO'!C70-'12_MODELO'!D70</f>
        <v>1419667.0714800002</v>
      </c>
      <c r="F70" s="6">
        <f>'12_MODELO'!C70*'08_PREMISSAS'!E70</f>
        <v>1024022.1499200002</v>
      </c>
      <c r="G70" s="6">
        <f>'12_MODELO'!E70-'12_MODELO'!F70</f>
        <v>395644.92155999993</v>
      </c>
      <c r="H70" s="6">
        <f>'08_PREMISSAS'!J70</f>
        <v>125000.0</v>
      </c>
      <c r="I70" s="6">
        <f>'12_MODELO'!C70*'08_PREMISSAS'!F70</f>
        <v>54304.20492000002</v>
      </c>
      <c r="J70" s="6">
        <f>'08_PREMISSAS'!L70</f>
        <v>37000.0</v>
      </c>
      <c r="K70" s="6">
        <f>'08_PREMISSAS'!M70</f>
        <v>24000.0</v>
      </c>
      <c r="L70" s="6">
        <f>'12_MODELO'!C70*'08_PREMISSAS'!G70</f>
        <v>35685.620376000006</v>
      </c>
      <c r="M70" s="6">
        <f>SUM('12_MODELO'!H70:'12_MODELO'!L70)</f>
        <v>275989.825296</v>
      </c>
      <c r="N70" s="6">
        <f>'12_MODELO'!G70-'12_MODELO'!M70</f>
        <v>119655.09626399993</v>
      </c>
      <c r="O70" s="6">
        <f>MIN('12_MODELO'!AC69*'12_MODELO'!BH70,'12_MODELO'!AC69-'12_MODELO'!AD69+'12_MODELO'!AB70)</f>
        <v>28800.0</v>
      </c>
      <c r="P70" s="6">
        <f>'12_MODELO'!N70-'12_MODELO'!O70</f>
        <v>90855.09626399993</v>
      </c>
      <c r="Q70" s="6">
        <f>'12_MODELO'!AG69*'12_MODELO'!BG70</f>
        <v>6888.0</v>
      </c>
      <c r="R70" s="6">
        <f>'12_MODELO'!P70-'12_MODELO'!Q70</f>
        <v>83967.09626399993</v>
      </c>
      <c r="S70" s="6">
        <f>MAX(0,'12_MODELO'!R70)*'12_MODELO'!BF70</f>
        <v>28548.81272975998</v>
      </c>
      <c r="T70" s="6">
        <f>'12_MODELO'!R70-'12_MODELO'!S70</f>
        <v>55418.283534239956</v>
      </c>
      <c r="U70" s="6">
        <f>'12_MODELO'!C70*'12_MODELO'!BB70/30</f>
        <v>2327323.0680000004</v>
      </c>
      <c r="V70" s="6">
        <f>'12_MODELO'!F70*'12_MODELO'!BC70/30</f>
        <v>1638435.4398720004</v>
      </c>
      <c r="W70" s="6">
        <f>'12_MODELO'!F70+'12_MODELO'!V70-'12_MODELO'!V69</f>
        <v>1126524.3646272002</v>
      </c>
      <c r="X70" s="6">
        <f>'12_MODELO'!F70*'12_MODELO'!BD70/30</f>
        <v>1228826.5799040003</v>
      </c>
      <c r="Y70" s="6">
        <f>'12_MODELO'!H70*20%</f>
        <v>25000.0</v>
      </c>
      <c r="Z70" s="6">
        <f>'12_MODELO'!D70</f>
        <v>131881.64052000004</v>
      </c>
      <c r="AA70" s="6">
        <f>'12_MODELO'!S70</f>
        <v>28548.81272975998</v>
      </c>
      <c r="AB70" s="6">
        <f>'08_PREMISSAS'!V70</f>
        <v>120000.0</v>
      </c>
      <c r="AC70" s="6">
        <f>'12_MODELO'!AC69+'12_MODELO'!AB70</f>
        <v>3000000.0</v>
      </c>
      <c r="AD70" s="6">
        <f>'12_MODELO'!AD69+'12_MODELO'!O70</f>
        <v>1012620.0</v>
      </c>
      <c r="AE70" s="6">
        <f>'08_PREMISSAS'!W70</f>
        <v>0.0</v>
      </c>
      <c r="AF70" s="6">
        <f>'08_PREMISSAS'!X70</f>
        <v>18000.0</v>
      </c>
      <c r="AG70" s="6">
        <f>'12_MODELO'!AG69+'12_MODELO'!AE70-'12_MODELO'!AF70</f>
        <v>556000.0</v>
      </c>
      <c r="AH70" s="6">
        <f>'08_PREMISSAS'!Y70</f>
        <v>0.0</v>
      </c>
      <c r="AI70" s="6">
        <f>'12_MODELO'!AI69</f>
        <v>3900000.0</v>
      </c>
      <c r="AJ70" s="6">
        <f>'12_MODELO'!AJ69+'12_MODELO'!T70-'12_MODELO'!AH70</f>
        <v>1660337.800313528</v>
      </c>
      <c r="AK70" s="6">
        <f>'12_MODELO'!U69+'12_MODELO'!C70-'12_MODELO'!U70</f>
        <v>1405948.9752000002</v>
      </c>
      <c r="AL70" s="6">
        <f>'12_MODELO'!X69+'12_MODELO'!W70-'12_MODELO'!X70</f>
        <v>1049647.7035968</v>
      </c>
      <c r="AM70" s="6">
        <f>'12_MODELO'!M70+'12_MODELO'!Y69-'12_MODELO'!Y70</f>
        <v>275989.825296</v>
      </c>
      <c r="AN70" s="6">
        <f>'12_MODELO'!Z69+'12_MODELO'!D70-'12_MODELO'!Z70</f>
        <v>123630.98876800001</v>
      </c>
      <c r="AO70" s="6">
        <f>'12_MODELO'!AA69+'12_MODELO'!S70-'12_MODELO'!AA70</f>
        <v>22048.65914918403</v>
      </c>
      <c r="AP70" s="6">
        <f>'12_MODELO'!AK70-'12_MODELO'!AL70-'12_MODELO'!AM70-'12_MODELO'!AN70-'12_MODELO'!Q70-'12_MODELO'!AO70</f>
        <v>-72256.20160998392</v>
      </c>
      <c r="AQ70" s="6">
        <f>'12_MODELO'!T70+'12_MODELO'!O70-('12_MODELO'!U70-'12_MODELO'!U69)-('12_MODELO'!V70-'12_MODELO'!V69)+('12_MODELO'!X70-'12_MODELO'!X69)+('12_MODELO'!Y70-'12_MODELO'!Y69)+('12_MODELO'!Z70-'12_MODELO'!Z69)+('12_MODELO'!AA70-'12_MODELO'!AA69)</f>
        <v>-72256.20160998403</v>
      </c>
      <c r="AR70" s="6">
        <f>-'12_MODELO'!AB70</f>
        <v>-120000.0</v>
      </c>
      <c r="AS70" s="6">
        <f>'12_MODELO'!AE70-'12_MODELO'!AF70-'12_MODELO'!AH70</f>
        <v>-18000.0</v>
      </c>
      <c r="AT70" s="6">
        <f>'12_MODELO'!AQ70+'12_MODELO'!AR70+'12_MODELO'!AS70</f>
        <v>-210256.20160998404</v>
      </c>
      <c r="AU70" s="6">
        <f>'12_MODELO'!AV69</f>
        <v>1787712.5272052716</v>
      </c>
      <c r="AV70" s="6">
        <f>'12_MODELO'!AU70+'12_MODELO'!AT70</f>
        <v>1577456.3255952876</v>
      </c>
      <c r="AW70" s="6">
        <f>'12_MODELO'!AV70+'12_MODELO'!U70+'12_MODELO'!V70+'12_MODELO'!AC70-'12_MODELO'!AD70</f>
        <v>7530594.833467288</v>
      </c>
      <c r="AX70" s="6">
        <f>'12_MODELO'!X70+'12_MODELO'!Y70+'12_MODELO'!Z70+'12_MODELO'!AA70+'12_MODELO'!AG70</f>
        <v>1970257.0331537602</v>
      </c>
      <c r="AY70" s="6">
        <f>'12_MODELO'!AI70+'12_MODELO'!AJ70</f>
        <v>5560337.800313528</v>
      </c>
      <c r="AZ70" s="6">
        <f>'12_MODELO'!AW70-'12_MODELO'!AX70-'12_MODELO'!AY70</f>
        <v>0.0</v>
      </c>
      <c r="BA70" s="6">
        <f>'12_MODELO'!AP70-'12_MODELO'!AQ70</f>
        <v>1.0186340659856796e-10</v>
      </c>
      <c r="BB70" s="6">
        <f>'08_PREMISSAS'!O70</f>
        <v>45.0</v>
      </c>
      <c r="BC70" s="6">
        <f>'08_PREMISSAS'!P70</f>
        <v>48.0</v>
      </c>
      <c r="BD70" s="6">
        <f>'08_PREMISSAS'!Q70</f>
        <v>36.0</v>
      </c>
      <c r="BE70" s="9">
        <f>'08_PREMISSAS'!R70</f>
        <v>0.085</v>
      </c>
      <c r="BF70" s="9">
        <f>'08_PREMISSAS'!S70</f>
        <v>0.34</v>
      </c>
      <c r="BG70" s="9">
        <f>'08_PREMISSAS'!T70</f>
        <v>0.012</v>
      </c>
      <c r="BH70" s="9">
        <f>'08_PREMISSAS'!U70</f>
        <v>0.01</v>
      </c>
      <c r="BI70" s="9">
        <f>IFERROR('12_MODELO'!N70/'12_MODELO'!E70,0)</f>
        <v>0.08428391322710593</v>
      </c>
      <c r="BJ70" s="9">
        <f>IFERROR('12_MODELO'!T70/'12_MODELO'!E70,0)</f>
        <v>0.03903611251366597</v>
      </c>
      <c r="BK70" s="6">
        <f>'12_MODELO'!AQ70+'12_MODELO'!AR70</f>
        <v>-192256.20160998404</v>
      </c>
      <c r="BL70" s="6">
        <f>'12_MODELO'!U70+'12_MODELO'!V70-'12_MODELO'!X70-'12_MODELO'!Y70-'12_MODELO'!Z70-'12_MODELO'!AA70</f>
        <v>2551501.4747182406</v>
      </c>
      <c r="BM70" s="6">
        <f>'12_MODELO'!AG70-'12_MODELO'!AV70</f>
        <v>-1021456.3255952876</v>
      </c>
      <c r="BN70" s="6">
        <f>0</f>
        <v>0</v>
      </c>
      <c r="BO70" s="6">
        <f>'12_MODELO'!AV70+'12_MODELO'!U70+'12_MODELO'!V70</f>
        <v>5543214.833467288</v>
      </c>
      <c r="BP70" s="6">
        <f>'12_MODELO'!AC70-'12_MODELO'!AD70</f>
        <v>1987380.0</v>
      </c>
      <c r="BQ70" s="6">
        <f>MIN('12_MODELO'!AG70,'12_MODELO'!AF70*12)</f>
        <v>216000.0</v>
      </c>
      <c r="BR70" s="6">
        <f>'12_MODELO'!AG70-'12_MODELO'!BQ70</f>
        <v>340000.0</v>
      </c>
      <c r="BS70" s="6">
        <f>'12_MODELO'!AX70-'12_MODELO'!BR70</f>
        <v>1630257.0331537602</v>
      </c>
      <c r="BT70" s="6">
        <f>'12_MODELO'!BR70</f>
        <v>340000.0</v>
      </c>
      <c r="BU70" s="6">
        <f>IFERROR('12_MODELO'!BO70/'12_MODELO'!BS70,0)</f>
        <v>3.4002091208549143</v>
      </c>
    </row>
    <row r="71" spans="1:73">
      <c r="A71" s="5">
        <v>46296</v>
      </c>
      <c r="B71" t="s">
        <v>81</v>
      </c>
      <c r="C71" s="6">
        <f>'08_PREMISSAS'!C71*'08_PREMISSAS'!D71</f>
        <v>1742707.5568000004</v>
      </c>
      <c r="D71" s="6">
        <f>'12_MODELO'!C71*'12_MODELO'!BE71</f>
        <v>148130.14232800005</v>
      </c>
      <c r="E71" s="6">
        <f>'12_MODELO'!C71-'12_MODELO'!D71</f>
        <v>1594577.4144720002</v>
      </c>
      <c r="F71" s="6">
        <f>'12_MODELO'!C71*'08_PREMISSAS'!E71</f>
        <v>1150186.9874880002</v>
      </c>
      <c r="G71" s="6">
        <f>'12_MODELO'!E71-'12_MODELO'!F71</f>
        <v>444390.426984</v>
      </c>
      <c r="H71" s="6">
        <f>'08_PREMISSAS'!J71</f>
        <v>125000.0</v>
      </c>
      <c r="I71" s="6">
        <f>'12_MODELO'!C71*'08_PREMISSAS'!F71</f>
        <v>60994.764488000015</v>
      </c>
      <c r="J71" s="6">
        <f>'08_PREMISSAS'!L71</f>
        <v>37000.0</v>
      </c>
      <c r="K71" s="6">
        <f>'08_PREMISSAS'!M71</f>
        <v>24000.0</v>
      </c>
      <c r="L71" s="6">
        <f>'12_MODELO'!C71*'08_PREMISSAS'!G71</f>
        <v>40082.27380640001</v>
      </c>
      <c r="M71" s="6">
        <f>SUM('12_MODELO'!H71:'12_MODELO'!L71)</f>
        <v>287077.03829440003</v>
      </c>
      <c r="N71" s="6">
        <f>'12_MODELO'!G71-'12_MODELO'!M71</f>
        <v>157313.3886896</v>
      </c>
      <c r="O71" s="6">
        <f>MIN('12_MODELO'!AC70*'12_MODELO'!BH71,'12_MODELO'!AC70-'12_MODELO'!AD70+'12_MODELO'!AB71)</f>
        <v>30000.0</v>
      </c>
      <c r="P71" s="6">
        <f>'12_MODELO'!N71-'12_MODELO'!O71</f>
        <v>127313.38868959999</v>
      </c>
      <c r="Q71" s="6">
        <f>'12_MODELO'!AG70*'12_MODELO'!BG71</f>
        <v>6672.0</v>
      </c>
      <c r="R71" s="6">
        <f>'12_MODELO'!P71-'12_MODELO'!Q71</f>
        <v>120641.38868959999</v>
      </c>
      <c r="S71" s="6">
        <f>MAX(0,'12_MODELO'!R71)*'12_MODELO'!BF71</f>
        <v>41018.072154464</v>
      </c>
      <c r="T71" s="6">
        <f>'12_MODELO'!R71-'12_MODELO'!S71</f>
        <v>79623.316535136</v>
      </c>
      <c r="U71" s="6">
        <f>'12_MODELO'!C71*'12_MODELO'!BB71/30</f>
        <v>2614061.335200001</v>
      </c>
      <c r="V71" s="6">
        <f>'12_MODELO'!F71*'12_MODELO'!BC71/30</f>
        <v>1840299.1799808003</v>
      </c>
      <c r="W71" s="6">
        <f>'12_MODELO'!F71+'12_MODELO'!V71-'12_MODELO'!V70</f>
        <v>1352050.7275967998</v>
      </c>
      <c r="X71" s="6">
        <f>'12_MODELO'!F71*'12_MODELO'!BD71/30</f>
        <v>1380224.3849856001</v>
      </c>
      <c r="Y71" s="6">
        <f>'12_MODELO'!H71*20%</f>
        <v>25000.0</v>
      </c>
      <c r="Z71" s="6">
        <f>'12_MODELO'!D71</f>
        <v>148130.14232800005</v>
      </c>
      <c r="AA71" s="6">
        <f>'12_MODELO'!S71</f>
        <v>41018.072154464</v>
      </c>
      <c r="AB71" s="6">
        <f>'08_PREMISSAS'!V71</f>
        <v>22000.0</v>
      </c>
      <c r="AC71" s="6">
        <f>'12_MODELO'!AC70+'12_MODELO'!AB71</f>
        <v>3022000.0</v>
      </c>
      <c r="AD71" s="6">
        <f>'12_MODELO'!AD70+'12_MODELO'!O71</f>
        <v>1042620.0</v>
      </c>
      <c r="AE71" s="6">
        <f>'08_PREMISSAS'!W71</f>
        <v>0.0</v>
      </c>
      <c r="AF71" s="6">
        <f>'08_PREMISSAS'!X71</f>
        <v>18000.0</v>
      </c>
      <c r="AG71" s="6">
        <f>'12_MODELO'!AG70+'12_MODELO'!AE71-'12_MODELO'!AF71</f>
        <v>538000.0</v>
      </c>
      <c r="AH71" s="6">
        <f>'08_PREMISSAS'!Y71</f>
        <v>0.0</v>
      </c>
      <c r="AI71" s="6">
        <f>'12_MODELO'!AI70</f>
        <v>3900000.0</v>
      </c>
      <c r="AJ71" s="6">
        <f>'12_MODELO'!AJ70+'12_MODELO'!T71-'12_MODELO'!AH71</f>
        <v>1739961.116848664</v>
      </c>
      <c r="AK71" s="6">
        <f>'12_MODELO'!U70+'12_MODELO'!C71-'12_MODELO'!U71</f>
        <v>1455969.2895999998</v>
      </c>
      <c r="AL71" s="6">
        <f>'12_MODELO'!X70+'12_MODELO'!W71-'12_MODELO'!X71</f>
        <v>1200652.9225152</v>
      </c>
      <c r="AM71" s="6">
        <f>'12_MODELO'!M71+'12_MODELO'!Y70-'12_MODELO'!Y71</f>
        <v>287077.03829440003</v>
      </c>
      <c r="AN71" s="6">
        <f>'12_MODELO'!Z70+'12_MODELO'!D71-'12_MODELO'!Z71</f>
        <v>131881.64052000002</v>
      </c>
      <c r="AO71" s="6">
        <f>'12_MODELO'!AA70+'12_MODELO'!S71-'12_MODELO'!AA71</f>
        <v>28548.812729759986</v>
      </c>
      <c r="AP71" s="6">
        <f>'12_MODELO'!AK71-'12_MODELO'!AL71-'12_MODELO'!AM71-'12_MODELO'!AN71-'12_MODELO'!Q71-'12_MODELO'!AO71</f>
        <v>-198863.12445936023</v>
      </c>
      <c r="AQ71" s="6">
        <f>'12_MODELO'!T71+'12_MODELO'!O71-('12_MODELO'!U71-'12_MODELO'!U70)-('12_MODELO'!V71-'12_MODELO'!V70)+('12_MODELO'!X71-'12_MODELO'!X70)+('12_MODELO'!Y71-'12_MODELO'!Y70)+('12_MODELO'!Z71-'12_MODELO'!Z70)+('12_MODELO'!AA71-'12_MODELO'!AA70)</f>
        <v>-198863.12445936064</v>
      </c>
      <c r="AR71" s="6">
        <f>-'12_MODELO'!AB71</f>
        <v>-22000.0</v>
      </c>
      <c r="AS71" s="6">
        <f>'12_MODELO'!AE71-'12_MODELO'!AF71-'12_MODELO'!AH71</f>
        <v>-18000.0</v>
      </c>
      <c r="AT71" s="6">
        <f>'12_MODELO'!AQ71+'12_MODELO'!AR71+'12_MODELO'!AS71</f>
        <v>-238863.12445936064</v>
      </c>
      <c r="AU71" s="6">
        <f>'12_MODELO'!AV70</f>
        <v>1577456.3255952876</v>
      </c>
      <c r="AV71" s="6">
        <f>'12_MODELO'!AU71+'12_MODELO'!AT71</f>
        <v>1338593.2011359269</v>
      </c>
      <c r="AW71" s="6">
        <f>'12_MODELO'!AV71+'12_MODELO'!U71+'12_MODELO'!V71+'12_MODELO'!AC71-'12_MODELO'!AD71</f>
        <v>7772333.716316728</v>
      </c>
      <c r="AX71" s="6">
        <f>'12_MODELO'!X71+'12_MODELO'!Y71+'12_MODELO'!Z71+'12_MODELO'!AA71+'12_MODELO'!AG71</f>
        <v>2132372.599468064</v>
      </c>
      <c r="AY71" s="6">
        <f>'12_MODELO'!AI71+'12_MODELO'!AJ71</f>
        <v>5639961.116848664</v>
      </c>
      <c r="AZ71" s="6">
        <f>'12_MODELO'!AW71-'12_MODELO'!AX71-'12_MODELO'!AY71</f>
        <v>0.0</v>
      </c>
      <c r="BA71" s="6">
        <f>'12_MODELO'!AP71-'12_MODELO'!AQ71</f>
        <v>4.0745362639427185e-10</v>
      </c>
      <c r="BB71" s="6">
        <f>'08_PREMISSAS'!O71</f>
        <v>45.0</v>
      </c>
      <c r="BC71" s="6">
        <f>'08_PREMISSAS'!P71</f>
        <v>48.0</v>
      </c>
      <c r="BD71" s="6">
        <f>'08_PREMISSAS'!Q71</f>
        <v>36.0</v>
      </c>
      <c r="BE71" s="9">
        <f>'08_PREMISSAS'!R71</f>
        <v>0.085</v>
      </c>
      <c r="BF71" s="9">
        <f>'08_PREMISSAS'!S71</f>
        <v>0.34</v>
      </c>
      <c r="BG71" s="9">
        <f>'08_PREMISSAS'!T71</f>
        <v>0.012</v>
      </c>
      <c r="BH71" s="9">
        <f>'08_PREMISSAS'!U71</f>
        <v>0.01</v>
      </c>
      <c r="BI71" s="9">
        <f>IFERROR('12_MODELO'!N71/'12_MODELO'!E71,0)</f>
        <v>0.09865522191764514</v>
      </c>
      <c r="BJ71" s="9">
        <f>IFERROR('12_MODELO'!T71/'12_MODELO'!E71,0)</f>
        <v>0.0499338042872638</v>
      </c>
      <c r="BK71" s="6">
        <f>'12_MODELO'!AQ71+'12_MODELO'!AR71</f>
        <v>-220863.12445936064</v>
      </c>
      <c r="BL71" s="6">
        <f>'12_MODELO'!U71+'12_MODELO'!V71-'12_MODELO'!X71-'12_MODELO'!Y71-'12_MODELO'!Z71-'12_MODELO'!AA71</f>
        <v>2859987.9157127365</v>
      </c>
      <c r="BM71" s="6">
        <f>'12_MODELO'!AG71-'12_MODELO'!AV71</f>
        <v>-800593.2011359269</v>
      </c>
      <c r="BN71" s="6">
        <f>0</f>
        <v>0</v>
      </c>
      <c r="BO71" s="6">
        <f>'12_MODELO'!AV71+'12_MODELO'!U71+'12_MODELO'!V71</f>
        <v>5792953.716316728</v>
      </c>
      <c r="BP71" s="6">
        <f>'12_MODELO'!AC71-'12_MODELO'!AD71</f>
        <v>1979380.0</v>
      </c>
      <c r="BQ71" s="6">
        <f>MIN('12_MODELO'!AG71,'12_MODELO'!AF71*12)</f>
        <v>216000.0</v>
      </c>
      <c r="BR71" s="6">
        <f>'12_MODELO'!AG71-'12_MODELO'!BQ71</f>
        <v>322000.0</v>
      </c>
      <c r="BS71" s="6">
        <f>'12_MODELO'!AX71-'12_MODELO'!BR71</f>
        <v>1810372.599468064</v>
      </c>
      <c r="BT71" s="6">
        <f>'12_MODELO'!BR71</f>
        <v>322000.0</v>
      </c>
      <c r="BU71" s="6">
        <f>IFERROR('12_MODELO'!BO71/'12_MODELO'!BS71,0)</f>
        <v>3.199868202832308</v>
      </c>
    </row>
    <row r="72" spans="1:73">
      <c r="A72" s="5">
        <v>46327</v>
      </c>
      <c r="B72" t="s">
        <v>81</v>
      </c>
      <c r="C72" s="6">
        <f>'08_PREMISSAS'!C72*'08_PREMISSAS'!D72</f>
        <v>2043344.4864</v>
      </c>
      <c r="D72" s="6">
        <f>'12_MODELO'!C72*'12_MODELO'!BE72</f>
        <v>173684.28134400002</v>
      </c>
      <c r="E72" s="6">
        <f>'12_MODELO'!C72-'12_MODELO'!D72</f>
        <v>1869660.205056</v>
      </c>
      <c r="F72" s="6">
        <f>'12_MODELO'!C72*'08_PREMISSAS'!E72</f>
        <v>1348607.361024</v>
      </c>
      <c r="G72" s="6">
        <f>'12_MODELO'!E72-'12_MODELO'!F72</f>
        <v>521052.84403200005</v>
      </c>
      <c r="H72" s="6">
        <f>'08_PREMISSAS'!J72</f>
        <v>125000.0</v>
      </c>
      <c r="I72" s="6">
        <f>'12_MODELO'!C72*'08_PREMISSAS'!F72</f>
        <v>71517.05702400001</v>
      </c>
      <c r="J72" s="6">
        <f>'08_PREMISSAS'!L72</f>
        <v>37000.0</v>
      </c>
      <c r="K72" s="6">
        <f>'08_PREMISSAS'!M72</f>
        <v>24000.0</v>
      </c>
      <c r="L72" s="6">
        <f>'12_MODELO'!C72*'08_PREMISSAS'!G72</f>
        <v>46996.9231872</v>
      </c>
      <c r="M72" s="6">
        <f>SUM('12_MODELO'!H72:'12_MODELO'!L72)</f>
        <v>304513.9802112</v>
      </c>
      <c r="N72" s="6">
        <f>'12_MODELO'!G72-'12_MODELO'!M72</f>
        <v>216538.86382080003</v>
      </c>
      <c r="O72" s="6">
        <f>MIN('12_MODELO'!AC71*'12_MODELO'!BH72,'12_MODELO'!AC71-'12_MODELO'!AD71+'12_MODELO'!AB72)</f>
        <v>30220.0</v>
      </c>
      <c r="P72" s="6">
        <f>'12_MODELO'!N72-'12_MODELO'!O72</f>
        <v>186318.86382080003</v>
      </c>
      <c r="Q72" s="6">
        <f>'12_MODELO'!AG71*'12_MODELO'!BG72</f>
        <v>6456.0</v>
      </c>
      <c r="R72" s="6">
        <f>'12_MODELO'!P72-'12_MODELO'!Q72</f>
        <v>179862.86382080003</v>
      </c>
      <c r="S72" s="6">
        <f>MAX(0,'12_MODELO'!R72)*'12_MODELO'!BF72</f>
        <v>61153.37369907201</v>
      </c>
      <c r="T72" s="6">
        <f>'12_MODELO'!R72-'12_MODELO'!S72</f>
        <v>118709.49012172801</v>
      </c>
      <c r="U72" s="6">
        <f>'12_MODELO'!C72*'12_MODELO'!BB72/30</f>
        <v>3065016.7295999997</v>
      </c>
      <c r="V72" s="6">
        <f>'12_MODELO'!F72*'12_MODELO'!BC72/30</f>
        <v>2157771.7776384</v>
      </c>
      <c r="W72" s="6">
        <f>'12_MODELO'!F72+'12_MODELO'!V72-'12_MODELO'!V71</f>
        <v>1666079.9586815995</v>
      </c>
      <c r="X72" s="6">
        <f>'12_MODELO'!F72*'12_MODELO'!BD72/30</f>
        <v>1618328.8332288</v>
      </c>
      <c r="Y72" s="6">
        <f>'12_MODELO'!H72*20%</f>
        <v>25000.0</v>
      </c>
      <c r="Z72" s="6">
        <f>'12_MODELO'!D72</f>
        <v>173684.28134400002</v>
      </c>
      <c r="AA72" s="6">
        <f>'12_MODELO'!S72</f>
        <v>61153.37369907201</v>
      </c>
      <c r="AB72" s="6">
        <f>'08_PREMISSAS'!V72</f>
        <v>22000.0</v>
      </c>
      <c r="AC72" s="6">
        <f>'12_MODELO'!AC71+'12_MODELO'!AB72</f>
        <v>3044000.0</v>
      </c>
      <c r="AD72" s="6">
        <f>'12_MODELO'!AD71+'12_MODELO'!O72</f>
        <v>1072840.0</v>
      </c>
      <c r="AE72" s="6">
        <f>'08_PREMISSAS'!W72</f>
        <v>0.0</v>
      </c>
      <c r="AF72" s="6">
        <f>'08_PREMISSAS'!X72</f>
        <v>18000.0</v>
      </c>
      <c r="AG72" s="6">
        <f>'12_MODELO'!AG71+'12_MODELO'!AE72-'12_MODELO'!AF72</f>
        <v>520000.0</v>
      </c>
      <c r="AH72" s="6">
        <f>'08_PREMISSAS'!Y72</f>
        <v>0.0</v>
      </c>
      <c r="AI72" s="6">
        <f>'12_MODELO'!AI71</f>
        <v>3900000.0</v>
      </c>
      <c r="AJ72" s="6">
        <f>'12_MODELO'!AJ71+'12_MODELO'!T72-'12_MODELO'!AH72</f>
        <v>1858670.606970392</v>
      </c>
      <c r="AK72" s="6">
        <f>'12_MODELO'!U71+'12_MODELO'!C72-'12_MODELO'!U72</f>
        <v>1592389.0920000016</v>
      </c>
      <c r="AL72" s="6">
        <f>'12_MODELO'!X71+'12_MODELO'!W72-'12_MODELO'!X72</f>
        <v>1427975.5104383999</v>
      </c>
      <c r="AM72" s="6">
        <f>'12_MODELO'!M72+'12_MODELO'!Y71-'12_MODELO'!Y72</f>
        <v>304513.9802112</v>
      </c>
      <c r="AN72" s="6">
        <f>'12_MODELO'!Z71+'12_MODELO'!D72-'12_MODELO'!Z72</f>
        <v>148130.14232800005</v>
      </c>
      <c r="AO72" s="6">
        <f>'12_MODELO'!AA71+'12_MODELO'!S72-'12_MODELO'!AA72</f>
        <v>41018.072154464004</v>
      </c>
      <c r="AP72" s="6">
        <f>'12_MODELO'!AK72-'12_MODELO'!AL72-'12_MODELO'!AM72-'12_MODELO'!AN72-'12_MODELO'!Q72-'12_MODELO'!AO72</f>
        <v>-335704.61313206237</v>
      </c>
      <c r="AQ72" s="6">
        <f>'12_MODELO'!T72+'12_MODELO'!O72-('12_MODELO'!U72-'12_MODELO'!U71)-('12_MODELO'!V72-'12_MODELO'!V71)+('12_MODELO'!X72-'12_MODELO'!X71)+('12_MODELO'!Y72-'12_MODELO'!Y71)+('12_MODELO'!Z72-'12_MODELO'!Z71)+('12_MODELO'!AA72-'12_MODELO'!AA71)</f>
        <v>-335704.61313206254</v>
      </c>
      <c r="AR72" s="6">
        <f>-'12_MODELO'!AB72</f>
        <v>-22000.0</v>
      </c>
      <c r="AS72" s="6">
        <f>'12_MODELO'!AE72-'12_MODELO'!AF72-'12_MODELO'!AH72</f>
        <v>-18000.0</v>
      </c>
      <c r="AT72" s="6">
        <f>'12_MODELO'!AQ72+'12_MODELO'!AR72+'12_MODELO'!AS72</f>
        <v>-375704.61313206254</v>
      </c>
      <c r="AU72" s="6">
        <f>'12_MODELO'!AV71</f>
        <v>1338593.2011359269</v>
      </c>
      <c r="AV72" s="6">
        <f>'12_MODELO'!AU72+'12_MODELO'!AT72</f>
        <v>962888.5880038643</v>
      </c>
      <c r="AW72" s="6">
        <f>'12_MODELO'!AV72+'12_MODELO'!U72+'12_MODELO'!V72+'12_MODELO'!AC72-'12_MODELO'!AD72</f>
        <v>8156837.095242264</v>
      </c>
      <c r="AX72" s="6">
        <f>'12_MODELO'!X72+'12_MODELO'!Y72+'12_MODELO'!Z72+'12_MODELO'!AA72+'12_MODELO'!AG72</f>
        <v>2398166.488271872</v>
      </c>
      <c r="AY72" s="6">
        <f>'12_MODELO'!AI72+'12_MODELO'!AJ72</f>
        <v>5758670.606970392</v>
      </c>
      <c r="AZ72" s="6">
        <f>'12_MODELO'!AW72-'12_MODELO'!AX72-'12_MODELO'!AY72</f>
        <v>0.0</v>
      </c>
      <c r="BA72" s="6">
        <f>'12_MODELO'!AP72-'12_MODELO'!AQ72</f>
        <v>1.7462298274040222e-10</v>
      </c>
      <c r="BB72" s="6">
        <f>'08_PREMISSAS'!O72</f>
        <v>45.0</v>
      </c>
      <c r="BC72" s="6">
        <f>'08_PREMISSAS'!P72</f>
        <v>48.0</v>
      </c>
      <c r="BD72" s="6">
        <f>'08_PREMISSAS'!Q72</f>
        <v>36.0</v>
      </c>
      <c r="BE72" s="9">
        <f>'08_PREMISSAS'!R72</f>
        <v>0.085</v>
      </c>
      <c r="BF72" s="9">
        <f>'08_PREMISSAS'!S72</f>
        <v>0.34</v>
      </c>
      <c r="BG72" s="9">
        <f>'08_PREMISSAS'!T72</f>
        <v>0.012</v>
      </c>
      <c r="BH72" s="9">
        <f>'08_PREMISSAS'!U72</f>
        <v>0.01</v>
      </c>
      <c r="BI72" s="9">
        <f>IFERROR('12_MODELO'!N72/'12_MODELO'!E72,0)</f>
        <v>0.11581722883935174</v>
      </c>
      <c r="BJ72" s="9">
        <f>IFERROR('12_MODELO'!T72/'12_MODELO'!E72,0)</f>
        <v>0.06349254789758571</v>
      </c>
      <c r="BK72" s="6">
        <f>'12_MODELO'!AQ72+'12_MODELO'!AR72</f>
        <v>-357704.61313206254</v>
      </c>
      <c r="BL72" s="6">
        <f>'12_MODELO'!U72+'12_MODELO'!V72-'12_MODELO'!X72-'12_MODELO'!Y72-'12_MODELO'!Z72-'12_MODELO'!AA72</f>
        <v>3344622.0189665277</v>
      </c>
      <c r="BM72" s="6">
        <f>'12_MODELO'!AG72-'12_MODELO'!AV72</f>
        <v>-442888.5880038643</v>
      </c>
      <c r="BN72" s="6">
        <f>0</f>
        <v>0</v>
      </c>
      <c r="BO72" s="6">
        <f>'12_MODELO'!AV72+'12_MODELO'!U72+'12_MODELO'!V72</f>
        <v>6185677.095242264</v>
      </c>
      <c r="BP72" s="6">
        <f>'12_MODELO'!AC72-'12_MODELO'!AD72</f>
        <v>1971160.0</v>
      </c>
      <c r="BQ72" s="6">
        <f>MIN('12_MODELO'!AG72,'12_MODELO'!AF72*12)</f>
        <v>216000.0</v>
      </c>
      <c r="BR72" s="6">
        <f>'12_MODELO'!AG72-'12_MODELO'!BQ72</f>
        <v>304000.0</v>
      </c>
      <c r="BS72" s="6">
        <f>'12_MODELO'!AX72-'12_MODELO'!BR72</f>
        <v>2094166.488271872</v>
      </c>
      <c r="BT72" s="6">
        <f>'12_MODELO'!BR72</f>
        <v>304000.0</v>
      </c>
      <c r="BU72" s="6">
        <f>IFERROR('12_MODELO'!BO72/'12_MODELO'!BS72,0)</f>
        <v>2.9537656771247205</v>
      </c>
    </row>
    <row r="73" spans="1:73">
      <c r="A73" s="5">
        <v>46357</v>
      </c>
      <c r="B73" t="s">
        <v>81</v>
      </c>
      <c r="C73" s="6">
        <f>'08_PREMISSAS'!C73*'08_PREMISSAS'!D73</f>
        <v>1898538.9696000004</v>
      </c>
      <c r="D73" s="6">
        <f>'12_MODELO'!C73*'12_MODELO'!BE73</f>
        <v>161375.81241600006</v>
      </c>
      <c r="E73" s="6">
        <f>'12_MODELO'!C73-'12_MODELO'!D73</f>
        <v>1737163.1571840004</v>
      </c>
      <c r="F73" s="6">
        <f>'12_MODELO'!C73*'08_PREMISSAS'!E73</f>
        <v>1253035.7199360004</v>
      </c>
      <c r="G73" s="6">
        <f>'12_MODELO'!E73-'12_MODELO'!F73</f>
        <v>484127.43724799994</v>
      </c>
      <c r="H73" s="6">
        <f>'08_PREMISSAS'!J73</f>
        <v>125000.0</v>
      </c>
      <c r="I73" s="6">
        <f>'12_MODELO'!C73*'08_PREMISSAS'!F73</f>
        <v>66448.86393600002</v>
      </c>
      <c r="J73" s="6">
        <f>'08_PREMISSAS'!L73</f>
        <v>37000.0</v>
      </c>
      <c r="K73" s="6">
        <f>'08_PREMISSAS'!M73</f>
        <v>24000.0</v>
      </c>
      <c r="L73" s="6">
        <f>'12_MODELO'!C73*'08_PREMISSAS'!G73</f>
        <v>43666.39630080001</v>
      </c>
      <c r="M73" s="6">
        <f>SUM('12_MODELO'!H73:'12_MODELO'!L73)</f>
        <v>296115.2602368</v>
      </c>
      <c r="N73" s="6">
        <f>'12_MODELO'!G73-'12_MODELO'!M73</f>
        <v>188012.17701119994</v>
      </c>
      <c r="O73" s="6">
        <f>MIN('12_MODELO'!AC72*'12_MODELO'!BH73,'12_MODELO'!AC72-'12_MODELO'!AD72+'12_MODELO'!AB73)</f>
        <v>30440.0</v>
      </c>
      <c r="P73" s="6">
        <f>'12_MODELO'!N73-'12_MODELO'!O73</f>
        <v>157572.17701119994</v>
      </c>
      <c r="Q73" s="6">
        <f>'12_MODELO'!AG72*'12_MODELO'!BG73</f>
        <v>6240.0</v>
      </c>
      <c r="R73" s="6">
        <f>'12_MODELO'!P73-'12_MODELO'!Q73</f>
        <v>151332.17701119994</v>
      </c>
      <c r="S73" s="6">
        <f>MAX(0,'12_MODELO'!R73)*'12_MODELO'!BF73</f>
        <v>51452.94018380798</v>
      </c>
      <c r="T73" s="6">
        <f>'12_MODELO'!R73-'12_MODELO'!S73</f>
        <v>99879.23682739196</v>
      </c>
      <c r="U73" s="6">
        <f>'12_MODELO'!C73*'12_MODELO'!BB73/30</f>
        <v>2847808.4544000006</v>
      </c>
      <c r="V73" s="6">
        <f>'12_MODELO'!F73*'12_MODELO'!BC73/30</f>
        <v>2004857.1518976009</v>
      </c>
      <c r="W73" s="6">
        <f>'12_MODELO'!F73+'12_MODELO'!V73-'12_MODELO'!V72</f>
        <v>1100121.094195201</v>
      </c>
      <c r="X73" s="6">
        <f>'12_MODELO'!F73*'12_MODELO'!BD73/30</f>
        <v>1503642.8639232004</v>
      </c>
      <c r="Y73" s="6">
        <f>'12_MODELO'!H73*20%</f>
        <v>25000.0</v>
      </c>
      <c r="Z73" s="6">
        <f>'12_MODELO'!D73</f>
        <v>161375.81241600006</v>
      </c>
      <c r="AA73" s="6">
        <f>'12_MODELO'!S73</f>
        <v>51452.94018380798</v>
      </c>
      <c r="AB73" s="6">
        <f>'08_PREMISSAS'!V73</f>
        <v>120000.0</v>
      </c>
      <c r="AC73" s="6">
        <f>'12_MODELO'!AC72+'12_MODELO'!AB73</f>
        <v>3164000.0</v>
      </c>
      <c r="AD73" s="6">
        <f>'12_MODELO'!AD72+'12_MODELO'!O73</f>
        <v>1103280.0</v>
      </c>
      <c r="AE73" s="6">
        <f>'08_PREMISSAS'!W73</f>
        <v>0.0</v>
      </c>
      <c r="AF73" s="6">
        <f>'08_PREMISSAS'!X73</f>
        <v>18000.0</v>
      </c>
      <c r="AG73" s="6">
        <f>'12_MODELO'!AG72+'12_MODELO'!AE73-'12_MODELO'!AF73</f>
        <v>502000.0</v>
      </c>
      <c r="AH73" s="6">
        <f>'08_PREMISSAS'!Y73</f>
        <v>0.0</v>
      </c>
      <c r="AI73" s="6">
        <f>'12_MODELO'!AI72</f>
        <v>3900000.0</v>
      </c>
      <c r="AJ73" s="6">
        <f>'12_MODELO'!AJ72+'12_MODELO'!T73-'12_MODELO'!AH73</f>
        <v>1958549.8437977838</v>
      </c>
      <c r="AK73" s="6">
        <f>'12_MODELO'!U72+'12_MODELO'!C73-'12_MODELO'!U73</f>
        <v>2115747.2448</v>
      </c>
      <c r="AL73" s="6">
        <f>'12_MODELO'!X72+'12_MODELO'!W73-'12_MODELO'!X73</f>
        <v>1214807.0635008006</v>
      </c>
      <c r="AM73" s="6">
        <f>'12_MODELO'!M73+'12_MODELO'!Y72-'12_MODELO'!Y73</f>
        <v>296115.2602368</v>
      </c>
      <c r="AN73" s="6">
        <f>'12_MODELO'!Z72+'12_MODELO'!D73-'12_MODELO'!Z73</f>
        <v>173684.28134400002</v>
      </c>
      <c r="AO73" s="6">
        <f>'12_MODELO'!AA72+'12_MODELO'!S73-'12_MODELO'!AA73</f>
        <v>61153.37369907202</v>
      </c>
      <c r="AP73" s="6">
        <f>'12_MODELO'!AK73-'12_MODELO'!AL73-'12_MODELO'!AM73-'12_MODELO'!AN73-'12_MODELO'!Q73-'12_MODELO'!AO73</f>
        <v>363747.26601932733</v>
      </c>
      <c r="AQ73" s="6">
        <f>'12_MODELO'!T73+'12_MODELO'!O73-('12_MODELO'!U73-'12_MODELO'!U72)-('12_MODELO'!V73-'12_MODELO'!V72)+('12_MODELO'!X73-'12_MODELO'!X72)+('12_MODELO'!Y73-'12_MODELO'!Y72)+('12_MODELO'!Z73-'12_MODELO'!Z72)+('12_MODELO'!AA73-'12_MODELO'!AA72)</f>
        <v>363747.26601932663</v>
      </c>
      <c r="AR73" s="6">
        <f>-'12_MODELO'!AB73</f>
        <v>-120000.0</v>
      </c>
      <c r="AS73" s="6">
        <f>'12_MODELO'!AE73-'12_MODELO'!AF73-'12_MODELO'!AH73</f>
        <v>-18000.0</v>
      </c>
      <c r="AT73" s="6">
        <f>'12_MODELO'!AQ73+'12_MODELO'!AR73+'12_MODELO'!AS73</f>
        <v>225747.26601932663</v>
      </c>
      <c r="AU73" s="6">
        <f>'12_MODELO'!AV72</f>
        <v>962888.5880038643</v>
      </c>
      <c r="AV73" s="6">
        <f>'12_MODELO'!AU73+'12_MODELO'!AT73</f>
        <v>1188635.854023191</v>
      </c>
      <c r="AW73" s="6">
        <f>'12_MODELO'!AV73+'12_MODELO'!U73+'12_MODELO'!V73+'12_MODELO'!AC73-'12_MODELO'!AD73</f>
        <v>8102021.460320793</v>
      </c>
      <c r="AX73" s="6">
        <f>'12_MODELO'!X73+'12_MODELO'!Y73+'12_MODELO'!Z73+'12_MODELO'!AA73+'12_MODELO'!AG73</f>
        <v>2243471.6165230083</v>
      </c>
      <c r="AY73" s="6">
        <f>'12_MODELO'!AI73+'12_MODELO'!AJ73</f>
        <v>5858549.843797784</v>
      </c>
      <c r="AZ73" s="6">
        <f>'12_MODELO'!AW73-'12_MODELO'!AX73-'12_MODELO'!AY73</f>
        <v>0.0</v>
      </c>
      <c r="BA73" s="6">
        <f>'12_MODELO'!AP73-'12_MODELO'!AQ73</f>
        <v>6.984919309616089e-10</v>
      </c>
      <c r="BB73" s="6">
        <f>'08_PREMISSAS'!O73</f>
        <v>45.0</v>
      </c>
      <c r="BC73" s="6">
        <f>'08_PREMISSAS'!P73</f>
        <v>48.0</v>
      </c>
      <c r="BD73" s="6">
        <f>'08_PREMISSAS'!Q73</f>
        <v>36.0</v>
      </c>
      <c r="BE73" s="9">
        <f>'08_PREMISSAS'!R73</f>
        <v>0.085</v>
      </c>
      <c r="BF73" s="9">
        <f>'08_PREMISSAS'!S73</f>
        <v>0.34</v>
      </c>
      <c r="BG73" s="9">
        <f>'08_PREMISSAS'!T73</f>
        <v>0.012</v>
      </c>
      <c r="BH73" s="9">
        <f>'08_PREMISSAS'!U73</f>
        <v>0.01</v>
      </c>
      <c r="BI73" s="9">
        <f>IFERROR('12_MODELO'!N73/'12_MODELO'!E73,0)</f>
        <v>0.10822942924714911</v>
      </c>
      <c r="BJ73" s="9">
        <f>IFERROR('12_MODELO'!T73/'12_MODELO'!E73,0)</f>
        <v>0.05749559931336533</v>
      </c>
      <c r="BK73" s="6">
        <f>'12_MODELO'!AQ73+'12_MODELO'!AR73</f>
        <v>243747.26601932663</v>
      </c>
      <c r="BL73" s="6">
        <f>'12_MODELO'!U73+'12_MODELO'!V73-'12_MODELO'!X73-'12_MODELO'!Y73-'12_MODELO'!Z73-'12_MODELO'!AA73</f>
        <v>3111193.989774592</v>
      </c>
      <c r="BM73" s="6">
        <f>'12_MODELO'!AG73-'12_MODELO'!AV73</f>
        <v>-686635.8540231909</v>
      </c>
      <c r="BN73" s="6">
        <f>0</f>
        <v>0</v>
      </c>
      <c r="BO73" s="6">
        <f>'12_MODELO'!AV73+'12_MODELO'!U73+'12_MODELO'!V73</f>
        <v>6041301.460320792</v>
      </c>
      <c r="BP73" s="6">
        <f>'12_MODELO'!AC73-'12_MODELO'!AD73</f>
        <v>2060720.0</v>
      </c>
      <c r="BQ73" s="6">
        <f>MIN('12_MODELO'!AG73,'12_MODELO'!AF73*12)</f>
        <v>216000.0</v>
      </c>
      <c r="BR73" s="6">
        <f>'12_MODELO'!AG73-'12_MODELO'!BQ73</f>
        <v>286000.0</v>
      </c>
      <c r="BS73" s="6">
        <f>'12_MODELO'!AX73-'12_MODELO'!BR73</f>
        <v>1957471.6165230083</v>
      </c>
      <c r="BT73" s="6">
        <f>'12_MODELO'!BR73</f>
        <v>286000.0</v>
      </c>
      <c r="BU73" s="6">
        <f>IFERROR('12_MODELO'!BO73/'12_MODELO'!BS73,0)</f>
        <v>3.0862779359486985</v>
      </c>
    </row>
    <row r="74" spans="1:73">
      <c r="A74" s="5">
        <v>46023</v>
      </c>
      <c r="B74" t="s">
        <v>82</v>
      </c>
      <c r="C74" s="6">
        <f>'08_PREMISSAS'!C74*'08_PREMISSAS'!D74</f>
        <v>1404331.6178</v>
      </c>
      <c r="D74" s="6">
        <f>'12_MODELO'!C74*'12_MODELO'!BE74</f>
        <v>119368.187513</v>
      </c>
      <c r="E74" s="6">
        <f>'12_MODELO'!C74-'12_MODELO'!D74</f>
        <v>1284963.4302869998</v>
      </c>
      <c r="F74" s="6">
        <f>'12_MODELO'!C74*'08_PREMISSAS'!E74</f>
        <v>904389.5618631999</v>
      </c>
      <c r="G74" s="6">
        <f>'12_MODELO'!E74-'12_MODELO'!F74</f>
        <v>380573.86842379987</v>
      </c>
      <c r="H74" s="6">
        <f>'08_PREMISSAS'!J74</f>
        <v>125000.0</v>
      </c>
      <c r="I74" s="6">
        <f>'12_MODELO'!C74*'08_PREMISSAS'!F74</f>
        <v>49151.606623</v>
      </c>
      <c r="J74" s="6">
        <f>'08_PREMISSAS'!L74</f>
        <v>37000.0</v>
      </c>
      <c r="K74" s="6">
        <f>'08_PREMISSAS'!M74</f>
        <v>24000.0</v>
      </c>
      <c r="L74" s="6">
        <f>'12_MODELO'!C74*'08_PREMISSAS'!G74</f>
        <v>32299.627209399998</v>
      </c>
      <c r="M74" s="6">
        <f>SUM('12_MODELO'!H74:'12_MODELO'!L74)</f>
        <v>267451.2338324</v>
      </c>
      <c r="N74" s="6">
        <f>'12_MODELO'!G74-'12_MODELO'!M74</f>
        <v>113122.63459139987</v>
      </c>
      <c r="O74" s="6">
        <f>MIN('12_MODELO'!AC25*'12_MODELO'!BH74,'12_MODELO'!AC25-'12_MODELO'!AD25+'12_MODELO'!AB74)</f>
        <v>25080.0</v>
      </c>
      <c r="P74" s="6">
        <f>'12_MODELO'!N74-'12_MODELO'!O74</f>
        <v>88042.63459139987</v>
      </c>
      <c r="Q74" s="6">
        <f>'12_MODELO'!AG25*'12_MODELO'!BG74</f>
        <v>8616.0</v>
      </c>
      <c r="R74" s="6">
        <f>'12_MODELO'!P74-'12_MODELO'!Q74</f>
        <v>79426.63459139987</v>
      </c>
      <c r="S74" s="6">
        <f>MAX(0,'12_MODELO'!R74)*'12_MODELO'!BF74</f>
        <v>27005.055761075957</v>
      </c>
      <c r="T74" s="6">
        <f>'12_MODELO'!R74-'12_MODELO'!S74</f>
        <v>52421.57883032391</v>
      </c>
      <c r="U74" s="6">
        <f>'12_MODELO'!C74*'12_MODELO'!BB74/30</f>
        <v>1778820.0492133333</v>
      </c>
      <c r="V74" s="6">
        <f>'12_MODELO'!F74*'12_MODELO'!BC74/30</f>
        <v>1266145.38660848</v>
      </c>
      <c r="W74" s="6">
        <f>'12_MODELO'!F74+'12_MODELO'!V74-'12_MODELO'!V25</f>
        <v>156560.80447167996</v>
      </c>
      <c r="X74" s="6">
        <f>'12_MODELO'!F74*'12_MODELO'!BD74/30</f>
        <v>1145560.1116933865</v>
      </c>
      <c r="Y74" s="6">
        <f>'12_MODELO'!H74*20%</f>
        <v>25000.0</v>
      </c>
      <c r="Z74" s="6">
        <f>'12_MODELO'!D74</f>
        <v>119368.187513</v>
      </c>
      <c r="AA74" s="6">
        <f>'12_MODELO'!S74</f>
        <v>27005.055761075957</v>
      </c>
      <c r="AB74" s="6">
        <f>'08_PREMISSAS'!V74</f>
        <v>22000.0</v>
      </c>
      <c r="AC74" s="6">
        <f>'12_MODELO'!AC25+'12_MODELO'!AB74</f>
        <v>2530000.0</v>
      </c>
      <c r="AD74" s="6">
        <f>'12_MODELO'!AD25+'12_MODELO'!O74</f>
        <v>795240.0</v>
      </c>
      <c r="AE74" s="6">
        <f>'08_PREMISSAS'!W74</f>
        <v>0.0</v>
      </c>
      <c r="AF74" s="6">
        <f>'08_PREMISSAS'!X74</f>
        <v>18000.0</v>
      </c>
      <c r="AG74" s="6">
        <f>'12_MODELO'!AG25+'12_MODELO'!AE74-'12_MODELO'!AF74</f>
        <v>700000.0</v>
      </c>
      <c r="AH74" s="6">
        <f>'08_PREMISSAS'!Y74</f>
        <v>0.0</v>
      </c>
      <c r="AI74" s="6">
        <f>'12_MODELO'!AI25</f>
        <v>3900000.0</v>
      </c>
      <c r="AJ74" s="6">
        <f>'12_MODELO'!AJ25+'12_MODELO'!T74-'12_MODELO'!AH74</f>
        <v>1288698.123041324</v>
      </c>
      <c r="AK74" s="6">
        <f>'12_MODELO'!U25+'12_MODELO'!C74-'12_MODELO'!U74</f>
        <v>2281205.960586667</v>
      </c>
      <c r="AL74" s="6">
        <f>'12_MODELO'!X25+'12_MODELO'!W74-'12_MODELO'!X74</f>
        <v>366560.2127782933</v>
      </c>
      <c r="AM74" s="6">
        <f>'12_MODELO'!M74+'12_MODELO'!Y25-'12_MODELO'!Y74</f>
        <v>264483.6338324</v>
      </c>
      <c r="AN74" s="6">
        <f>'12_MODELO'!Z25+'12_MODELO'!D74-'12_MODELO'!Z74</f>
        <v>144085.5468</v>
      </c>
      <c r="AO74" s="6">
        <f>'12_MODELO'!AA25+'12_MODELO'!S74-'12_MODELO'!AA74</f>
        <v>31810.11888800001</v>
      </c>
      <c r="AP74" s="6">
        <f>'12_MODELO'!AK74-'12_MODELO'!AL74-'12_MODELO'!AM74-'12_MODELO'!AN74-'12_MODELO'!Q74-'12_MODELO'!AO74</f>
        <v>1465650.4482879736</v>
      </c>
      <c r="AQ74" s="6">
        <f>'12_MODELO'!T74+'12_MODELO'!O74-('12_MODELO'!U74-'12_MODELO'!U25)-('12_MODELO'!V74-'12_MODELO'!V25)+('12_MODELO'!X74-'12_MODELO'!X25)+('12_MODELO'!Y74-'12_MODELO'!Y25)+('12_MODELO'!Z74-'12_MODELO'!Z25)+('12_MODELO'!AA74-'12_MODELO'!AA25)</f>
        <v>1465650.448287973</v>
      </c>
      <c r="AR74" s="6">
        <f>-'12_MODELO'!AB74</f>
        <v>-22000.0</v>
      </c>
      <c r="AS74" s="6">
        <f>'12_MODELO'!AE74-'12_MODELO'!AF74-'12_MODELO'!AH74</f>
        <v>-18000.0</v>
      </c>
      <c r="AT74" s="6">
        <f>'12_MODELO'!AQ74+'12_MODELO'!AR74+'12_MODELO'!AS74</f>
        <v>1425650.448287973</v>
      </c>
      <c r="AU74" s="6">
        <f>'12_MODELO'!AV25</f>
        <v>1000255.5938990002</v>
      </c>
      <c r="AV74" s="6">
        <f>'12_MODELO'!AU74+'12_MODELO'!AT74</f>
        <v>2425906.042186973</v>
      </c>
      <c r="AW74" s="6">
        <f>'12_MODELO'!AV74+'12_MODELO'!U74+'12_MODELO'!V74+'12_MODELO'!AC74-'12_MODELO'!AD74</f>
        <v>7205631.478008786</v>
      </c>
      <c r="AX74" s="6">
        <f>'12_MODELO'!X74+'12_MODELO'!Y74+'12_MODELO'!Z74+'12_MODELO'!AA74+'12_MODELO'!AG74</f>
        <v>2016933.3549674624</v>
      </c>
      <c r="AY74" s="6">
        <f>'12_MODELO'!AI74+'12_MODELO'!AJ74</f>
        <v>5188698.123041324</v>
      </c>
      <c r="AZ74" s="6">
        <f>'12_MODELO'!AW74-'12_MODELO'!AX74-'12_MODELO'!AY74</f>
        <v>0.0</v>
      </c>
      <c r="BA74" s="6">
        <f>'12_MODELO'!AP74-'12_MODELO'!AQ74</f>
        <v>6.984919309616089e-10</v>
      </c>
      <c r="BB74" s="6">
        <f>'08_PREMISSAS'!O74</f>
        <v>38.0</v>
      </c>
      <c r="BC74" s="6">
        <f>'08_PREMISSAS'!P74</f>
        <v>42.0</v>
      </c>
      <c r="BD74" s="6">
        <f>'08_PREMISSAS'!Q74</f>
        <v>38.0</v>
      </c>
      <c r="BE74" s="9">
        <f>'08_PREMISSAS'!R74</f>
        <v>0.085</v>
      </c>
      <c r="BF74" s="9">
        <f>'08_PREMISSAS'!S74</f>
        <v>0.34</v>
      </c>
      <c r="BG74" s="9">
        <f>'08_PREMISSAS'!T74</f>
        <v>0.012</v>
      </c>
      <c r="BH74" s="9">
        <f>'08_PREMISSAS'!U74</f>
        <v>0.01</v>
      </c>
      <c r="BI74" s="9">
        <f>IFERROR('12_MODELO'!N74/'12_MODELO'!E74,0)</f>
        <v>0.08803568407089503</v>
      </c>
      <c r="BJ74" s="9">
        <f>IFERROR('12_MODELO'!T74/'12_MODELO'!E74,0)</f>
        <v>0.04079616399558968</v>
      </c>
      <c r="BK74" s="6">
        <f>'12_MODELO'!AQ74+'12_MODELO'!AR74</f>
        <v>1443650.448287973</v>
      </c>
      <c r="BL74" s="6">
        <f>'12_MODELO'!U74+'12_MODELO'!V74-'12_MODELO'!X74-'12_MODELO'!Y74-'12_MODELO'!Z74-'12_MODELO'!AA74</f>
        <v>1728032.080854351</v>
      </c>
      <c r="BM74" s="6">
        <f>'12_MODELO'!AG74-'12_MODELO'!AV74</f>
        <v>-1725906.0421869732</v>
      </c>
      <c r="BN74" s="6">
        <f>0</f>
        <v>0</v>
      </c>
      <c r="BO74" s="6">
        <f>'12_MODELO'!AV74+'12_MODELO'!U74+'12_MODELO'!V74</f>
        <v>5470871.478008786</v>
      </c>
      <c r="BP74" s="6">
        <f>'12_MODELO'!AC74-'12_MODELO'!AD74</f>
        <v>1734760.0</v>
      </c>
      <c r="BQ74" s="6">
        <f>MIN('12_MODELO'!AG74,'12_MODELO'!AF74*12)</f>
        <v>216000.0</v>
      </c>
      <c r="BR74" s="6">
        <f>'12_MODELO'!AG74-'12_MODELO'!BQ74</f>
        <v>484000.0</v>
      </c>
      <c r="BS74" s="6">
        <f>'12_MODELO'!AX74-'12_MODELO'!BR74</f>
        <v>1532933.3549674624</v>
      </c>
      <c r="BT74" s="6">
        <f>'12_MODELO'!BR74</f>
        <v>484000.0</v>
      </c>
      <c r="BU74" s="6">
        <f>IFERROR('12_MODELO'!BO74/'12_MODELO'!BS74,0)</f>
        <v>3.5688906241621376</v>
      </c>
    </row>
    <row r="75" spans="1:73">
      <c r="A75" s="5">
        <v>46054</v>
      </c>
      <c r="B75" t="s">
        <v>82</v>
      </c>
      <c r="C75" s="6">
        <f>'08_PREMISSAS'!C75*'08_PREMISSAS'!D75</f>
        <v>1435612.7472</v>
      </c>
      <c r="D75" s="6">
        <f>'12_MODELO'!C75*'12_MODELO'!BE75</f>
        <v>122027.08351200001</v>
      </c>
      <c r="E75" s="6">
        <f>'12_MODELO'!C75-'12_MODELO'!D75</f>
        <v>1313585.663688</v>
      </c>
      <c r="F75" s="6">
        <f>'12_MODELO'!C75*'08_PREMISSAS'!E75</f>
        <v>924534.6091968</v>
      </c>
      <c r="G75" s="6">
        <f>'12_MODELO'!E75-'12_MODELO'!F75</f>
        <v>389051.0544912</v>
      </c>
      <c r="H75" s="6">
        <f>'08_PREMISSAS'!J75</f>
        <v>125000.0</v>
      </c>
      <c r="I75" s="6">
        <f>'12_MODELO'!C75*'08_PREMISSAS'!F75</f>
        <v>50246.44615200001</v>
      </c>
      <c r="J75" s="6">
        <f>'08_PREMISSAS'!L75</f>
        <v>37000.0</v>
      </c>
      <c r="K75" s="6">
        <f>'08_PREMISSAS'!M75</f>
        <v>24000.0</v>
      </c>
      <c r="L75" s="6">
        <f>'12_MODELO'!C75*'08_PREMISSAS'!G75</f>
        <v>33019.0931856</v>
      </c>
      <c r="M75" s="6">
        <f>SUM('12_MODELO'!H75:'12_MODELO'!L75)</f>
        <v>269265.5393376</v>
      </c>
      <c r="N75" s="6">
        <f>'12_MODELO'!G75-'12_MODELO'!M75</f>
        <v>119785.51515360002</v>
      </c>
      <c r="O75" s="6">
        <f>MIN('12_MODELO'!AC74*'12_MODELO'!BH75,'12_MODELO'!AC74-'12_MODELO'!AD74+'12_MODELO'!AB75)</f>
        <v>25300.0</v>
      </c>
      <c r="P75" s="6">
        <f>'12_MODELO'!N75-'12_MODELO'!O75</f>
        <v>94485.51515360002</v>
      </c>
      <c r="Q75" s="6">
        <f>'12_MODELO'!AG74*'12_MODELO'!BG75</f>
        <v>8400.0</v>
      </c>
      <c r="R75" s="6">
        <f>'12_MODELO'!P75-'12_MODELO'!Q75</f>
        <v>86085.51515360002</v>
      </c>
      <c r="S75" s="6">
        <f>MAX(0,'12_MODELO'!R75)*'12_MODELO'!BF75</f>
        <v>29269.07515222401</v>
      </c>
      <c r="T75" s="6">
        <f>'12_MODELO'!R75-'12_MODELO'!S75</f>
        <v>56816.44000137601</v>
      </c>
      <c r="U75" s="6">
        <f>'12_MODELO'!C75*'12_MODELO'!BB75/30</f>
        <v>1818442.81312</v>
      </c>
      <c r="V75" s="6">
        <f>'12_MODELO'!F75*'12_MODELO'!BC75/30</f>
        <v>1294348.45287552</v>
      </c>
      <c r="W75" s="6">
        <f>'12_MODELO'!F75+'12_MODELO'!V75-'12_MODELO'!V74</f>
        <v>952737.6754638399</v>
      </c>
      <c r="X75" s="6">
        <f>'12_MODELO'!F75*'12_MODELO'!BD75/30</f>
        <v>1171077.17164928</v>
      </c>
      <c r="Y75" s="6">
        <f>'12_MODELO'!H75*20%</f>
        <v>25000.0</v>
      </c>
      <c r="Z75" s="6">
        <f>'12_MODELO'!D75</f>
        <v>122027.08351200001</v>
      </c>
      <c r="AA75" s="6">
        <f>'12_MODELO'!S75</f>
        <v>29269.07515222401</v>
      </c>
      <c r="AB75" s="6">
        <f>'08_PREMISSAS'!V75</f>
        <v>22000.0</v>
      </c>
      <c r="AC75" s="6">
        <f>'12_MODELO'!AC74+'12_MODELO'!AB75</f>
        <v>2552000.0</v>
      </c>
      <c r="AD75" s="6">
        <f>'12_MODELO'!AD74+'12_MODELO'!O75</f>
        <v>820540.0</v>
      </c>
      <c r="AE75" s="6">
        <f>'08_PREMISSAS'!W75</f>
        <v>0.0</v>
      </c>
      <c r="AF75" s="6">
        <f>'08_PREMISSAS'!X75</f>
        <v>18000.0</v>
      </c>
      <c r="AG75" s="6">
        <f>'12_MODELO'!AG74+'12_MODELO'!AE75-'12_MODELO'!AF75</f>
        <v>682000.0</v>
      </c>
      <c r="AH75" s="6">
        <f>'08_PREMISSAS'!Y75</f>
        <v>0.0</v>
      </c>
      <c r="AI75" s="6">
        <f>'12_MODELO'!AI74</f>
        <v>3900000.0</v>
      </c>
      <c r="AJ75" s="6">
        <f>'12_MODELO'!AJ74+'12_MODELO'!T75-'12_MODELO'!AH75</f>
        <v>1345514.5630427</v>
      </c>
      <c r="AK75" s="6">
        <f>'12_MODELO'!U74+'12_MODELO'!C75-'12_MODELO'!U75</f>
        <v>1395989.983293333</v>
      </c>
      <c r="AL75" s="6">
        <f>'12_MODELO'!X74+'12_MODELO'!W75-'12_MODELO'!X75</f>
        <v>927220.6155079463</v>
      </c>
      <c r="AM75" s="6">
        <f>'12_MODELO'!M75+'12_MODELO'!Y74-'12_MODELO'!Y75</f>
        <v>269265.5393376</v>
      </c>
      <c r="AN75" s="6">
        <f>'12_MODELO'!Z74+'12_MODELO'!D75-'12_MODELO'!Z75</f>
        <v>119368.18751300001</v>
      </c>
      <c r="AO75" s="6">
        <f>'12_MODELO'!AA74+'12_MODELO'!S75-'12_MODELO'!AA75</f>
        <v>27005.055761075957</v>
      </c>
      <c r="AP75" s="6">
        <f>'12_MODELO'!AK75-'12_MODELO'!AL75-'12_MODELO'!AM75-'12_MODELO'!AN75-'12_MODELO'!Q75-'12_MODELO'!AO75</f>
        <v>44730.58517371077</v>
      </c>
      <c r="AQ75" s="6">
        <f>'12_MODELO'!T75+'12_MODELO'!O75-('12_MODELO'!U75-'12_MODELO'!U74)-('12_MODELO'!V75-'12_MODELO'!V74)+('12_MODELO'!X75-'12_MODELO'!X74)+('12_MODELO'!Y75-'12_MODELO'!Y74)+('12_MODELO'!Z75-'12_MODELO'!Z74)+('12_MODELO'!AA75-'12_MODELO'!AA74)</f>
        <v>44730.58517371075</v>
      </c>
      <c r="AR75" s="6">
        <f>-'12_MODELO'!AB75</f>
        <v>-22000.0</v>
      </c>
      <c r="AS75" s="6">
        <f>'12_MODELO'!AE75-'12_MODELO'!AF75-'12_MODELO'!AH75</f>
        <v>-18000.0</v>
      </c>
      <c r="AT75" s="6">
        <f>'12_MODELO'!AQ75+'12_MODELO'!AR75+'12_MODELO'!AS75</f>
        <v>4730.585173710751</v>
      </c>
      <c r="AU75" s="6">
        <f>'12_MODELO'!AV74</f>
        <v>2425906.042186973</v>
      </c>
      <c r="AV75" s="6">
        <f>'12_MODELO'!AU75+'12_MODELO'!AT75</f>
        <v>2430636.627360684</v>
      </c>
      <c r="AW75" s="6">
        <f>'12_MODELO'!AV75+'12_MODELO'!U75+'12_MODELO'!V75+'12_MODELO'!AC75-'12_MODELO'!AD75</f>
        <v>7274887.893356204</v>
      </c>
      <c r="AX75" s="6">
        <f>'12_MODELO'!X75+'12_MODELO'!Y75+'12_MODELO'!Z75+'12_MODELO'!AA75+'12_MODELO'!AG75</f>
        <v>2029373.330313504</v>
      </c>
      <c r="AY75" s="6">
        <f>'12_MODELO'!AI75+'12_MODELO'!AJ75</f>
        <v>5245514.5630427</v>
      </c>
      <c r="AZ75" s="6">
        <f>'12_MODELO'!AW75-'12_MODELO'!AX75-'12_MODELO'!AY75</f>
        <v>0.0</v>
      </c>
      <c r="BA75" s="6">
        <f>'12_MODELO'!AP75-'12_MODELO'!AQ75</f>
        <v>2.1827872842550278e-11</v>
      </c>
      <c r="BB75" s="6">
        <f>'08_PREMISSAS'!O75</f>
        <v>38.0</v>
      </c>
      <c r="BC75" s="6">
        <f>'08_PREMISSAS'!P75</f>
        <v>42.0</v>
      </c>
      <c r="BD75" s="6">
        <f>'08_PREMISSAS'!Q75</f>
        <v>38.0</v>
      </c>
      <c r="BE75" s="9">
        <f>'08_PREMISSAS'!R75</f>
        <v>0.085</v>
      </c>
      <c r="BF75" s="9">
        <f>'08_PREMISSAS'!S75</f>
        <v>0.34</v>
      </c>
      <c r="BG75" s="9">
        <f>'08_PREMISSAS'!T75</f>
        <v>0.012</v>
      </c>
      <c r="BH75" s="9">
        <f>'08_PREMISSAS'!U75</f>
        <v>0.01</v>
      </c>
      <c r="BI75" s="9">
        <f>IFERROR('12_MODELO'!N75/'12_MODELO'!E75,0)</f>
        <v>0.09118972478528146</v>
      </c>
      <c r="BJ75" s="9">
        <f>IFERROR('12_MODELO'!T75/'12_MODELO'!E75,0)</f>
        <v>0.043252938557398056</v>
      </c>
      <c r="BK75" s="6">
        <f>'12_MODELO'!AQ75+'12_MODELO'!AR75</f>
        <v>22730.58517371075</v>
      </c>
      <c r="BL75" s="6">
        <f>'12_MODELO'!U75+'12_MODELO'!V75-'12_MODELO'!X75-'12_MODELO'!Y75-'12_MODELO'!Z75-'12_MODELO'!AA75</f>
        <v>1765417.9356820162</v>
      </c>
      <c r="BM75" s="6">
        <f>'12_MODELO'!AG75-'12_MODELO'!AV75</f>
        <v>-1748636.6273606839</v>
      </c>
      <c r="BN75" s="6">
        <f>0</f>
        <v>0</v>
      </c>
      <c r="BO75" s="6">
        <f>'12_MODELO'!AV75+'12_MODELO'!U75+'12_MODELO'!V75</f>
        <v>5543427.893356204</v>
      </c>
      <c r="BP75" s="6">
        <f>'12_MODELO'!AC75-'12_MODELO'!AD75</f>
        <v>1731460.0</v>
      </c>
      <c r="BQ75" s="6">
        <f>MIN('12_MODELO'!AG75,'12_MODELO'!AF75*12)</f>
        <v>216000.0</v>
      </c>
      <c r="BR75" s="6">
        <f>'12_MODELO'!AG75-'12_MODELO'!BQ75</f>
        <v>466000.0</v>
      </c>
      <c r="BS75" s="6">
        <f>'12_MODELO'!AX75-'12_MODELO'!BR75</f>
        <v>1563373.330313504</v>
      </c>
      <c r="BT75" s="6">
        <f>'12_MODELO'!BR75</f>
        <v>466000.0</v>
      </c>
      <c r="BU75" s="6">
        <f>IFERROR('12_MODELO'!BO75/'12_MODELO'!BS75,0)</f>
        <v>3.545811986088171</v>
      </c>
    </row>
    <row r="76" spans="1:73">
      <c r="A76" s="5">
        <v>46082</v>
      </c>
      <c r="B76" t="s">
        <v>82</v>
      </c>
      <c r="C76" s="6">
        <f>'08_PREMISSAS'!C76*'08_PREMISSAS'!D76</f>
        <v>1695742.7576000001</v>
      </c>
      <c r="D76" s="6">
        <f>'12_MODELO'!C76*'12_MODELO'!BE76</f>
        <v>144138.134396</v>
      </c>
      <c r="E76" s="6">
        <f>'12_MODELO'!C76-'12_MODELO'!D76</f>
        <v>1551604.623204</v>
      </c>
      <c r="F76" s="6">
        <f>'12_MODELO'!C76*'08_PREMISSAS'!E76</f>
        <v>1092058.3358944</v>
      </c>
      <c r="G76" s="6">
        <f>'12_MODELO'!E76-'12_MODELO'!F76</f>
        <v>459546.28730960004</v>
      </c>
      <c r="H76" s="6">
        <f>'08_PREMISSAS'!J76</f>
        <v>125000.0</v>
      </c>
      <c r="I76" s="6">
        <f>'12_MODELO'!C76*'08_PREMISSAS'!F76</f>
        <v>59350.99651600001</v>
      </c>
      <c r="J76" s="6">
        <f>'08_PREMISSAS'!L76</f>
        <v>37000.0</v>
      </c>
      <c r="K76" s="6">
        <f>'08_PREMISSAS'!M76</f>
        <v>24000.0</v>
      </c>
      <c r="L76" s="6">
        <f>'12_MODELO'!C76*'08_PREMISSAS'!G76</f>
        <v>39002.0834248</v>
      </c>
      <c r="M76" s="6">
        <f>SUM('12_MODELO'!H76:'12_MODELO'!L76)</f>
        <v>284353.07994080003</v>
      </c>
      <c r="N76" s="6">
        <f>'12_MODELO'!G76-'12_MODELO'!M76</f>
        <v>175193.2073688</v>
      </c>
      <c r="O76" s="6">
        <f>MIN('12_MODELO'!AC75*'12_MODELO'!BH76,'12_MODELO'!AC75-'12_MODELO'!AD75+'12_MODELO'!AB76)</f>
        <v>25520.0</v>
      </c>
      <c r="P76" s="6">
        <f>'12_MODELO'!N76-'12_MODELO'!O76</f>
        <v>149673.2073688</v>
      </c>
      <c r="Q76" s="6">
        <f>'12_MODELO'!AG75*'12_MODELO'!BG76</f>
        <v>8184.0</v>
      </c>
      <c r="R76" s="6">
        <f>'12_MODELO'!P76-'12_MODELO'!Q76</f>
        <v>141489.2073688</v>
      </c>
      <c r="S76" s="6">
        <f>MAX(0,'12_MODELO'!R76)*'12_MODELO'!BF76</f>
        <v>48106.330505392005</v>
      </c>
      <c r="T76" s="6">
        <f>'12_MODELO'!R76-'12_MODELO'!S76</f>
        <v>93382.876863408</v>
      </c>
      <c r="U76" s="6">
        <f>'12_MODELO'!C76*'12_MODELO'!BB76/30</f>
        <v>2147940.8262933334</v>
      </c>
      <c r="V76" s="6">
        <f>'12_MODELO'!F76*'12_MODELO'!BC76/30</f>
        <v>1528881.67025216</v>
      </c>
      <c r="W76" s="6">
        <f>'12_MODELO'!F76+'12_MODELO'!V76-'12_MODELO'!V75</f>
        <v>1326591.5532710399</v>
      </c>
      <c r="X76" s="6">
        <f>'12_MODELO'!F76*'12_MODELO'!BD76/30</f>
        <v>1383273.8921329067</v>
      </c>
      <c r="Y76" s="6">
        <f>'12_MODELO'!H76*20%</f>
        <v>25000.0</v>
      </c>
      <c r="Z76" s="6">
        <f>'12_MODELO'!D76</f>
        <v>144138.134396</v>
      </c>
      <c r="AA76" s="6">
        <f>'12_MODELO'!S76</f>
        <v>48106.330505392005</v>
      </c>
      <c r="AB76" s="6">
        <f>'08_PREMISSAS'!V76</f>
        <v>120000.0</v>
      </c>
      <c r="AC76" s="6">
        <f>'12_MODELO'!AC75+'12_MODELO'!AB76</f>
        <v>2672000.0</v>
      </c>
      <c r="AD76" s="6">
        <f>'12_MODELO'!AD75+'12_MODELO'!O76</f>
        <v>846060.0</v>
      </c>
      <c r="AE76" s="6">
        <f>'08_PREMISSAS'!W76</f>
        <v>0.0</v>
      </c>
      <c r="AF76" s="6">
        <f>'08_PREMISSAS'!X76</f>
        <v>18000.0</v>
      </c>
      <c r="AG76" s="6">
        <f>'12_MODELO'!AG75+'12_MODELO'!AE76-'12_MODELO'!AF76</f>
        <v>664000.0</v>
      </c>
      <c r="AH76" s="6">
        <f>'08_PREMISSAS'!Y76</f>
        <v>0.0</v>
      </c>
      <c r="AI76" s="6">
        <f>'12_MODELO'!AI75</f>
        <v>3900000.0</v>
      </c>
      <c r="AJ76" s="6">
        <f>'12_MODELO'!AJ75+'12_MODELO'!T76-'12_MODELO'!AH76</f>
        <v>1438897.439906108</v>
      </c>
      <c r="AK76" s="6">
        <f>'12_MODELO'!U75+'12_MODELO'!C76-'12_MODELO'!U76</f>
        <v>1366244.7444266668</v>
      </c>
      <c r="AL76" s="6">
        <f>'12_MODELO'!X75+'12_MODELO'!W76-'12_MODELO'!X76</f>
        <v>1114394.8327874132</v>
      </c>
      <c r="AM76" s="6">
        <f>'12_MODELO'!M76+'12_MODELO'!Y75-'12_MODELO'!Y76</f>
        <v>284353.07994080003</v>
      </c>
      <c r="AN76" s="6">
        <f>'12_MODELO'!Z75+'12_MODELO'!D76-'12_MODELO'!Z76</f>
        <v>122027.08351199998</v>
      </c>
      <c r="AO76" s="6">
        <f>'12_MODELO'!AA75+'12_MODELO'!S76-'12_MODELO'!AA76</f>
        <v>29269.075152224003</v>
      </c>
      <c r="AP76" s="6">
        <f>'12_MODELO'!AK76-'12_MODELO'!AL76-'12_MODELO'!AM76-'12_MODELO'!AN76-'12_MODELO'!Q76-'12_MODELO'!AO76</f>
        <v>-191983.3269657704</v>
      </c>
      <c r="AQ76" s="6">
        <f>'12_MODELO'!T76+'12_MODELO'!O76-('12_MODELO'!U76-'12_MODELO'!U75)-('12_MODELO'!V76-'12_MODELO'!V75)+('12_MODELO'!X76-'12_MODELO'!X75)+('12_MODELO'!Y76-'12_MODELO'!Y75)+('12_MODELO'!Z76-'12_MODELO'!Z75)+('12_MODELO'!AA76-'12_MODELO'!AA75)</f>
        <v>-191983.32696577048</v>
      </c>
      <c r="AR76" s="6">
        <f>-'12_MODELO'!AB76</f>
        <v>-120000.0</v>
      </c>
      <c r="AS76" s="6">
        <f>'12_MODELO'!AE76-'12_MODELO'!AF76-'12_MODELO'!AH76</f>
        <v>-18000.0</v>
      </c>
      <c r="AT76" s="6">
        <f>'12_MODELO'!AQ76+'12_MODELO'!AR76+'12_MODELO'!AS76</f>
        <v>-329983.32696577045</v>
      </c>
      <c r="AU76" s="6">
        <f>'12_MODELO'!AV75</f>
        <v>2430636.627360684</v>
      </c>
      <c r="AV76" s="6">
        <f>'12_MODELO'!AU76+'12_MODELO'!AT76</f>
        <v>2100653.300394913</v>
      </c>
      <c r="AW76" s="6">
        <f>'12_MODELO'!AV76+'12_MODELO'!U76+'12_MODELO'!V76+'12_MODELO'!AC76-'12_MODELO'!AD76</f>
        <v>7603415.796940407</v>
      </c>
      <c r="AX76" s="6">
        <f>'12_MODELO'!X76+'12_MODELO'!Y76+'12_MODELO'!Z76+'12_MODELO'!AA76+'12_MODELO'!AG76</f>
        <v>2264518.3570342986</v>
      </c>
      <c r="AY76" s="6">
        <f>'12_MODELO'!AI76+'12_MODELO'!AJ76</f>
        <v>5338897.439906108</v>
      </c>
      <c r="AZ76" s="6">
        <f>'12_MODELO'!AW76-'12_MODELO'!AX76-'12_MODELO'!AY76</f>
        <v>0.0</v>
      </c>
      <c r="BA76" s="6">
        <f>'12_MODELO'!AP76-'12_MODELO'!AQ76</f>
        <v>8.731149137020111e-11</v>
      </c>
      <c r="BB76" s="6">
        <f>'08_PREMISSAS'!O76</f>
        <v>38.0</v>
      </c>
      <c r="BC76" s="6">
        <f>'08_PREMISSAS'!P76</f>
        <v>42.0</v>
      </c>
      <c r="BD76" s="6">
        <f>'08_PREMISSAS'!Q76</f>
        <v>38.0</v>
      </c>
      <c r="BE76" s="9">
        <f>'08_PREMISSAS'!R76</f>
        <v>0.085</v>
      </c>
      <c r="BF76" s="9">
        <f>'08_PREMISSAS'!S76</f>
        <v>0.34</v>
      </c>
      <c r="BG76" s="9">
        <f>'08_PREMISSAS'!T76</f>
        <v>0.012</v>
      </c>
      <c r="BH76" s="9">
        <f>'08_PREMISSAS'!U76</f>
        <v>0.01</v>
      </c>
      <c r="BI76" s="9">
        <f>IFERROR('12_MODELO'!N76/'12_MODELO'!E76,0)</f>
        <v>0.11291098566529997</v>
      </c>
      <c r="BJ76" s="9">
        <f>IFERROR('12_MODELO'!T76/'12_MODELO'!E76,0)</f>
        <v>0.06018471166357844</v>
      </c>
      <c r="BK76" s="6">
        <f>'12_MODELO'!AQ76+'12_MODELO'!AR76</f>
        <v>-311983.32696577045</v>
      </c>
      <c r="BL76" s="6">
        <f>'12_MODELO'!U76+'12_MODELO'!V76-'12_MODELO'!X76-'12_MODELO'!Y76-'12_MODELO'!Z76-'12_MODELO'!AA76</f>
        <v>2076304.139511195</v>
      </c>
      <c r="BM76" s="6">
        <f>'12_MODELO'!AG76-'12_MODELO'!AV76</f>
        <v>-1436653.3003949132</v>
      </c>
      <c r="BN76" s="6">
        <f>0</f>
        <v>0</v>
      </c>
      <c r="BO76" s="6">
        <f>'12_MODELO'!AV76+'12_MODELO'!U76+'12_MODELO'!V76</f>
        <v>5777475.796940407</v>
      </c>
      <c r="BP76" s="6">
        <f>'12_MODELO'!AC76-'12_MODELO'!AD76</f>
        <v>1825940.0</v>
      </c>
      <c r="BQ76" s="6">
        <f>MIN('12_MODELO'!AG76,'12_MODELO'!AF76*12)</f>
        <v>216000.0</v>
      </c>
      <c r="BR76" s="6">
        <f>'12_MODELO'!AG76-'12_MODELO'!BQ76</f>
        <v>448000.0</v>
      </c>
      <c r="BS76" s="6">
        <f>'12_MODELO'!AX76-'12_MODELO'!BR76</f>
        <v>1816518.3570342986</v>
      </c>
      <c r="BT76" s="6">
        <f>'12_MODELO'!BR76</f>
        <v>448000.0</v>
      </c>
      <c r="BU76" s="6">
        <f>IFERROR('12_MODELO'!BO76/'12_MODELO'!BS76,0)</f>
        <v>3.1805215590404954</v>
      </c>
    </row>
    <row r="77" spans="1:73">
      <c r="A77" s="5">
        <v>46113</v>
      </c>
      <c r="B77" t="s">
        <v>82</v>
      </c>
      <c r="C77" s="6">
        <f>'08_PREMISSAS'!C77*'08_PREMISSAS'!D77</f>
        <v>1688842.6084000003</v>
      </c>
      <c r="D77" s="6">
        <f>'12_MODELO'!C77*'12_MODELO'!BE77</f>
        <v>143551.62171400004</v>
      </c>
      <c r="E77" s="6">
        <f>'12_MODELO'!C77-'12_MODELO'!D77</f>
        <v>1545290.9866860001</v>
      </c>
      <c r="F77" s="6">
        <f>'12_MODELO'!C77*'08_PREMISSAS'!E77</f>
        <v>1087614.6398096003</v>
      </c>
      <c r="G77" s="6">
        <f>'12_MODELO'!E77-'12_MODELO'!F77</f>
        <v>457676.3468763998</v>
      </c>
      <c r="H77" s="6">
        <f>'08_PREMISSAS'!J77</f>
        <v>125000.0</v>
      </c>
      <c r="I77" s="6">
        <f>'12_MODELO'!C77*'08_PREMISSAS'!F77</f>
        <v>59109.491294000014</v>
      </c>
      <c r="J77" s="6">
        <f>'08_PREMISSAS'!L77</f>
        <v>37000.0</v>
      </c>
      <c r="K77" s="6">
        <f>'08_PREMISSAS'!M77</f>
        <v>24000.0</v>
      </c>
      <c r="L77" s="6">
        <f>'12_MODELO'!C77*'08_PREMISSAS'!G77</f>
        <v>38843.3799932</v>
      </c>
      <c r="M77" s="6">
        <f>SUM('12_MODELO'!H77:'12_MODELO'!L77)</f>
        <v>283952.8712872</v>
      </c>
      <c r="N77" s="6">
        <f>'12_MODELO'!G77-'12_MODELO'!M77</f>
        <v>173723.4755891998</v>
      </c>
      <c r="O77" s="6">
        <f>MIN('12_MODELO'!AC76*'12_MODELO'!BH77,'12_MODELO'!AC76-'12_MODELO'!AD76+'12_MODELO'!AB77)</f>
        <v>26720.0</v>
      </c>
      <c r="P77" s="6">
        <f>'12_MODELO'!N77-'12_MODELO'!O77</f>
        <v>147003.4755891998</v>
      </c>
      <c r="Q77" s="6">
        <f>'12_MODELO'!AG76*'12_MODELO'!BG77</f>
        <v>7968.0</v>
      </c>
      <c r="R77" s="6">
        <f>'12_MODELO'!P77-'12_MODELO'!Q77</f>
        <v>139035.4755891998</v>
      </c>
      <c r="S77" s="6">
        <f>MAX(0,'12_MODELO'!R77)*'12_MODELO'!BF77</f>
        <v>47272.06170032794</v>
      </c>
      <c r="T77" s="6">
        <f>'12_MODELO'!R77-'12_MODELO'!S77</f>
        <v>91763.41388887187</v>
      </c>
      <c r="U77" s="6">
        <f>'12_MODELO'!C77*'12_MODELO'!BB77/30</f>
        <v>2139200.637306667</v>
      </c>
      <c r="V77" s="6">
        <f>'12_MODELO'!F77*'12_MODELO'!BC77/30</f>
        <v>1522660.4957334404</v>
      </c>
      <c r="W77" s="6">
        <f>'12_MODELO'!F77+'12_MODELO'!V77-'12_MODELO'!V76</f>
        <v>1081393.465290881</v>
      </c>
      <c r="X77" s="6">
        <f>'12_MODELO'!F77*'12_MODELO'!BD77/30</f>
        <v>1377645.2104254935</v>
      </c>
      <c r="Y77" s="6">
        <f>'12_MODELO'!H77*20%</f>
        <v>25000.0</v>
      </c>
      <c r="Z77" s="6">
        <f>'12_MODELO'!D77</f>
        <v>143551.62171400004</v>
      </c>
      <c r="AA77" s="6">
        <f>'12_MODELO'!S77</f>
        <v>47272.06170032794</v>
      </c>
      <c r="AB77" s="6">
        <f>'08_PREMISSAS'!V77</f>
        <v>22000.0</v>
      </c>
      <c r="AC77" s="6">
        <f>'12_MODELO'!AC76+'12_MODELO'!AB77</f>
        <v>2694000.0</v>
      </c>
      <c r="AD77" s="6">
        <f>'12_MODELO'!AD76+'12_MODELO'!O77</f>
        <v>872780.0</v>
      </c>
      <c r="AE77" s="6">
        <f>'08_PREMISSAS'!W77</f>
        <v>0.0</v>
      </c>
      <c r="AF77" s="6">
        <f>'08_PREMISSAS'!X77</f>
        <v>18000.0</v>
      </c>
      <c r="AG77" s="6">
        <f>'12_MODELO'!AG76+'12_MODELO'!AE77-'12_MODELO'!AF77</f>
        <v>646000.0</v>
      </c>
      <c r="AH77" s="6">
        <f>'08_PREMISSAS'!Y77</f>
        <v>0.0</v>
      </c>
      <c r="AI77" s="6">
        <f>'12_MODELO'!AI76</f>
        <v>3900000.0</v>
      </c>
      <c r="AJ77" s="6">
        <f>'12_MODELO'!AJ76+'12_MODELO'!T77-'12_MODELO'!AH77</f>
        <v>1530660.8537949799</v>
      </c>
      <c r="AK77" s="6">
        <f>'12_MODELO'!U76+'12_MODELO'!C77-'12_MODELO'!U77</f>
        <v>1697582.7973866668</v>
      </c>
      <c r="AL77" s="6">
        <f>'12_MODELO'!X76+'12_MODELO'!W77-'12_MODELO'!X77</f>
        <v>1087022.1469982944</v>
      </c>
      <c r="AM77" s="6">
        <f>'12_MODELO'!M77+'12_MODELO'!Y76-'12_MODELO'!Y77</f>
        <v>283952.8712872</v>
      </c>
      <c r="AN77" s="6">
        <f>'12_MODELO'!Z76+'12_MODELO'!D77-'12_MODELO'!Z77</f>
        <v>144138.13439600004</v>
      </c>
      <c r="AO77" s="6">
        <f>'12_MODELO'!AA76+'12_MODELO'!S77-'12_MODELO'!AA77</f>
        <v>48106.33050539201</v>
      </c>
      <c r="AP77" s="6">
        <f>'12_MODELO'!AK77-'12_MODELO'!AL77-'12_MODELO'!AM77-'12_MODELO'!AN77-'12_MODELO'!Q77-'12_MODELO'!AO77</f>
        <v>126395.31419978029</v>
      </c>
      <c r="AQ77" s="6">
        <f>'12_MODELO'!T77+'12_MODELO'!O77-('12_MODELO'!U77-'12_MODELO'!U76)-('12_MODELO'!V77-'12_MODELO'!V76)+('12_MODELO'!X77-'12_MODELO'!X76)+('12_MODELO'!Y77-'12_MODELO'!Y76)+('12_MODELO'!Z77-'12_MODELO'!Z76)+('12_MODELO'!AA77-'12_MODELO'!AA76)</f>
        <v>126395.31419978073</v>
      </c>
      <c r="AR77" s="6">
        <f>-'12_MODELO'!AB77</f>
        <v>-22000.0</v>
      </c>
      <c r="AS77" s="6">
        <f>'12_MODELO'!AE77-'12_MODELO'!AF77-'12_MODELO'!AH77</f>
        <v>-18000.0</v>
      </c>
      <c r="AT77" s="6">
        <f>'12_MODELO'!AQ77+'12_MODELO'!AR77+'12_MODELO'!AS77</f>
        <v>86395.31419978073</v>
      </c>
      <c r="AU77" s="6">
        <f>'12_MODELO'!AV76</f>
        <v>2100653.300394913</v>
      </c>
      <c r="AV77" s="6">
        <f>'12_MODELO'!AU77+'12_MODELO'!AT77</f>
        <v>2187048.6145946938</v>
      </c>
      <c r="AW77" s="6">
        <f>'12_MODELO'!AV77+'12_MODELO'!U77+'12_MODELO'!V77+'12_MODELO'!AC77-'12_MODELO'!AD77</f>
        <v>7670129.7476348</v>
      </c>
      <c r="AX77" s="6">
        <f>'12_MODELO'!X77+'12_MODELO'!Y77+'12_MODELO'!Z77+'12_MODELO'!AA77+'12_MODELO'!AG77</f>
        <v>2239468.8938398217</v>
      </c>
      <c r="AY77" s="6">
        <f>'12_MODELO'!AI77+'12_MODELO'!AJ77</f>
        <v>5430660.85379498</v>
      </c>
      <c r="AZ77" s="6">
        <f>'12_MODELO'!AW77-'12_MODELO'!AX77-'12_MODELO'!AY77</f>
        <v>-9.313225746154785e-10</v>
      </c>
      <c r="BA77" s="6">
        <f>'12_MODELO'!AP77-'12_MODELO'!AQ77</f>
        <v>-4.3655745685100555e-10</v>
      </c>
      <c r="BB77" s="6">
        <f>'08_PREMISSAS'!O77</f>
        <v>38.0</v>
      </c>
      <c r="BC77" s="6">
        <f>'08_PREMISSAS'!P77</f>
        <v>42.0</v>
      </c>
      <c r="BD77" s="6">
        <f>'08_PREMISSAS'!Q77</f>
        <v>38.0</v>
      </c>
      <c r="BE77" s="9">
        <f>'08_PREMISSAS'!R77</f>
        <v>0.085</v>
      </c>
      <c r="BF77" s="9">
        <f>'08_PREMISSAS'!S77</f>
        <v>0.34</v>
      </c>
      <c r="BG77" s="9">
        <f>'08_PREMISSAS'!T77</f>
        <v>0.012</v>
      </c>
      <c r="BH77" s="9">
        <f>'08_PREMISSAS'!U77</f>
        <v>0.01</v>
      </c>
      <c r="BI77" s="9">
        <f>IFERROR('12_MODELO'!N77/'12_MODELO'!E77,0)</f>
        <v>0.11242120551143812</v>
      </c>
      <c r="BJ77" s="9">
        <f>IFERROR('12_MODELO'!T77/'12_MODELO'!E77,0)</f>
        <v>0.05938261122305893</v>
      </c>
      <c r="BK77" s="6">
        <f>'12_MODELO'!AQ77+'12_MODELO'!AR77</f>
        <v>104395.31419978073</v>
      </c>
      <c r="BL77" s="6">
        <f>'12_MODELO'!U77+'12_MODELO'!V77-'12_MODELO'!X77-'12_MODELO'!Y77-'12_MODELO'!Z77-'12_MODELO'!AA77</f>
        <v>2068392.2392002854</v>
      </c>
      <c r="BM77" s="6">
        <f>'12_MODELO'!AG77-'12_MODELO'!AV77</f>
        <v>-1541048.6145946938</v>
      </c>
      <c r="BN77" s="6">
        <f>0</f>
        <v>0</v>
      </c>
      <c r="BO77" s="6">
        <f>'12_MODELO'!AV77+'12_MODELO'!U77+'12_MODELO'!V77</f>
        <v>5848909.7476348</v>
      </c>
      <c r="BP77" s="6">
        <f>'12_MODELO'!AC77-'12_MODELO'!AD77</f>
        <v>1821220.0</v>
      </c>
      <c r="BQ77" s="6">
        <f>MIN('12_MODELO'!AG77,'12_MODELO'!AF77*12)</f>
        <v>216000.0</v>
      </c>
      <c r="BR77" s="6">
        <f>'12_MODELO'!AG77-'12_MODELO'!BQ77</f>
        <v>430000.0</v>
      </c>
      <c r="BS77" s="6">
        <f>'12_MODELO'!AX77-'12_MODELO'!BR77</f>
        <v>1809468.8938398217</v>
      </c>
      <c r="BT77" s="6">
        <f>'12_MODELO'!BR77</f>
        <v>430000.0</v>
      </c>
      <c r="BU77" s="6">
        <f>IFERROR('12_MODELO'!BO77/'12_MODELO'!BS77,0)</f>
        <v>3.2323903259939426</v>
      </c>
    </row>
    <row r="78" spans="1:73">
      <c r="A78" s="5">
        <v>46143</v>
      </c>
      <c r="B78" t="s">
        <v>82</v>
      </c>
      <c r="C78" s="6">
        <f>'08_PREMISSAS'!C78*'08_PREMISSAS'!D78</f>
        <v>1768607.8066000002</v>
      </c>
      <c r="D78" s="6">
        <f>'12_MODELO'!C78*'12_MODELO'!BE78</f>
        <v>150331.66356100002</v>
      </c>
      <c r="E78" s="6">
        <f>'12_MODELO'!C78-'12_MODELO'!D78</f>
        <v>1618276.1430390002</v>
      </c>
      <c r="F78" s="6">
        <f>'12_MODELO'!C78*'08_PREMISSAS'!E78</f>
        <v>1138983.4274504</v>
      </c>
      <c r="G78" s="6">
        <f>'12_MODELO'!E78-'12_MODELO'!F78</f>
        <v>479292.71558860014</v>
      </c>
      <c r="H78" s="6">
        <f>'08_PREMISSAS'!J78</f>
        <v>125000.0</v>
      </c>
      <c r="I78" s="6">
        <f>'12_MODELO'!C78*'08_PREMISSAS'!F78</f>
        <v>61901.273231000014</v>
      </c>
      <c r="J78" s="6">
        <f>'08_PREMISSAS'!L78</f>
        <v>37000.0</v>
      </c>
      <c r="K78" s="6">
        <f>'08_PREMISSAS'!M78</f>
        <v>24000.0</v>
      </c>
      <c r="L78" s="6">
        <f>'12_MODELO'!C78*'08_PREMISSAS'!G78</f>
        <v>40677.97955180001</v>
      </c>
      <c r="M78" s="6">
        <f>SUM('12_MODELO'!H78:'12_MODELO'!L78)</f>
        <v>288579.2527828</v>
      </c>
      <c r="N78" s="6">
        <f>'12_MODELO'!G78-'12_MODELO'!M78</f>
        <v>190713.46280580014</v>
      </c>
      <c r="O78" s="6">
        <f>MIN('12_MODELO'!AC77*'12_MODELO'!BH78,'12_MODELO'!AC77-'12_MODELO'!AD77+'12_MODELO'!AB78)</f>
        <v>26940.0</v>
      </c>
      <c r="P78" s="6">
        <f>'12_MODELO'!N78-'12_MODELO'!O78</f>
        <v>163773.46280580014</v>
      </c>
      <c r="Q78" s="6">
        <f>'12_MODELO'!AG77*'12_MODELO'!BG78</f>
        <v>7752.0</v>
      </c>
      <c r="R78" s="6">
        <f>'12_MODELO'!P78-'12_MODELO'!Q78</f>
        <v>156021.46280580014</v>
      </c>
      <c r="S78" s="6">
        <f>MAX(0,'12_MODELO'!R78)*'12_MODELO'!BF78</f>
        <v>53047.29735397205</v>
      </c>
      <c r="T78" s="6">
        <f>'12_MODELO'!R78-'12_MODELO'!S78</f>
        <v>102974.1654518281</v>
      </c>
      <c r="U78" s="6">
        <f>'12_MODELO'!C78*'12_MODELO'!BB78/30</f>
        <v>2240236.5550266667</v>
      </c>
      <c r="V78" s="6">
        <f>'12_MODELO'!F78*'12_MODELO'!BC78/30</f>
        <v>1594576.79843056</v>
      </c>
      <c r="W78" s="6">
        <f>'12_MODELO'!F78+'12_MODELO'!V78-'12_MODELO'!V77</f>
        <v>1210899.7301475196</v>
      </c>
      <c r="X78" s="6">
        <f>'12_MODELO'!F78*'12_MODELO'!BD78/30</f>
        <v>1442712.3414371733</v>
      </c>
      <c r="Y78" s="6">
        <f>'12_MODELO'!H78*20%</f>
        <v>25000.0</v>
      </c>
      <c r="Z78" s="6">
        <f>'12_MODELO'!D78</f>
        <v>150331.66356100002</v>
      </c>
      <c r="AA78" s="6">
        <f>'12_MODELO'!S78</f>
        <v>53047.29735397205</v>
      </c>
      <c r="AB78" s="6">
        <f>'08_PREMISSAS'!V78</f>
        <v>22000.0</v>
      </c>
      <c r="AC78" s="6">
        <f>'12_MODELO'!AC77+'12_MODELO'!AB78</f>
        <v>2716000.0</v>
      </c>
      <c r="AD78" s="6">
        <f>'12_MODELO'!AD77+'12_MODELO'!O78</f>
        <v>899720.0</v>
      </c>
      <c r="AE78" s="6">
        <f>'08_PREMISSAS'!W78</f>
        <v>0.0</v>
      </c>
      <c r="AF78" s="6">
        <f>'08_PREMISSAS'!X78</f>
        <v>18000.0</v>
      </c>
      <c r="AG78" s="6">
        <f>'12_MODELO'!AG77+'12_MODELO'!AE78-'12_MODELO'!AF78</f>
        <v>628000.0</v>
      </c>
      <c r="AH78" s="6">
        <f>'08_PREMISSAS'!Y78</f>
        <v>0.0</v>
      </c>
      <c r="AI78" s="6">
        <f>'12_MODELO'!AI77</f>
        <v>3900000.0</v>
      </c>
      <c r="AJ78" s="6">
        <f>'12_MODELO'!AJ77+'12_MODELO'!T78-'12_MODELO'!AH78</f>
        <v>1633635.019246808</v>
      </c>
      <c r="AK78" s="6">
        <f>'12_MODELO'!U77+'12_MODELO'!C78-'12_MODELO'!U78</f>
        <v>1667571.8888800004</v>
      </c>
      <c r="AL78" s="6">
        <f>'12_MODELO'!X77+'12_MODELO'!W78-'12_MODELO'!X78</f>
        <v>1145832.59913584</v>
      </c>
      <c r="AM78" s="6">
        <f>'12_MODELO'!M78+'12_MODELO'!Y77-'12_MODELO'!Y78</f>
        <v>288579.2527828</v>
      </c>
      <c r="AN78" s="6">
        <f>'12_MODELO'!Z77+'12_MODELO'!D78-'12_MODELO'!Z78</f>
        <v>143551.621714</v>
      </c>
      <c r="AO78" s="6">
        <f>'12_MODELO'!AA77+'12_MODELO'!S78-'12_MODELO'!AA78</f>
        <v>47272.06170032794</v>
      </c>
      <c r="AP78" s="6">
        <f>'12_MODELO'!AK78-'12_MODELO'!AL78-'12_MODELO'!AM78-'12_MODELO'!AN78-'12_MODELO'!Q78-'12_MODELO'!AO78</f>
        <v>34584.35354703242</v>
      </c>
      <c r="AQ78" s="6">
        <f>'12_MODELO'!T78+'12_MODELO'!O78-('12_MODELO'!U78-'12_MODELO'!U77)-('12_MODELO'!V78-'12_MODELO'!V77)+('12_MODELO'!X78-'12_MODELO'!X77)+('12_MODELO'!Y78-'12_MODELO'!Y77)+('12_MODELO'!Z78-'12_MODELO'!Z77)+('12_MODELO'!AA78-'12_MODELO'!AA77)</f>
        <v>34584.35354703263</v>
      </c>
      <c r="AR78" s="6">
        <f>-'12_MODELO'!AB78</f>
        <v>-22000.0</v>
      </c>
      <c r="AS78" s="6">
        <f>'12_MODELO'!AE78-'12_MODELO'!AF78-'12_MODELO'!AH78</f>
        <v>-18000.0</v>
      </c>
      <c r="AT78" s="6">
        <f>'12_MODELO'!AQ78+'12_MODELO'!AR78+'12_MODELO'!AS78</f>
        <v>-5415.6464529673685</v>
      </c>
      <c r="AU78" s="6">
        <f>'12_MODELO'!AV77</f>
        <v>2187048.6145946938</v>
      </c>
      <c r="AV78" s="6">
        <f>'12_MODELO'!AU78+'12_MODELO'!AT78</f>
        <v>2181632.968141726</v>
      </c>
      <c r="AW78" s="6">
        <f>'12_MODELO'!AV78+'12_MODELO'!U78+'12_MODELO'!V78+'12_MODELO'!AC78-'12_MODELO'!AD78</f>
        <v>7832726.321598953</v>
      </c>
      <c r="AX78" s="6">
        <f>'12_MODELO'!X78+'12_MODELO'!Y78+'12_MODELO'!Z78+'12_MODELO'!AA78+'12_MODELO'!AG78</f>
        <v>2299091.3023521453</v>
      </c>
      <c r="AY78" s="6">
        <f>'12_MODELO'!AI78+'12_MODELO'!AJ78</f>
        <v>5533635.019246808</v>
      </c>
      <c r="AZ78" s="6">
        <f>'12_MODELO'!AW78-'12_MODELO'!AX78-'12_MODELO'!AY78</f>
        <v>-9.313225746154785e-10</v>
      </c>
      <c r="BA78" s="6">
        <f>'12_MODELO'!AP78-'12_MODELO'!AQ78</f>
        <v>-2.1100277081131935e-10</v>
      </c>
      <c r="BB78" s="6">
        <f>'08_PREMISSAS'!O78</f>
        <v>38.0</v>
      </c>
      <c r="BC78" s="6">
        <f>'08_PREMISSAS'!P78</f>
        <v>42.0</v>
      </c>
      <c r="BD78" s="6">
        <f>'08_PREMISSAS'!Q78</f>
        <v>38.0</v>
      </c>
      <c r="BE78" s="9">
        <f>'08_PREMISSAS'!R78</f>
        <v>0.085</v>
      </c>
      <c r="BF78" s="9">
        <f>'08_PREMISSAS'!S78</f>
        <v>0.34</v>
      </c>
      <c r="BG78" s="9">
        <f>'08_PREMISSAS'!T78</f>
        <v>0.012</v>
      </c>
      <c r="BH78" s="9">
        <f>'08_PREMISSAS'!U78</f>
        <v>0.01</v>
      </c>
      <c r="BI78" s="9">
        <f>IFERROR('12_MODELO'!N78/'12_MODELO'!E78,0)</f>
        <v>0.11784976477973326</v>
      </c>
      <c r="BJ78" s="9">
        <f>IFERROR('12_MODELO'!T78/'12_MODELO'!E78,0)</f>
        <v>0.06363201107225767</v>
      </c>
      <c r="BK78" s="6">
        <f>'12_MODELO'!AQ78+'12_MODELO'!AR78</f>
        <v>12584.353547032631</v>
      </c>
      <c r="BL78" s="6">
        <f>'12_MODELO'!U78+'12_MODELO'!V78-'12_MODELO'!X78-'12_MODELO'!Y78-'12_MODELO'!Z78-'12_MODELO'!AA78</f>
        <v>2163722.051105081</v>
      </c>
      <c r="BM78" s="6">
        <f>'12_MODELO'!AG78-'12_MODELO'!AV78</f>
        <v>-1553632.9681417262</v>
      </c>
      <c r="BN78" s="6">
        <f>0</f>
        <v>0</v>
      </c>
      <c r="BO78" s="6">
        <f>'12_MODELO'!AV78+'12_MODELO'!U78+'12_MODELO'!V78</f>
        <v>6016446.321598953</v>
      </c>
      <c r="BP78" s="6">
        <f>'12_MODELO'!AC78-'12_MODELO'!AD78</f>
        <v>1816280.0</v>
      </c>
      <c r="BQ78" s="6">
        <f>MIN('12_MODELO'!AG78,'12_MODELO'!AF78*12)</f>
        <v>216000.0</v>
      </c>
      <c r="BR78" s="6">
        <f>'12_MODELO'!AG78-'12_MODELO'!BQ78</f>
        <v>412000.0</v>
      </c>
      <c r="BS78" s="6">
        <f>'12_MODELO'!AX78-'12_MODELO'!BR78</f>
        <v>1887091.3023521453</v>
      </c>
      <c r="BT78" s="6">
        <f>'12_MODELO'!BR78</f>
        <v>412000.0</v>
      </c>
      <c r="BU78" s="6">
        <f>IFERROR('12_MODELO'!BO78/'12_MODELO'!BS78,0)</f>
        <v>3.188211568830727</v>
      </c>
    </row>
    <row r="79" spans="1:73">
      <c r="A79" s="5">
        <v>46174</v>
      </c>
      <c r="B79" t="s">
        <v>82</v>
      </c>
      <c r="C79" s="6">
        <f>'08_PREMISSAS'!C79*'08_PREMISSAS'!D79</f>
        <v>1794816.3834000002</v>
      </c>
      <c r="D79" s="6">
        <f>'12_MODELO'!C79*'12_MODELO'!BE79</f>
        <v>152559.39258900002</v>
      </c>
      <c r="E79" s="6">
        <f>'12_MODELO'!C79-'12_MODELO'!D79</f>
        <v>1642256.990811</v>
      </c>
      <c r="F79" s="6">
        <f>'12_MODELO'!C79*'08_PREMISSAS'!E79</f>
        <v>1155861.7509096002</v>
      </c>
      <c r="G79" s="6">
        <f>'12_MODELO'!E79-'12_MODELO'!F79</f>
        <v>486395.23990139994</v>
      </c>
      <c r="H79" s="6">
        <f>'08_PREMISSAS'!J79</f>
        <v>125000.0</v>
      </c>
      <c r="I79" s="6">
        <f>'12_MODELO'!C79*'08_PREMISSAS'!F79</f>
        <v>62818.573419000015</v>
      </c>
      <c r="J79" s="6">
        <f>'08_PREMISSAS'!L79</f>
        <v>37000.0</v>
      </c>
      <c r="K79" s="6">
        <f>'08_PREMISSAS'!M79</f>
        <v>24000.0</v>
      </c>
      <c r="L79" s="6">
        <f>'12_MODELO'!C79*'08_PREMISSAS'!G79</f>
        <v>41280.7768182</v>
      </c>
      <c r="M79" s="6">
        <f>SUM('12_MODELO'!H79:'12_MODELO'!L79)</f>
        <v>290099.35023720004</v>
      </c>
      <c r="N79" s="6">
        <f>'12_MODELO'!G79-'12_MODELO'!M79</f>
        <v>196295.8896641999</v>
      </c>
      <c r="O79" s="6">
        <f>MIN('12_MODELO'!AC78*'12_MODELO'!BH79,'12_MODELO'!AC78-'12_MODELO'!AD78+'12_MODELO'!AB79)</f>
        <v>27160.0</v>
      </c>
      <c r="P79" s="6">
        <f>'12_MODELO'!N79-'12_MODELO'!O79</f>
        <v>169135.8896641999</v>
      </c>
      <c r="Q79" s="6">
        <f>'12_MODELO'!AG78*'12_MODELO'!BG79</f>
        <v>7536.0</v>
      </c>
      <c r="R79" s="6">
        <f>'12_MODELO'!P79-'12_MODELO'!Q79</f>
        <v>161599.8896641999</v>
      </c>
      <c r="S79" s="6">
        <f>MAX(0,'12_MODELO'!R79)*'12_MODELO'!BF79</f>
        <v>54943.96248582797</v>
      </c>
      <c r="T79" s="6">
        <f>'12_MODELO'!R79-'12_MODELO'!S79</f>
        <v>106655.92717837193</v>
      </c>
      <c r="U79" s="6">
        <f>'12_MODELO'!C79*'12_MODELO'!BB79/30</f>
        <v>2273434.08564</v>
      </c>
      <c r="V79" s="6">
        <f>'12_MODELO'!F79*'12_MODELO'!BC79/30</f>
        <v>1618206.4512734404</v>
      </c>
      <c r="W79" s="6">
        <f>'12_MODELO'!F79+'12_MODELO'!V79-'12_MODELO'!V78</f>
        <v>1179491.4037524809</v>
      </c>
      <c r="X79" s="6">
        <f>'12_MODELO'!F79*'12_MODELO'!BD79/30</f>
        <v>1464091.5511521602</v>
      </c>
      <c r="Y79" s="6">
        <f>'12_MODELO'!H79*20%</f>
        <v>25000.0</v>
      </c>
      <c r="Z79" s="6">
        <f>'12_MODELO'!D79</f>
        <v>152559.39258900002</v>
      </c>
      <c r="AA79" s="6">
        <f>'12_MODELO'!S79</f>
        <v>54943.96248582797</v>
      </c>
      <c r="AB79" s="6">
        <f>'08_PREMISSAS'!V79</f>
        <v>120000.0</v>
      </c>
      <c r="AC79" s="6">
        <f>'12_MODELO'!AC78+'12_MODELO'!AB79</f>
        <v>2836000.0</v>
      </c>
      <c r="AD79" s="6">
        <f>'12_MODELO'!AD78+'12_MODELO'!O79</f>
        <v>926880.0</v>
      </c>
      <c r="AE79" s="6">
        <f>'08_PREMISSAS'!W79</f>
        <v>0.0</v>
      </c>
      <c r="AF79" s="6">
        <f>'08_PREMISSAS'!X79</f>
        <v>18000.0</v>
      </c>
      <c r="AG79" s="6">
        <f>'12_MODELO'!AG78+'12_MODELO'!AE79-'12_MODELO'!AF79</f>
        <v>610000.0</v>
      </c>
      <c r="AH79" s="6">
        <f>'08_PREMISSAS'!Y79</f>
        <v>0.0</v>
      </c>
      <c r="AI79" s="6">
        <f>'12_MODELO'!AI78</f>
        <v>3900000.0</v>
      </c>
      <c r="AJ79" s="6">
        <f>'12_MODELO'!AJ78+'12_MODELO'!T79-'12_MODELO'!AH79</f>
        <v>1740290.94642518</v>
      </c>
      <c r="AK79" s="6">
        <f>'12_MODELO'!U78+'12_MODELO'!C79-'12_MODELO'!U79</f>
        <v>1761618.8527866667</v>
      </c>
      <c r="AL79" s="6">
        <f>'12_MODELO'!X78+'12_MODELO'!W79-'12_MODELO'!X79</f>
        <v>1158112.194037494</v>
      </c>
      <c r="AM79" s="6">
        <f>'12_MODELO'!M79+'12_MODELO'!Y78-'12_MODELO'!Y79</f>
        <v>290099.35023720004</v>
      </c>
      <c r="AN79" s="6">
        <f>'12_MODELO'!Z78+'12_MODELO'!D79-'12_MODELO'!Z79</f>
        <v>150331.66356100005</v>
      </c>
      <c r="AO79" s="6">
        <f>'12_MODELO'!AA78+'12_MODELO'!S79-'12_MODELO'!AA79</f>
        <v>53047.29735397204</v>
      </c>
      <c r="AP79" s="6">
        <f>'12_MODELO'!AK79-'12_MODELO'!AL79-'12_MODELO'!AM79-'12_MODELO'!AN79-'12_MODELO'!Q79-'12_MODELO'!AO79</f>
        <v>102492.34759700057</v>
      </c>
      <c r="AQ79" s="6">
        <f>'12_MODELO'!T79+'12_MODELO'!O79-('12_MODELO'!U79-'12_MODELO'!U78)-('12_MODELO'!V79-'12_MODELO'!V78)+('12_MODELO'!X79-'12_MODELO'!X78)+('12_MODELO'!Y79-'12_MODELO'!Y78)+('12_MODELO'!Z79-'12_MODELO'!Z78)+('12_MODELO'!AA79-'12_MODELO'!AA78)</f>
        <v>102492.3475970008</v>
      </c>
      <c r="AR79" s="6">
        <f>-'12_MODELO'!AB79</f>
        <v>-120000.0</v>
      </c>
      <c r="AS79" s="6">
        <f>'12_MODELO'!AE79-'12_MODELO'!AF79-'12_MODELO'!AH79</f>
        <v>-18000.0</v>
      </c>
      <c r="AT79" s="6">
        <f>'12_MODELO'!AQ79+'12_MODELO'!AR79+'12_MODELO'!AS79</f>
        <v>-35507.6524029992</v>
      </c>
      <c r="AU79" s="6">
        <f>'12_MODELO'!AV78</f>
        <v>2181632.968141726</v>
      </c>
      <c r="AV79" s="6">
        <f>'12_MODELO'!AU79+'12_MODELO'!AT79</f>
        <v>2146125.315738727</v>
      </c>
      <c r="AW79" s="6">
        <f>'12_MODELO'!AV79+'12_MODELO'!U79+'12_MODELO'!V79+'12_MODELO'!AC79-'12_MODELO'!AD79</f>
        <v>7946885.852652166</v>
      </c>
      <c r="AX79" s="6">
        <f>'12_MODELO'!X79+'12_MODELO'!Y79+'12_MODELO'!Z79+'12_MODELO'!AA79+'12_MODELO'!AG79</f>
        <v>2306594.906226988</v>
      </c>
      <c r="AY79" s="6">
        <f>'12_MODELO'!AI79+'12_MODELO'!AJ79</f>
        <v>5640290.94642518</v>
      </c>
      <c r="AZ79" s="6">
        <f>'12_MODELO'!AW79-'12_MODELO'!AX79-'12_MODELO'!AY79</f>
        <v>-1.862645149230957e-09</v>
      </c>
      <c r="BA79" s="6">
        <f>'12_MODELO'!AP79-'12_MODELO'!AQ79</f>
        <v>-2.3283064365386963e-10</v>
      </c>
      <c r="BB79" s="6">
        <f>'08_PREMISSAS'!O79</f>
        <v>38.0</v>
      </c>
      <c r="BC79" s="6">
        <f>'08_PREMISSAS'!P79</f>
        <v>42.0</v>
      </c>
      <c r="BD79" s="6">
        <f>'08_PREMISSAS'!Q79</f>
        <v>38.0</v>
      </c>
      <c r="BE79" s="9">
        <f>'08_PREMISSAS'!R79</f>
        <v>0.085</v>
      </c>
      <c r="BF79" s="9">
        <f>'08_PREMISSAS'!S79</f>
        <v>0.34</v>
      </c>
      <c r="BG79" s="9">
        <f>'08_PREMISSAS'!T79</f>
        <v>0.012</v>
      </c>
      <c r="BH79" s="9">
        <f>'08_PREMISSAS'!U79</f>
        <v>0.01</v>
      </c>
      <c r="BI79" s="9">
        <f>IFERROR('12_MODELO'!N79/'12_MODELO'!E79,0)</f>
        <v>0.11952811938846586</v>
      </c>
      <c r="BJ79" s="9">
        <f>IFERROR('12_MODELO'!T79/'12_MODELO'!E79,0)</f>
        <v>0.06494472410539215</v>
      </c>
      <c r="BK79" s="6">
        <f>'12_MODELO'!AQ79+'12_MODELO'!AR79</f>
        <v>-17507.6524029992</v>
      </c>
      <c r="BL79" s="6">
        <f>'12_MODELO'!U79+'12_MODELO'!V79-'12_MODELO'!X79-'12_MODELO'!Y79-'12_MODELO'!Z79-'12_MODELO'!AA79</f>
        <v>2195045.630686452</v>
      </c>
      <c r="BM79" s="6">
        <f>'12_MODELO'!AG79-'12_MODELO'!AV79</f>
        <v>-1536125.3157387269</v>
      </c>
      <c r="BN79" s="6">
        <f>0</f>
        <v>0</v>
      </c>
      <c r="BO79" s="6">
        <f>'12_MODELO'!AV79+'12_MODELO'!U79+'12_MODELO'!V79</f>
        <v>6037765.852652167</v>
      </c>
      <c r="BP79" s="6">
        <f>'12_MODELO'!AC79-'12_MODELO'!AD79</f>
        <v>1909120.0</v>
      </c>
      <c r="BQ79" s="6">
        <f>MIN('12_MODELO'!AG79,'12_MODELO'!AF79*12)</f>
        <v>216000.0</v>
      </c>
      <c r="BR79" s="6">
        <f>'12_MODELO'!AG79-'12_MODELO'!BQ79</f>
        <v>394000.0</v>
      </c>
      <c r="BS79" s="6">
        <f>'12_MODELO'!AX79-'12_MODELO'!BR79</f>
        <v>1912594.906226988</v>
      </c>
      <c r="BT79" s="6">
        <f>'12_MODELO'!BR79</f>
        <v>394000.0</v>
      </c>
      <c r="BU79" s="6">
        <f>IFERROR('12_MODELO'!BO79/'12_MODELO'!BS79,0)</f>
        <v>3.156845097199899</v>
      </c>
    </row>
    <row r="80" spans="1:73">
      <c r="A80" s="5">
        <v>46204</v>
      </c>
      <c r="B80" t="s">
        <v>82</v>
      </c>
      <c r="C80" s="6">
        <f>'08_PREMISSAS'!C80*'08_PREMISSAS'!D80</f>
        <v>1472921.2256</v>
      </c>
      <c r="D80" s="6">
        <f>'12_MODELO'!C80*'12_MODELO'!BE80</f>
        <v>125198.304176</v>
      </c>
      <c r="E80" s="6">
        <f>'12_MODELO'!C80-'12_MODELO'!D80</f>
        <v>1347722.921424</v>
      </c>
      <c r="F80" s="6">
        <f>'12_MODELO'!C80*'08_PREMISSAS'!E80</f>
        <v>948561.2692864</v>
      </c>
      <c r="G80" s="6">
        <f>'12_MODELO'!E80-'12_MODELO'!F80</f>
        <v>399161.6521376</v>
      </c>
      <c r="H80" s="6">
        <f>'08_PREMISSAS'!J80</f>
        <v>125000.0</v>
      </c>
      <c r="I80" s="6">
        <f>'12_MODELO'!C80*'08_PREMISSAS'!F80</f>
        <v>51552.242896</v>
      </c>
      <c r="J80" s="6">
        <f>'08_PREMISSAS'!L80</f>
        <v>37000.0</v>
      </c>
      <c r="K80" s="6">
        <f>'08_PREMISSAS'!M80</f>
        <v>24000.0</v>
      </c>
      <c r="L80" s="6">
        <f>'12_MODELO'!C80*'08_PREMISSAS'!G80</f>
        <v>33877.1881888</v>
      </c>
      <c r="M80" s="6">
        <f>SUM('12_MODELO'!H80:'12_MODELO'!L80)</f>
        <v>271429.4310848</v>
      </c>
      <c r="N80" s="6">
        <f>'12_MODELO'!G80-'12_MODELO'!M80</f>
        <v>127732.22105280001</v>
      </c>
      <c r="O80" s="6">
        <f>MIN('12_MODELO'!AC79*'12_MODELO'!BH80,'12_MODELO'!AC79-'12_MODELO'!AD79+'12_MODELO'!AB80)</f>
        <v>28360.0</v>
      </c>
      <c r="P80" s="6">
        <f>'12_MODELO'!N80-'12_MODELO'!O80</f>
        <v>99372.22105280001</v>
      </c>
      <c r="Q80" s="6">
        <f>'12_MODELO'!AG79*'12_MODELO'!BG80</f>
        <v>7320.0</v>
      </c>
      <c r="R80" s="6">
        <f>'12_MODELO'!P80-'12_MODELO'!Q80</f>
        <v>92052.22105280001</v>
      </c>
      <c r="S80" s="6">
        <f>MAX(0,'12_MODELO'!R80)*'12_MODELO'!BF80</f>
        <v>31297.755157952008</v>
      </c>
      <c r="T80" s="6">
        <f>'12_MODELO'!R80-'12_MODELO'!S80</f>
        <v>60754.46589484801</v>
      </c>
      <c r="U80" s="6">
        <f>'12_MODELO'!C80*'12_MODELO'!BB80/30</f>
        <v>1865700.2190933335</v>
      </c>
      <c r="V80" s="6">
        <f>'12_MODELO'!F80*'12_MODELO'!BC80/30</f>
        <v>1327985.77700096</v>
      </c>
      <c r="W80" s="6">
        <f>'12_MODELO'!F80+'12_MODELO'!V80-'12_MODELO'!V79</f>
        <v>658340.5950139198</v>
      </c>
      <c r="X80" s="6">
        <f>'12_MODELO'!F80*'12_MODELO'!BD80/30</f>
        <v>1201510.9410961068</v>
      </c>
      <c r="Y80" s="6">
        <f>'12_MODELO'!H80*20%</f>
        <v>25000.0</v>
      </c>
      <c r="Z80" s="6">
        <f>'12_MODELO'!D80</f>
        <v>125198.304176</v>
      </c>
      <c r="AA80" s="6">
        <f>'12_MODELO'!S80</f>
        <v>31297.755157952008</v>
      </c>
      <c r="AB80" s="6">
        <f>'08_PREMISSAS'!V80</f>
        <v>22000.0</v>
      </c>
      <c r="AC80" s="6">
        <f>'12_MODELO'!AC79+'12_MODELO'!AB80</f>
        <v>2858000.0</v>
      </c>
      <c r="AD80" s="6">
        <f>'12_MODELO'!AD79+'12_MODELO'!O80</f>
        <v>955240.0</v>
      </c>
      <c r="AE80" s="6">
        <f>'08_PREMISSAS'!W80</f>
        <v>0.0</v>
      </c>
      <c r="AF80" s="6">
        <f>'08_PREMISSAS'!X80</f>
        <v>18000.0</v>
      </c>
      <c r="AG80" s="6">
        <f>'12_MODELO'!AG79+'12_MODELO'!AE80-'12_MODELO'!AF80</f>
        <v>592000.0</v>
      </c>
      <c r="AH80" s="6">
        <f>'08_PREMISSAS'!Y80</f>
        <v>0.0</v>
      </c>
      <c r="AI80" s="6">
        <f>'12_MODELO'!AI79</f>
        <v>3900000.0</v>
      </c>
      <c r="AJ80" s="6">
        <f>'12_MODELO'!AJ79+'12_MODELO'!T80-'12_MODELO'!AH80</f>
        <v>1801045.412320028</v>
      </c>
      <c r="AK80" s="6">
        <f>'12_MODELO'!U79+'12_MODELO'!C80-'12_MODELO'!U80</f>
        <v>1880655.0921466667</v>
      </c>
      <c r="AL80" s="6">
        <f>'12_MODELO'!X79+'12_MODELO'!W80-'12_MODELO'!X80</f>
        <v>920921.2050699729</v>
      </c>
      <c r="AM80" s="6">
        <f>'12_MODELO'!M80+'12_MODELO'!Y79-'12_MODELO'!Y80</f>
        <v>271429.4310848</v>
      </c>
      <c r="AN80" s="6">
        <f>'12_MODELO'!Z79+'12_MODELO'!D80-'12_MODELO'!Z80</f>
        <v>152559.392589</v>
      </c>
      <c r="AO80" s="6">
        <f>'12_MODELO'!AA79+'12_MODELO'!S80-'12_MODELO'!AA80</f>
        <v>54943.96248582797</v>
      </c>
      <c r="AP80" s="6">
        <f>'12_MODELO'!AK80-'12_MODELO'!AL80-'12_MODELO'!AM80-'12_MODELO'!AN80-'12_MODELO'!Q80-'12_MODELO'!AO80</f>
        <v>473481.10091706575</v>
      </c>
      <c r="AQ80" s="6">
        <f>'12_MODELO'!T80+'12_MODELO'!O80-('12_MODELO'!U80-'12_MODELO'!U79)-('12_MODELO'!V80-'12_MODELO'!V79)+('12_MODELO'!X80-'12_MODELO'!X79)+('12_MODELO'!Y80-'12_MODELO'!Y79)+('12_MODELO'!Z80-'12_MODELO'!Z79)+('12_MODELO'!AA80-'12_MODELO'!AA79)</f>
        <v>473481.10091706575</v>
      </c>
      <c r="AR80" s="6">
        <f>-'12_MODELO'!AB80</f>
        <v>-22000.0</v>
      </c>
      <c r="AS80" s="6">
        <f>'12_MODELO'!AE80-'12_MODELO'!AF80-'12_MODELO'!AH80</f>
        <v>-18000.0</v>
      </c>
      <c r="AT80" s="6">
        <f>'12_MODELO'!AQ80+'12_MODELO'!AR80+'12_MODELO'!AS80</f>
        <v>433481.10091706575</v>
      </c>
      <c r="AU80" s="6">
        <f>'12_MODELO'!AV79</f>
        <v>2146125.315738727</v>
      </c>
      <c r="AV80" s="6">
        <f>'12_MODELO'!AU80+'12_MODELO'!AT80</f>
        <v>2579606.416655793</v>
      </c>
      <c r="AW80" s="6">
        <f>'12_MODELO'!AV80+'12_MODELO'!U80+'12_MODELO'!V80+'12_MODELO'!AC80-'12_MODELO'!AD80</f>
        <v>7676052.412750086</v>
      </c>
      <c r="AX80" s="6">
        <f>'12_MODELO'!X80+'12_MODELO'!Y80+'12_MODELO'!Z80+'12_MODELO'!AA80+'12_MODELO'!AG80</f>
        <v>1975007.0004300587</v>
      </c>
      <c r="AY80" s="6">
        <f>'12_MODELO'!AI80+'12_MODELO'!AJ80</f>
        <v>5701045.412320028</v>
      </c>
      <c r="AZ80" s="6">
        <f>'12_MODELO'!AW80-'12_MODELO'!AX80-'12_MODELO'!AY80</f>
        <v>-9.313225746154785e-10</v>
      </c>
      <c r="BA80" s="6">
        <f>'12_MODELO'!AP80-'12_MODELO'!AQ80</f>
        <v>0.0</v>
      </c>
      <c r="BB80" s="6">
        <f>'08_PREMISSAS'!O80</f>
        <v>38.0</v>
      </c>
      <c r="BC80" s="6">
        <f>'08_PREMISSAS'!P80</f>
        <v>42.0</v>
      </c>
      <c r="BD80" s="6">
        <f>'08_PREMISSAS'!Q80</f>
        <v>38.0</v>
      </c>
      <c r="BE80" s="9">
        <f>'08_PREMISSAS'!R80</f>
        <v>0.085</v>
      </c>
      <c r="BF80" s="9">
        <f>'08_PREMISSAS'!S80</f>
        <v>0.34</v>
      </c>
      <c r="BG80" s="9">
        <f>'08_PREMISSAS'!T80</f>
        <v>0.012</v>
      </c>
      <c r="BH80" s="9">
        <f>'08_PREMISSAS'!U80</f>
        <v>0.01</v>
      </c>
      <c r="BI80" s="9">
        <f>IFERROR('12_MODELO'!N80/'12_MODELO'!E80,0)</f>
        <v>0.09477632161797658</v>
      </c>
      <c r="BJ80" s="9">
        <f>IFERROR('12_MODELO'!T80/'12_MODELO'!E80,0)</f>
        <v>0.04507934452183615</v>
      </c>
      <c r="BK80" s="6">
        <f>'12_MODELO'!AQ80+'12_MODELO'!AR80</f>
        <v>451481.10091706575</v>
      </c>
      <c r="BL80" s="6">
        <f>'12_MODELO'!U80+'12_MODELO'!V80-'12_MODELO'!X80-'12_MODELO'!Y80-'12_MODELO'!Z80-'12_MODELO'!AA80</f>
        <v>1810678.9956642347</v>
      </c>
      <c r="BM80" s="6">
        <f>'12_MODELO'!AG80-'12_MODELO'!AV80</f>
        <v>-1987606.4166557929</v>
      </c>
      <c r="BN80" s="6">
        <f>0</f>
        <v>0</v>
      </c>
      <c r="BO80" s="6">
        <f>'12_MODELO'!AV80+'12_MODELO'!U80+'12_MODELO'!V80</f>
        <v>5773292.412750086</v>
      </c>
      <c r="BP80" s="6">
        <f>'12_MODELO'!AC80-'12_MODELO'!AD80</f>
        <v>1902760.0</v>
      </c>
      <c r="BQ80" s="6">
        <f>MIN('12_MODELO'!AG80,'12_MODELO'!AF80*12)</f>
        <v>216000.0</v>
      </c>
      <c r="BR80" s="6">
        <f>'12_MODELO'!AG80-'12_MODELO'!BQ80</f>
        <v>376000.0</v>
      </c>
      <c r="BS80" s="6">
        <f>'12_MODELO'!AX80-'12_MODELO'!BR80</f>
        <v>1599007.0004300587</v>
      </c>
      <c r="BT80" s="6">
        <f>'12_MODELO'!BR80</f>
        <v>376000.0</v>
      </c>
      <c r="BU80" s="6">
        <f>IFERROR('12_MODELO'!BO80/'12_MODELO'!BS80,0)</f>
        <v>3.610548553694473</v>
      </c>
    </row>
    <row r="81" spans="1:73">
      <c r="A81" s="5">
        <v>46235</v>
      </c>
      <c r="B81" t="s">
        <v>82</v>
      </c>
      <c r="C81" s="6">
        <f>'08_PREMISSAS'!C81*'08_PREMISSAS'!D81</f>
        <v>1584346.7048000002</v>
      </c>
      <c r="D81" s="6">
        <f>'12_MODELO'!C81*'12_MODELO'!BE81</f>
        <v>134669.46990800003</v>
      </c>
      <c r="E81" s="6">
        <f>'12_MODELO'!C81-'12_MODELO'!D81</f>
        <v>1449677.2348920002</v>
      </c>
      <c r="F81" s="6">
        <f>'12_MODELO'!C81*'08_PREMISSAS'!E81</f>
        <v>1020319.2778912002</v>
      </c>
      <c r="G81" s="6">
        <f>'12_MODELO'!E81-'12_MODELO'!F81</f>
        <v>429357.95700080006</v>
      </c>
      <c r="H81" s="6">
        <f>'08_PREMISSAS'!J81</f>
        <v>125000.0</v>
      </c>
      <c r="I81" s="6">
        <f>'12_MODELO'!C81*'08_PREMISSAS'!F81</f>
        <v>55452.13466800001</v>
      </c>
      <c r="J81" s="6">
        <f>'08_PREMISSAS'!L81</f>
        <v>37000.0</v>
      </c>
      <c r="K81" s="6">
        <f>'08_PREMISSAS'!M81</f>
        <v>24000.0</v>
      </c>
      <c r="L81" s="6">
        <f>'12_MODELO'!C81*'08_PREMISSAS'!G81</f>
        <v>36439.9742104</v>
      </c>
      <c r="M81" s="6">
        <f>SUM('12_MODELO'!H81:'12_MODELO'!L81)</f>
        <v>277892.1088784</v>
      </c>
      <c r="N81" s="6">
        <f>'12_MODELO'!G81-'12_MODELO'!M81</f>
        <v>151465.84812240006</v>
      </c>
      <c r="O81" s="6">
        <f>MIN('12_MODELO'!AC80*'12_MODELO'!BH81,'12_MODELO'!AC80-'12_MODELO'!AD80+'12_MODELO'!AB81)</f>
        <v>28580.0</v>
      </c>
      <c r="P81" s="6">
        <f>'12_MODELO'!N81-'12_MODELO'!O81</f>
        <v>122885.84812240006</v>
      </c>
      <c r="Q81" s="6">
        <f>'12_MODELO'!AG80*'12_MODELO'!BG81</f>
        <v>7104.0</v>
      </c>
      <c r="R81" s="6">
        <f>'12_MODELO'!P81-'12_MODELO'!Q81</f>
        <v>115781.84812240006</v>
      </c>
      <c r="S81" s="6">
        <f>MAX(0,'12_MODELO'!R81)*'12_MODELO'!BF81</f>
        <v>39365.82836161602</v>
      </c>
      <c r="T81" s="6">
        <f>'12_MODELO'!R81-'12_MODELO'!S81</f>
        <v>76416.01976078404</v>
      </c>
      <c r="U81" s="6">
        <f>'12_MODELO'!C81*'12_MODELO'!BB81/30</f>
        <v>2006839.1594133335</v>
      </c>
      <c r="V81" s="6">
        <f>'12_MODELO'!F81*'12_MODELO'!BC81/30</f>
        <v>1428446.9890476803</v>
      </c>
      <c r="W81" s="6">
        <f>'12_MODELO'!F81+'12_MODELO'!V81-'12_MODELO'!V80</f>
        <v>1120780.4899379206</v>
      </c>
      <c r="X81" s="6">
        <f>'12_MODELO'!F81*'12_MODELO'!BD81/30</f>
        <v>1292404.418662187</v>
      </c>
      <c r="Y81" s="6">
        <f>'12_MODELO'!H81*20%</f>
        <v>25000.0</v>
      </c>
      <c r="Z81" s="6">
        <f>'12_MODELO'!D81</f>
        <v>134669.46990800003</v>
      </c>
      <c r="AA81" s="6">
        <f>'12_MODELO'!S81</f>
        <v>39365.82836161602</v>
      </c>
      <c r="AB81" s="6">
        <f>'08_PREMISSAS'!V81</f>
        <v>22000.0</v>
      </c>
      <c r="AC81" s="6">
        <f>'12_MODELO'!AC80+'12_MODELO'!AB81</f>
        <v>2880000.0</v>
      </c>
      <c r="AD81" s="6">
        <f>'12_MODELO'!AD80+'12_MODELO'!O81</f>
        <v>983820.0</v>
      </c>
      <c r="AE81" s="6">
        <f>'08_PREMISSAS'!W81</f>
        <v>0.0</v>
      </c>
      <c r="AF81" s="6">
        <f>'08_PREMISSAS'!X81</f>
        <v>18000.0</v>
      </c>
      <c r="AG81" s="6">
        <f>'12_MODELO'!AG80+'12_MODELO'!AE81-'12_MODELO'!AF81</f>
        <v>574000.0</v>
      </c>
      <c r="AH81" s="6">
        <f>'08_PREMISSAS'!Y81</f>
        <v>0.0</v>
      </c>
      <c r="AI81" s="6">
        <f>'12_MODELO'!AI80</f>
        <v>3900000.0</v>
      </c>
      <c r="AJ81" s="6">
        <f>'12_MODELO'!AJ80+'12_MODELO'!T81-'12_MODELO'!AH81</f>
        <v>1877461.432080812</v>
      </c>
      <c r="AK81" s="6">
        <f>'12_MODELO'!U80+'12_MODELO'!C81-'12_MODELO'!U81</f>
        <v>1443207.76448</v>
      </c>
      <c r="AL81" s="6">
        <f>'12_MODELO'!X80+'12_MODELO'!W81-'12_MODELO'!X81</f>
        <v>1029887.0123718407</v>
      </c>
      <c r="AM81" s="6">
        <f>'12_MODELO'!M81+'12_MODELO'!Y80-'12_MODELO'!Y81</f>
        <v>277892.1088784</v>
      </c>
      <c r="AN81" s="6">
        <f>'12_MODELO'!Z80+'12_MODELO'!D81-'12_MODELO'!Z81</f>
        <v>125198.304176</v>
      </c>
      <c r="AO81" s="6">
        <f>'12_MODELO'!AA80+'12_MODELO'!S81-'12_MODELO'!AA81</f>
        <v>31297.755157952008</v>
      </c>
      <c r="AP81" s="6">
        <f>'12_MODELO'!AK81-'12_MODELO'!AL81-'12_MODELO'!AM81-'12_MODELO'!AN81-'12_MODELO'!Q81-'12_MODELO'!AO81</f>
        <v>-28171.416104192773</v>
      </c>
      <c r="AQ81" s="6">
        <f>'12_MODELO'!T81+'12_MODELO'!O81-('12_MODELO'!U81-'12_MODELO'!U80)-('12_MODELO'!V81-'12_MODELO'!V80)+('12_MODELO'!X81-'12_MODELO'!X80)+('12_MODELO'!Y81-'12_MODELO'!Y80)+('12_MODELO'!Z81-'12_MODELO'!Z80)+('12_MODELO'!AA81-'12_MODELO'!AA80)</f>
        <v>-28171.416104192118</v>
      </c>
      <c r="AR81" s="6">
        <f>-'12_MODELO'!AB81</f>
        <v>-22000.0</v>
      </c>
      <c r="AS81" s="6">
        <f>'12_MODELO'!AE81-'12_MODELO'!AF81-'12_MODELO'!AH81</f>
        <v>-18000.0</v>
      </c>
      <c r="AT81" s="6">
        <f>'12_MODELO'!AQ81+'12_MODELO'!AR81+'12_MODELO'!AS81</f>
        <v>-68171.41610419212</v>
      </c>
      <c r="AU81" s="6">
        <f>'12_MODELO'!AV80</f>
        <v>2579606.416655793</v>
      </c>
      <c r="AV81" s="6">
        <f>'12_MODELO'!AU81+'12_MODELO'!AT81</f>
        <v>2511435.000551601</v>
      </c>
      <c r="AW81" s="6">
        <f>'12_MODELO'!AV81+'12_MODELO'!U81+'12_MODELO'!V81+'12_MODELO'!AC81-'12_MODELO'!AD81</f>
        <v>7842901.149012614</v>
      </c>
      <c r="AX81" s="6">
        <f>'12_MODELO'!X81+'12_MODELO'!Y81+'12_MODELO'!Z81+'12_MODELO'!AA81+'12_MODELO'!AG81</f>
        <v>2065439.716931803</v>
      </c>
      <c r="AY81" s="6">
        <f>'12_MODELO'!AI81+'12_MODELO'!AJ81</f>
        <v>5777461.432080812</v>
      </c>
      <c r="AZ81" s="6">
        <f>'12_MODELO'!AW81-'12_MODELO'!AX81-'12_MODELO'!AY81</f>
        <v>-9.313225746154785e-10</v>
      </c>
      <c r="BA81" s="6">
        <f>'12_MODELO'!AP81-'12_MODELO'!AQ81</f>
        <v>-6.548361852765083e-10</v>
      </c>
      <c r="BB81" s="6">
        <f>'08_PREMISSAS'!O81</f>
        <v>38.0</v>
      </c>
      <c r="BC81" s="6">
        <f>'08_PREMISSAS'!P81</f>
        <v>42.0</v>
      </c>
      <c r="BD81" s="6">
        <f>'08_PREMISSAS'!Q81</f>
        <v>38.0</v>
      </c>
      <c r="BE81" s="9">
        <f>'08_PREMISSAS'!R81</f>
        <v>0.085</v>
      </c>
      <c r="BF81" s="9">
        <f>'08_PREMISSAS'!S81</f>
        <v>0.34</v>
      </c>
      <c r="BG81" s="9">
        <f>'08_PREMISSAS'!T81</f>
        <v>0.012</v>
      </c>
      <c r="BH81" s="9">
        <f>'08_PREMISSAS'!U81</f>
        <v>0.01</v>
      </c>
      <c r="BI81" s="9">
        <f>IFERROR('12_MODELO'!N81/'12_MODELO'!E81,0)</f>
        <v>0.1044824630454269</v>
      </c>
      <c r="BJ81" s="9">
        <f>IFERROR('12_MODELO'!T81/'12_MODELO'!E81,0)</f>
        <v>0.05271243689391106</v>
      </c>
      <c r="BK81" s="6">
        <f>'12_MODELO'!AQ81+'12_MODELO'!AR81</f>
        <v>-50171.41610419212</v>
      </c>
      <c r="BL81" s="6">
        <f>'12_MODELO'!U81+'12_MODELO'!V81-'12_MODELO'!X81-'12_MODELO'!Y81-'12_MODELO'!Z81-'12_MODELO'!AA81</f>
        <v>1943846.4315292113</v>
      </c>
      <c r="BM81" s="6">
        <f>'12_MODELO'!AG81-'12_MODELO'!AV81</f>
        <v>-1937435.000551601</v>
      </c>
      <c r="BN81" s="6">
        <f>0</f>
        <v>0</v>
      </c>
      <c r="BO81" s="6">
        <f>'12_MODELO'!AV81+'12_MODELO'!U81+'12_MODELO'!V81</f>
        <v>5946721.149012614</v>
      </c>
      <c r="BP81" s="6">
        <f>'12_MODELO'!AC81-'12_MODELO'!AD81</f>
        <v>1896180.0</v>
      </c>
      <c r="BQ81" s="6">
        <f>MIN('12_MODELO'!AG81,'12_MODELO'!AF81*12)</f>
        <v>216000.0</v>
      </c>
      <c r="BR81" s="6">
        <f>'12_MODELO'!AG81-'12_MODELO'!BQ81</f>
        <v>358000.0</v>
      </c>
      <c r="BS81" s="6">
        <f>'12_MODELO'!AX81-'12_MODELO'!BR81</f>
        <v>1707439.716931803</v>
      </c>
      <c r="BT81" s="6">
        <f>'12_MODELO'!BR81</f>
        <v>358000.0</v>
      </c>
      <c r="BU81" s="6">
        <f>IFERROR('12_MODELO'!BO81/'12_MODELO'!BS81,0)</f>
        <v>3.4828293438661606</v>
      </c>
    </row>
    <row r="82" spans="1:73">
      <c r="A82" s="5">
        <v>46266</v>
      </c>
      <c r="B82" t="s">
        <v>82</v>
      </c>
      <c r="C82" s="6">
        <f>'08_PREMISSAS'!C82*'08_PREMISSAS'!D82</f>
        <v>1690079.847</v>
      </c>
      <c r="D82" s="6">
        <f>'12_MODELO'!C82*'12_MODELO'!BE82</f>
        <v>143656.786995</v>
      </c>
      <c r="E82" s="6">
        <f>'12_MODELO'!C82-'12_MODELO'!D82</f>
        <v>1546423.060005</v>
      </c>
      <c r="F82" s="6">
        <f>'12_MODELO'!C82*'08_PREMISSAS'!E82</f>
        <v>1088411.4214680002</v>
      </c>
      <c r="G82" s="6">
        <f>'12_MODELO'!E82-'12_MODELO'!F82</f>
        <v>458011.63853699993</v>
      </c>
      <c r="H82" s="6">
        <f>'08_PREMISSAS'!J82</f>
        <v>125000.0</v>
      </c>
      <c r="I82" s="6">
        <f>'12_MODELO'!C82*'08_PREMISSAS'!F82</f>
        <v>59152.79464500001</v>
      </c>
      <c r="J82" s="6">
        <f>'08_PREMISSAS'!L82</f>
        <v>37000.0</v>
      </c>
      <c r="K82" s="6">
        <f>'08_PREMISSAS'!M82</f>
        <v>24000.0</v>
      </c>
      <c r="L82" s="6">
        <f>'12_MODELO'!C82*'08_PREMISSAS'!G82</f>
        <v>38871.836481</v>
      </c>
      <c r="M82" s="6">
        <f>SUM('12_MODELO'!H82:'12_MODELO'!L82)</f>
        <v>284024.631126</v>
      </c>
      <c r="N82" s="6">
        <f>'12_MODELO'!G82-'12_MODELO'!M82</f>
        <v>173987.0074109999</v>
      </c>
      <c r="O82" s="6">
        <f>MIN('12_MODELO'!AC81*'12_MODELO'!BH82,'12_MODELO'!AC81-'12_MODELO'!AD81+'12_MODELO'!AB82)</f>
        <v>28800.0</v>
      </c>
      <c r="P82" s="6">
        <f>'12_MODELO'!N82-'12_MODELO'!O82</f>
        <v>145187.0074109999</v>
      </c>
      <c r="Q82" s="6">
        <f>'12_MODELO'!AG81*'12_MODELO'!BG82</f>
        <v>6888.0</v>
      </c>
      <c r="R82" s="6">
        <f>'12_MODELO'!P82-'12_MODELO'!Q82</f>
        <v>138299.0074109999</v>
      </c>
      <c r="S82" s="6">
        <f>MAX(0,'12_MODELO'!R82)*'12_MODELO'!BF82</f>
        <v>47021.66251973997</v>
      </c>
      <c r="T82" s="6">
        <f>'12_MODELO'!R82-'12_MODELO'!S82</f>
        <v>91277.34489125994</v>
      </c>
      <c r="U82" s="6">
        <f>'12_MODELO'!C82*'12_MODELO'!BB82/30</f>
        <v>2140767.8062</v>
      </c>
      <c r="V82" s="6">
        <f>'12_MODELO'!F82*'12_MODELO'!BC82/30</f>
        <v>1523775.9900552002</v>
      </c>
      <c r="W82" s="6">
        <f>'12_MODELO'!F82+'12_MODELO'!V82-'12_MODELO'!V81</f>
        <v>1183740.4224755203</v>
      </c>
      <c r="X82" s="6">
        <f>'12_MODELO'!F82*'12_MODELO'!BD82/30</f>
        <v>1378654.4671928</v>
      </c>
      <c r="Y82" s="6">
        <f>'12_MODELO'!H82*20%</f>
        <v>25000.0</v>
      </c>
      <c r="Z82" s="6">
        <f>'12_MODELO'!D82</f>
        <v>143656.786995</v>
      </c>
      <c r="AA82" s="6">
        <f>'12_MODELO'!S82</f>
        <v>47021.66251973997</v>
      </c>
      <c r="AB82" s="6">
        <f>'08_PREMISSAS'!V82</f>
        <v>120000.0</v>
      </c>
      <c r="AC82" s="6">
        <f>'12_MODELO'!AC81+'12_MODELO'!AB82</f>
        <v>3000000.0</v>
      </c>
      <c r="AD82" s="6">
        <f>'12_MODELO'!AD81+'12_MODELO'!O82</f>
        <v>1012620.0</v>
      </c>
      <c r="AE82" s="6">
        <f>'08_PREMISSAS'!W82</f>
        <v>0.0</v>
      </c>
      <c r="AF82" s="6">
        <f>'08_PREMISSAS'!X82</f>
        <v>18000.0</v>
      </c>
      <c r="AG82" s="6">
        <f>'12_MODELO'!AG81+'12_MODELO'!AE82-'12_MODELO'!AF82</f>
        <v>556000.0</v>
      </c>
      <c r="AH82" s="6">
        <f>'08_PREMISSAS'!Y82</f>
        <v>0.0</v>
      </c>
      <c r="AI82" s="6">
        <f>'12_MODELO'!AI81</f>
        <v>3900000.0</v>
      </c>
      <c r="AJ82" s="6">
        <f>'12_MODELO'!AJ81+'12_MODELO'!T82-'12_MODELO'!AH82</f>
        <v>1968738.776972072</v>
      </c>
      <c r="AK82" s="6">
        <f>'12_MODELO'!U81+'12_MODELO'!C82-'12_MODELO'!U82</f>
        <v>1556151.2002133336</v>
      </c>
      <c r="AL82" s="6">
        <f>'12_MODELO'!X81+'12_MODELO'!W82-'12_MODELO'!X82</f>
        <v>1097490.3739449072</v>
      </c>
      <c r="AM82" s="6">
        <f>'12_MODELO'!M82+'12_MODELO'!Y81-'12_MODELO'!Y82</f>
        <v>284024.631126</v>
      </c>
      <c r="AN82" s="6">
        <f>'12_MODELO'!Z81+'12_MODELO'!D82-'12_MODELO'!Z82</f>
        <v>134669.46990800006</v>
      </c>
      <c r="AO82" s="6">
        <f>'12_MODELO'!AA81+'12_MODELO'!S82-'12_MODELO'!AA82</f>
        <v>39365.82836161602</v>
      </c>
      <c r="AP82" s="6">
        <f>'12_MODELO'!AK82-'12_MODELO'!AL82-'12_MODELO'!AM82-'12_MODELO'!AN82-'12_MODELO'!Q82-'12_MODELO'!AO82</f>
        <v>-6287.103127189723</v>
      </c>
      <c r="AQ82" s="6">
        <f>'12_MODELO'!T82+'12_MODELO'!O82-('12_MODELO'!U82-'12_MODELO'!U81)-('12_MODELO'!V82-'12_MODELO'!V81)+('12_MODELO'!X82-'12_MODELO'!X81)+('12_MODELO'!Y82-'12_MODELO'!Y81)+('12_MODELO'!Z82-'12_MODELO'!Z81)+('12_MODELO'!AA82-'12_MODELO'!AA81)</f>
        <v>-6287.103127189432</v>
      </c>
      <c r="AR82" s="6">
        <f>-'12_MODELO'!AB82</f>
        <v>-120000.0</v>
      </c>
      <c r="AS82" s="6">
        <f>'12_MODELO'!AE82-'12_MODELO'!AF82-'12_MODELO'!AH82</f>
        <v>-18000.0</v>
      </c>
      <c r="AT82" s="6">
        <f>'12_MODELO'!AQ82+'12_MODELO'!AR82+'12_MODELO'!AS82</f>
        <v>-144287.10312718945</v>
      </c>
      <c r="AU82" s="6">
        <f>'12_MODELO'!AV81</f>
        <v>2511435.000551601</v>
      </c>
      <c r="AV82" s="6">
        <f>'12_MODELO'!AU82+'12_MODELO'!AT82</f>
        <v>2367147.8974244115</v>
      </c>
      <c r="AW82" s="6">
        <f>'12_MODELO'!AV82+'12_MODELO'!U82+'12_MODELO'!V82+'12_MODELO'!AC82-'12_MODELO'!AD82</f>
        <v>8019071.693679612</v>
      </c>
      <c r="AX82" s="6">
        <f>'12_MODELO'!X82+'12_MODELO'!Y82+'12_MODELO'!Z82+'12_MODELO'!AA82+'12_MODELO'!AG82</f>
        <v>2150332.91670754</v>
      </c>
      <c r="AY82" s="6">
        <f>'12_MODELO'!AI82+'12_MODELO'!AJ82</f>
        <v>5868738.776972072</v>
      </c>
      <c r="AZ82" s="6">
        <f>'12_MODELO'!AW82-'12_MODELO'!AX82-'12_MODELO'!AY82</f>
        <v>0.0</v>
      </c>
      <c r="BA82" s="6">
        <f>'12_MODELO'!AP82-'12_MODELO'!AQ82</f>
        <v>-2.9103830456733704e-10</v>
      </c>
      <c r="BB82" s="6">
        <f>'08_PREMISSAS'!O82</f>
        <v>38.0</v>
      </c>
      <c r="BC82" s="6">
        <f>'08_PREMISSAS'!P82</f>
        <v>42.0</v>
      </c>
      <c r="BD82" s="6">
        <f>'08_PREMISSAS'!Q82</f>
        <v>38.0</v>
      </c>
      <c r="BE82" s="9">
        <f>'08_PREMISSAS'!R82</f>
        <v>0.085</v>
      </c>
      <c r="BF82" s="9">
        <f>'08_PREMISSAS'!S82</f>
        <v>0.34</v>
      </c>
      <c r="BG82" s="9">
        <f>'08_PREMISSAS'!T82</f>
        <v>0.012</v>
      </c>
      <c r="BH82" s="9">
        <f>'08_PREMISSAS'!U82</f>
        <v>0.01</v>
      </c>
      <c r="BI82" s="9">
        <f>IFERROR('12_MODELO'!N82/'12_MODELO'!E82,0)</f>
        <v>0.1125093203217219</v>
      </c>
      <c r="BJ82" s="9">
        <f>IFERROR('12_MODELO'!T82/'12_MODELO'!E82,0)</f>
        <v>0.0590248213777702</v>
      </c>
      <c r="BK82" s="6">
        <f>'12_MODELO'!AQ82+'12_MODELO'!AR82</f>
        <v>-126287.10312718943</v>
      </c>
      <c r="BL82" s="6">
        <f>'12_MODELO'!U82+'12_MODELO'!V82-'12_MODELO'!X82-'12_MODELO'!Y82-'12_MODELO'!Z82-'12_MODELO'!AA82</f>
        <v>2070210.8795476602</v>
      </c>
      <c r="BM82" s="6">
        <f>'12_MODELO'!AG82-'12_MODELO'!AV82</f>
        <v>-1811147.8974244115</v>
      </c>
      <c r="BN82" s="6">
        <f>0</f>
        <v>0</v>
      </c>
      <c r="BO82" s="6">
        <f>'12_MODELO'!AV82+'12_MODELO'!U82+'12_MODELO'!V82</f>
        <v>6031691.693679612</v>
      </c>
      <c r="BP82" s="6">
        <f>'12_MODELO'!AC82-'12_MODELO'!AD82</f>
        <v>1987380.0</v>
      </c>
      <c r="BQ82" s="6">
        <f>MIN('12_MODELO'!AG82,'12_MODELO'!AF82*12)</f>
        <v>216000.0</v>
      </c>
      <c r="BR82" s="6">
        <f>'12_MODELO'!AG82-'12_MODELO'!BQ82</f>
        <v>340000.0</v>
      </c>
      <c r="BS82" s="6">
        <f>'12_MODELO'!AX82-'12_MODELO'!BR82</f>
        <v>1810332.91670754</v>
      </c>
      <c r="BT82" s="6">
        <f>'12_MODELO'!BR82</f>
        <v>340000.0</v>
      </c>
      <c r="BU82" s="6">
        <f>IFERROR('12_MODELO'!BO82/'12_MODELO'!BS82,0)</f>
        <v>3.331813523365346</v>
      </c>
    </row>
    <row r="83" spans="1:73">
      <c r="A83" s="5">
        <v>46296</v>
      </c>
      <c r="B83" t="s">
        <v>82</v>
      </c>
      <c r="C83" s="6">
        <f>'08_PREMISSAS'!C83*'08_PREMISSAS'!D83</f>
        <v>1898306.4458</v>
      </c>
      <c r="D83" s="6">
        <f>'12_MODELO'!C83*'12_MODELO'!BE83</f>
        <v>161356.047893</v>
      </c>
      <c r="E83" s="6">
        <f>'12_MODELO'!C83-'12_MODELO'!D83</f>
        <v>1736950.397907</v>
      </c>
      <c r="F83" s="6">
        <f>'12_MODELO'!C83*'08_PREMISSAS'!E83</f>
        <v>1222509.3510952</v>
      </c>
      <c r="G83" s="6">
        <f>'12_MODELO'!E83-'12_MODELO'!F83</f>
        <v>514441.0468118</v>
      </c>
      <c r="H83" s="6">
        <f>'08_PREMISSAS'!J83</f>
        <v>125000.0</v>
      </c>
      <c r="I83" s="6">
        <f>'12_MODELO'!C83*'08_PREMISSAS'!F83</f>
        <v>66440.72560300001</v>
      </c>
      <c r="J83" s="6">
        <f>'08_PREMISSAS'!L83</f>
        <v>37000.0</v>
      </c>
      <c r="K83" s="6">
        <f>'08_PREMISSAS'!M83</f>
        <v>24000.0</v>
      </c>
      <c r="L83" s="6">
        <f>'12_MODELO'!C83*'08_PREMISSAS'!G83</f>
        <v>43661.048253400004</v>
      </c>
      <c r="M83" s="6">
        <f>SUM('12_MODELO'!H83:'12_MODELO'!L83)</f>
        <v>296101.77385640005</v>
      </c>
      <c r="N83" s="6">
        <f>'12_MODELO'!G83-'12_MODELO'!M83</f>
        <v>218339.27295539994</v>
      </c>
      <c r="O83" s="6">
        <f>MIN('12_MODELO'!AC82*'12_MODELO'!BH83,'12_MODELO'!AC82-'12_MODELO'!AD82+'12_MODELO'!AB83)</f>
        <v>30000.0</v>
      </c>
      <c r="P83" s="6">
        <f>'12_MODELO'!N83-'12_MODELO'!O83</f>
        <v>188339.27295539994</v>
      </c>
      <c r="Q83" s="6">
        <f>'12_MODELO'!AG82*'12_MODELO'!BG83</f>
        <v>6672.0</v>
      </c>
      <c r="R83" s="6">
        <f>'12_MODELO'!P83-'12_MODELO'!Q83</f>
        <v>181667.27295539994</v>
      </c>
      <c r="S83" s="6">
        <f>MAX(0,'12_MODELO'!R83)*'12_MODELO'!BF83</f>
        <v>61766.872804835984</v>
      </c>
      <c r="T83" s="6">
        <f>'12_MODELO'!R83-'12_MODELO'!S83</f>
        <v>119900.40015056395</v>
      </c>
      <c r="U83" s="6">
        <f>'12_MODELO'!C83*'12_MODELO'!BB83/30</f>
        <v>2404521.4980133334</v>
      </c>
      <c r="V83" s="6">
        <f>'12_MODELO'!F83*'12_MODELO'!BC83/30</f>
        <v>1711513.0915332802</v>
      </c>
      <c r="W83" s="6">
        <f>'12_MODELO'!F83+'12_MODELO'!V83-'12_MODELO'!V82</f>
        <v>1410246.4525732803</v>
      </c>
      <c r="X83" s="6">
        <f>'12_MODELO'!F83*'12_MODELO'!BD83/30</f>
        <v>1548511.8447205867</v>
      </c>
      <c r="Y83" s="6">
        <f>'12_MODELO'!H83*20%</f>
        <v>25000.0</v>
      </c>
      <c r="Z83" s="6">
        <f>'12_MODELO'!D83</f>
        <v>161356.047893</v>
      </c>
      <c r="AA83" s="6">
        <f>'12_MODELO'!S83</f>
        <v>61766.872804835984</v>
      </c>
      <c r="AB83" s="6">
        <f>'08_PREMISSAS'!V83</f>
        <v>22000.0</v>
      </c>
      <c r="AC83" s="6">
        <f>'12_MODELO'!AC82+'12_MODELO'!AB83</f>
        <v>3022000.0</v>
      </c>
      <c r="AD83" s="6">
        <f>'12_MODELO'!AD82+'12_MODELO'!O83</f>
        <v>1042620.0</v>
      </c>
      <c r="AE83" s="6">
        <f>'08_PREMISSAS'!W83</f>
        <v>0.0</v>
      </c>
      <c r="AF83" s="6">
        <f>'08_PREMISSAS'!X83</f>
        <v>18000.0</v>
      </c>
      <c r="AG83" s="6">
        <f>'12_MODELO'!AG82+'12_MODELO'!AE83-'12_MODELO'!AF83</f>
        <v>538000.0</v>
      </c>
      <c r="AH83" s="6">
        <f>'08_PREMISSAS'!Y83</f>
        <v>0.0</v>
      </c>
      <c r="AI83" s="6">
        <f>'12_MODELO'!AI82</f>
        <v>3900000.0</v>
      </c>
      <c r="AJ83" s="6">
        <f>'12_MODELO'!AJ82+'12_MODELO'!T83-'12_MODELO'!AH83</f>
        <v>2088639.177122636</v>
      </c>
      <c r="AK83" s="6">
        <f>'12_MODELO'!U82+'12_MODELO'!C83-'12_MODELO'!U83</f>
        <v>1634552.753986667</v>
      </c>
      <c r="AL83" s="6">
        <f>'12_MODELO'!X82+'12_MODELO'!W83-'12_MODELO'!X83</f>
        <v>1240389.075045494</v>
      </c>
      <c r="AM83" s="6">
        <f>'12_MODELO'!M83+'12_MODELO'!Y82-'12_MODELO'!Y83</f>
        <v>296101.77385640005</v>
      </c>
      <c r="AN83" s="6">
        <f>'12_MODELO'!Z82+'12_MODELO'!D83-'12_MODELO'!Z83</f>
        <v>143656.78699500003</v>
      </c>
      <c r="AO83" s="6">
        <f>'12_MODELO'!AA82+'12_MODELO'!S83-'12_MODELO'!AA83</f>
        <v>47021.66251973998</v>
      </c>
      <c r="AP83" s="6">
        <f>'12_MODELO'!AK83-'12_MODELO'!AL83-'12_MODELO'!AM83-'12_MODELO'!AN83-'12_MODELO'!Q83-'12_MODELO'!AO83</f>
        <v>-99288.54442996703</v>
      </c>
      <c r="AQ83" s="6">
        <f>'12_MODELO'!T83+'12_MODELO'!O83-('12_MODELO'!U83-'12_MODELO'!U82)-('12_MODELO'!V83-'12_MODELO'!V82)+('12_MODELO'!X83-'12_MODELO'!X82)+('12_MODELO'!Y83-'12_MODELO'!Y82)+('12_MODELO'!Z83-'12_MODELO'!Z82)+('12_MODELO'!AA83-'12_MODELO'!AA82)</f>
        <v>-99288.54442996686</v>
      </c>
      <c r="AR83" s="6">
        <f>-'12_MODELO'!AB83</f>
        <v>-22000.0</v>
      </c>
      <c r="AS83" s="6">
        <f>'12_MODELO'!AE83-'12_MODELO'!AF83-'12_MODELO'!AH83</f>
        <v>-18000.0</v>
      </c>
      <c r="AT83" s="6">
        <f>'12_MODELO'!AQ83+'12_MODELO'!AR83+'12_MODELO'!AS83</f>
        <v>-139288.54442996686</v>
      </c>
      <c r="AU83" s="6">
        <f>'12_MODELO'!AV82</f>
        <v>2367147.8974244115</v>
      </c>
      <c r="AV83" s="6">
        <f>'12_MODELO'!AU83+'12_MODELO'!AT83</f>
        <v>2227859.352994445</v>
      </c>
      <c r="AW83" s="6">
        <f>'12_MODELO'!AV83+'12_MODELO'!U83+'12_MODELO'!V83+'12_MODELO'!AC83-'12_MODELO'!AD83</f>
        <v>8323273.942541059</v>
      </c>
      <c r="AX83" s="6">
        <f>'12_MODELO'!X83+'12_MODELO'!Y83+'12_MODELO'!Z83+'12_MODELO'!AA83+'12_MODELO'!AG83</f>
        <v>2334634.765418423</v>
      </c>
      <c r="AY83" s="6">
        <f>'12_MODELO'!AI83+'12_MODELO'!AJ83</f>
        <v>5988639.177122636</v>
      </c>
      <c r="AZ83" s="6">
        <f>'12_MODELO'!AW83-'12_MODELO'!AX83-'12_MODELO'!AY83</f>
        <v>0.0</v>
      </c>
      <c r="BA83" s="6">
        <f>'12_MODELO'!AP83-'12_MODELO'!AQ83</f>
        <v>-1.7462298274040222e-10</v>
      </c>
      <c r="BB83" s="6">
        <f>'08_PREMISSAS'!O83</f>
        <v>38.0</v>
      </c>
      <c r="BC83" s="6">
        <f>'08_PREMISSAS'!P83</f>
        <v>42.0</v>
      </c>
      <c r="BD83" s="6">
        <f>'08_PREMISSAS'!Q83</f>
        <v>38.0</v>
      </c>
      <c r="BE83" s="9">
        <f>'08_PREMISSAS'!R83</f>
        <v>0.085</v>
      </c>
      <c r="BF83" s="9">
        <f>'08_PREMISSAS'!S83</f>
        <v>0.34</v>
      </c>
      <c r="BG83" s="9">
        <f>'08_PREMISSAS'!T83</f>
        <v>0.012</v>
      </c>
      <c r="BH83" s="9">
        <f>'08_PREMISSAS'!U83</f>
        <v>0.01</v>
      </c>
      <c r="BI83" s="9">
        <f>IFERROR('12_MODELO'!N83/'12_MODELO'!E83,0)</f>
        <v>0.12570265289008575</v>
      </c>
      <c r="BJ83" s="9">
        <f>IFERROR('12_MODELO'!T83/'12_MODELO'!E83,0)</f>
        <v>0.06902925972730263</v>
      </c>
      <c r="BK83" s="6">
        <f>'12_MODELO'!AQ83+'12_MODELO'!AR83</f>
        <v>-121288.54442996686</v>
      </c>
      <c r="BL83" s="6">
        <f>'12_MODELO'!U83+'12_MODELO'!V83-'12_MODELO'!X83-'12_MODELO'!Y83-'12_MODELO'!Z83-'12_MODELO'!AA83</f>
        <v>2319399.824128191</v>
      </c>
      <c r="BM83" s="6">
        <f>'12_MODELO'!AG83-'12_MODELO'!AV83</f>
        <v>-1689859.3529944448</v>
      </c>
      <c r="BN83" s="6">
        <f>0</f>
        <v>0</v>
      </c>
      <c r="BO83" s="6">
        <f>'12_MODELO'!AV83+'12_MODELO'!U83+'12_MODELO'!V83</f>
        <v>6343893.942541058</v>
      </c>
      <c r="BP83" s="6">
        <f>'12_MODELO'!AC83-'12_MODELO'!AD83</f>
        <v>1979380.0</v>
      </c>
      <c r="BQ83" s="6">
        <f>MIN('12_MODELO'!AG83,'12_MODELO'!AF83*12)</f>
        <v>216000.0</v>
      </c>
      <c r="BR83" s="6">
        <f>'12_MODELO'!AG83-'12_MODELO'!BQ83</f>
        <v>322000.0</v>
      </c>
      <c r="BS83" s="6">
        <f>'12_MODELO'!AX83-'12_MODELO'!BR83</f>
        <v>2012634.7654184229</v>
      </c>
      <c r="BT83" s="6">
        <f>'12_MODELO'!BR83</f>
        <v>322000.0</v>
      </c>
      <c r="BU83" s="6">
        <f>IFERROR('12_MODELO'!BO83/'12_MODELO'!BS83,0)</f>
        <v>3.152034363881305</v>
      </c>
    </row>
    <row r="84" spans="1:73">
      <c r="A84" s="5">
        <v>46327</v>
      </c>
      <c r="B84" t="s">
        <v>82</v>
      </c>
      <c r="C84" s="6">
        <f>'08_PREMISSAS'!C84*'08_PREMISSAS'!D84</f>
        <v>2225785.9584</v>
      </c>
      <c r="D84" s="6">
        <f>'12_MODELO'!C84*'12_MODELO'!BE84</f>
        <v>189191.806464</v>
      </c>
      <c r="E84" s="6">
        <f>'12_MODELO'!C84-'12_MODELO'!D84</f>
        <v>2036594.151936</v>
      </c>
      <c r="F84" s="6">
        <f>'12_MODELO'!C84*'08_PREMISSAS'!E84</f>
        <v>1433406.1572095999</v>
      </c>
      <c r="G84" s="6">
        <f>'12_MODELO'!E84-'12_MODELO'!F84</f>
        <v>603187.9947264001</v>
      </c>
      <c r="H84" s="6">
        <f>'08_PREMISSAS'!J84</f>
        <v>125000.0</v>
      </c>
      <c r="I84" s="6">
        <f>'12_MODELO'!C84*'08_PREMISSAS'!F84</f>
        <v>77902.508544</v>
      </c>
      <c r="J84" s="6">
        <f>'08_PREMISSAS'!L84</f>
        <v>37000.0</v>
      </c>
      <c r="K84" s="6">
        <f>'08_PREMISSAS'!M84</f>
        <v>24000.0</v>
      </c>
      <c r="L84" s="6">
        <f>'12_MODELO'!C84*'08_PREMISSAS'!G84</f>
        <v>51193.0770432</v>
      </c>
      <c r="M84" s="6">
        <f>SUM('12_MODELO'!H84:'12_MODELO'!L84)</f>
        <v>315095.5855872</v>
      </c>
      <c r="N84" s="6">
        <f>'12_MODELO'!G84-'12_MODELO'!M84</f>
        <v>288092.4091392001</v>
      </c>
      <c r="O84" s="6">
        <f>MIN('12_MODELO'!AC83*'12_MODELO'!BH84,'12_MODELO'!AC83-'12_MODELO'!AD83+'12_MODELO'!AB84)</f>
        <v>30220.0</v>
      </c>
      <c r="P84" s="6">
        <f>'12_MODELO'!N84-'12_MODELO'!O84</f>
        <v>257872.4091392001</v>
      </c>
      <c r="Q84" s="6">
        <f>'12_MODELO'!AG83*'12_MODELO'!BG84</f>
        <v>6456.0</v>
      </c>
      <c r="R84" s="6">
        <f>'12_MODELO'!P84-'12_MODELO'!Q84</f>
        <v>251416.4091392001</v>
      </c>
      <c r="S84" s="6">
        <f>MAX(0,'12_MODELO'!R84)*'12_MODELO'!BF84</f>
        <v>85481.57910732804</v>
      </c>
      <c r="T84" s="6">
        <f>'12_MODELO'!R84-'12_MODELO'!S84</f>
        <v>165934.8300318721</v>
      </c>
      <c r="U84" s="6">
        <f>'12_MODELO'!C84*'12_MODELO'!BB84/30</f>
        <v>2819328.88064</v>
      </c>
      <c r="V84" s="6">
        <f>'12_MODELO'!F84*'12_MODELO'!BC84/30</f>
        <v>2006768.6200934397</v>
      </c>
      <c r="W84" s="6">
        <f>'12_MODELO'!F84+'12_MODELO'!V84-'12_MODELO'!V83</f>
        <v>1728661.6857697594</v>
      </c>
      <c r="X84" s="6">
        <f>'12_MODELO'!F84*'12_MODELO'!BD84/30</f>
        <v>1815647.79913216</v>
      </c>
      <c r="Y84" s="6">
        <f>'12_MODELO'!H84*20%</f>
        <v>25000.0</v>
      </c>
      <c r="Z84" s="6">
        <f>'12_MODELO'!D84</f>
        <v>189191.806464</v>
      </c>
      <c r="AA84" s="6">
        <f>'12_MODELO'!S84</f>
        <v>85481.57910732804</v>
      </c>
      <c r="AB84" s="6">
        <f>'08_PREMISSAS'!V84</f>
        <v>22000.0</v>
      </c>
      <c r="AC84" s="6">
        <f>'12_MODELO'!AC83+'12_MODELO'!AB84</f>
        <v>3044000.0</v>
      </c>
      <c r="AD84" s="6">
        <f>'12_MODELO'!AD83+'12_MODELO'!O84</f>
        <v>1072840.0</v>
      </c>
      <c r="AE84" s="6">
        <f>'08_PREMISSAS'!W84</f>
        <v>0.0</v>
      </c>
      <c r="AF84" s="6">
        <f>'08_PREMISSAS'!X84</f>
        <v>18000.0</v>
      </c>
      <c r="AG84" s="6">
        <f>'12_MODELO'!AG83+'12_MODELO'!AE84-'12_MODELO'!AF84</f>
        <v>520000.0</v>
      </c>
      <c r="AH84" s="6">
        <f>'08_PREMISSAS'!Y84</f>
        <v>0.0</v>
      </c>
      <c r="AI84" s="6">
        <f>'12_MODELO'!AI83</f>
        <v>3900000.0</v>
      </c>
      <c r="AJ84" s="6">
        <f>'12_MODELO'!AJ83+'12_MODELO'!T84-'12_MODELO'!AH84</f>
        <v>2254574.007154508</v>
      </c>
      <c r="AK84" s="6">
        <f>'12_MODELO'!U83+'12_MODELO'!C84-'12_MODELO'!U84</f>
        <v>1810978.5757733332</v>
      </c>
      <c r="AL84" s="6">
        <f>'12_MODELO'!X83+'12_MODELO'!W84-'12_MODELO'!X84</f>
        <v>1461525.7313581863</v>
      </c>
      <c r="AM84" s="6">
        <f>'12_MODELO'!M84+'12_MODELO'!Y83-'12_MODELO'!Y84</f>
        <v>315095.5855872</v>
      </c>
      <c r="AN84" s="6">
        <f>'12_MODELO'!Z83+'12_MODELO'!D84-'12_MODELO'!Z84</f>
        <v>161356.04789299998</v>
      </c>
      <c r="AO84" s="6">
        <f>'12_MODELO'!AA83+'12_MODELO'!S84-'12_MODELO'!AA84</f>
        <v>61766.87280483598</v>
      </c>
      <c r="AP84" s="6">
        <f>'12_MODELO'!AK84-'12_MODELO'!AL84-'12_MODELO'!AM84-'12_MODELO'!AN84-'12_MODELO'!Q84-'12_MODELO'!AO84</f>
        <v>-195221.66186988913</v>
      </c>
      <c r="AQ84" s="6">
        <f>'12_MODELO'!T84+'12_MODELO'!O84-('12_MODELO'!U84-'12_MODELO'!U83)-('12_MODELO'!V84-'12_MODELO'!V83)+('12_MODELO'!X84-'12_MODELO'!X83)+('12_MODELO'!Y84-'12_MODELO'!Y83)+('12_MODELO'!Z84-'12_MODELO'!Z83)+('12_MODELO'!AA84-'12_MODELO'!AA83)</f>
        <v>-195221.66186988883</v>
      </c>
      <c r="AR84" s="6">
        <f>-'12_MODELO'!AB84</f>
        <v>-22000.0</v>
      </c>
      <c r="AS84" s="6">
        <f>'12_MODELO'!AE84-'12_MODELO'!AF84-'12_MODELO'!AH84</f>
        <v>-18000.0</v>
      </c>
      <c r="AT84" s="6">
        <f>'12_MODELO'!AQ84+'12_MODELO'!AR84+'12_MODELO'!AS84</f>
        <v>-235221.66186988883</v>
      </c>
      <c r="AU84" s="6">
        <f>'12_MODELO'!AV83</f>
        <v>2227859.352994445</v>
      </c>
      <c r="AV84" s="6">
        <f>'12_MODELO'!AU84+'12_MODELO'!AT84</f>
        <v>1992637.691124556</v>
      </c>
      <c r="AW84" s="6">
        <f>'12_MODELO'!AV84+'12_MODELO'!U84+'12_MODELO'!V84+'12_MODELO'!AC84-'12_MODELO'!AD84</f>
        <v>8789895.191857995</v>
      </c>
      <c r="AX84" s="6">
        <f>'12_MODELO'!X84+'12_MODELO'!Y84+'12_MODELO'!Z84+'12_MODELO'!AA84+'12_MODELO'!AG84</f>
        <v>2635321.184703488</v>
      </c>
      <c r="AY84" s="6">
        <f>'12_MODELO'!AI84+'12_MODELO'!AJ84</f>
        <v>6154574.007154508</v>
      </c>
      <c r="AZ84" s="6">
        <f>'12_MODELO'!AW84-'12_MODELO'!AX84-'12_MODELO'!AY84</f>
        <v>0.0</v>
      </c>
      <c r="BA84" s="6">
        <f>'12_MODELO'!AP84-'12_MODELO'!AQ84</f>
        <v>-2.9103830456733704e-10</v>
      </c>
      <c r="BB84" s="6">
        <f>'08_PREMISSAS'!O84</f>
        <v>38.0</v>
      </c>
      <c r="BC84" s="6">
        <f>'08_PREMISSAS'!P84</f>
        <v>42.0</v>
      </c>
      <c r="BD84" s="6">
        <f>'08_PREMISSAS'!Q84</f>
        <v>38.0</v>
      </c>
      <c r="BE84" s="9">
        <f>'08_PREMISSAS'!R84</f>
        <v>0.085</v>
      </c>
      <c r="BF84" s="9">
        <f>'08_PREMISSAS'!S84</f>
        <v>0.34</v>
      </c>
      <c r="BG84" s="9">
        <f>'08_PREMISSAS'!T84</f>
        <v>0.012</v>
      </c>
      <c r="BH84" s="9">
        <f>'08_PREMISSAS'!U84</f>
        <v>0.01</v>
      </c>
      <c r="BI84" s="9">
        <f>IFERROR('12_MODELO'!N84/'12_MODELO'!E84,0)</f>
        <v>0.141457937932964</v>
      </c>
      <c r="BJ84" s="9">
        <f>IFERROR('12_MODELO'!T84/'12_MODELO'!E84,0)</f>
        <v>0.08147663091054903</v>
      </c>
      <c r="BK84" s="6">
        <f>'12_MODELO'!AQ84+'12_MODELO'!AR84</f>
        <v>-217221.66186988883</v>
      </c>
      <c r="BL84" s="6">
        <f>'12_MODELO'!U84+'12_MODELO'!V84-'12_MODELO'!X84-'12_MODELO'!Y84-'12_MODELO'!Z84-'12_MODELO'!AA84</f>
        <v>2710776.316029952</v>
      </c>
      <c r="BM84" s="6">
        <f>'12_MODELO'!AG84-'12_MODELO'!AV84</f>
        <v>-1472637.691124556</v>
      </c>
      <c r="BN84" s="6">
        <f>0</f>
        <v>0</v>
      </c>
      <c r="BO84" s="6">
        <f>'12_MODELO'!AV84+'12_MODELO'!U84+'12_MODELO'!V84</f>
        <v>6818735.191857995</v>
      </c>
      <c r="BP84" s="6">
        <f>'12_MODELO'!AC84-'12_MODELO'!AD84</f>
        <v>1971160.0</v>
      </c>
      <c r="BQ84" s="6">
        <f>MIN('12_MODELO'!AG84,'12_MODELO'!AF84*12)</f>
        <v>216000.0</v>
      </c>
      <c r="BR84" s="6">
        <f>'12_MODELO'!AG84-'12_MODELO'!BQ84</f>
        <v>304000.0</v>
      </c>
      <c r="BS84" s="6">
        <f>'12_MODELO'!AX84-'12_MODELO'!BR84</f>
        <v>2331321.184703488</v>
      </c>
      <c r="BT84" s="6">
        <f>'12_MODELO'!BR84</f>
        <v>304000.0</v>
      </c>
      <c r="BU84" s="6">
        <f>IFERROR('12_MODELO'!BO84/'12_MODELO'!BS84,0)</f>
        <v>2.924837313965062</v>
      </c>
    </row>
    <row r="85" spans="1:73">
      <c r="A85" s="5">
        <v>46357</v>
      </c>
      <c r="B85" t="s">
        <v>82</v>
      </c>
      <c r="C85" s="6">
        <f>'08_PREMISSAS'!C85*'08_PREMISSAS'!D85</f>
        <v>2068051.3776</v>
      </c>
      <c r="D85" s="6">
        <f>'12_MODELO'!C85*'12_MODELO'!BE85</f>
        <v>175784.367096</v>
      </c>
      <c r="E85" s="6">
        <f>'12_MODELO'!C85-'12_MODELO'!D85</f>
        <v>1892267.010504</v>
      </c>
      <c r="F85" s="6">
        <f>'12_MODELO'!C85*'08_PREMISSAS'!E85</f>
        <v>1331825.0871744</v>
      </c>
      <c r="G85" s="6">
        <f>'12_MODELO'!E85-'12_MODELO'!F85</f>
        <v>560441.9233295999</v>
      </c>
      <c r="H85" s="6">
        <f>'08_PREMISSAS'!J85</f>
        <v>125000.0</v>
      </c>
      <c r="I85" s="6">
        <f>'12_MODELO'!C85*'08_PREMISSAS'!F85</f>
        <v>72381.79821600001</v>
      </c>
      <c r="J85" s="6">
        <f>'08_PREMISSAS'!L85</f>
        <v>37000.0</v>
      </c>
      <c r="K85" s="6">
        <f>'08_PREMISSAS'!M85</f>
        <v>24000.0</v>
      </c>
      <c r="L85" s="6">
        <f>'12_MODELO'!C85*'08_PREMISSAS'!G85</f>
        <v>47565.1816848</v>
      </c>
      <c r="M85" s="6">
        <f>SUM('12_MODELO'!H85:'12_MODELO'!L85)</f>
        <v>305946.97990080004</v>
      </c>
      <c r="N85" s="6">
        <f>'12_MODELO'!G85-'12_MODELO'!M85</f>
        <v>254494.94342879986</v>
      </c>
      <c r="O85" s="6">
        <f>MIN('12_MODELO'!AC84*'12_MODELO'!BH85,'12_MODELO'!AC84-'12_MODELO'!AD84+'12_MODELO'!AB85)</f>
        <v>30440.0</v>
      </c>
      <c r="P85" s="6">
        <f>'12_MODELO'!N85-'12_MODELO'!O85</f>
        <v>224054.94342879986</v>
      </c>
      <c r="Q85" s="6">
        <f>'12_MODELO'!AG84*'12_MODELO'!BG85</f>
        <v>6240.0</v>
      </c>
      <c r="R85" s="6">
        <f>'12_MODELO'!P85-'12_MODELO'!Q85</f>
        <v>217814.94342879986</v>
      </c>
      <c r="S85" s="6">
        <f>MAX(0,'12_MODELO'!R85)*'12_MODELO'!BF85</f>
        <v>74057.08076579195</v>
      </c>
      <c r="T85" s="6">
        <f>'12_MODELO'!R85-'12_MODELO'!S85</f>
        <v>143757.86266300792</v>
      </c>
      <c r="U85" s="6">
        <f>'12_MODELO'!C85*'12_MODELO'!BB85/30</f>
        <v>2619531.7449600003</v>
      </c>
      <c r="V85" s="6">
        <f>'12_MODELO'!F85*'12_MODELO'!BC85/30</f>
        <v>1864555.12204416</v>
      </c>
      <c r="W85" s="6">
        <f>'12_MODELO'!F85+'12_MODELO'!V85-'12_MODELO'!V84</f>
        <v>1189611.58912512</v>
      </c>
      <c r="X85" s="6">
        <f>'12_MODELO'!F85*'12_MODELO'!BD85/30</f>
        <v>1686978.44375424</v>
      </c>
      <c r="Y85" s="6">
        <f>'12_MODELO'!H85*20%</f>
        <v>25000.0</v>
      </c>
      <c r="Z85" s="6">
        <f>'12_MODELO'!D85</f>
        <v>175784.367096</v>
      </c>
      <c r="AA85" s="6">
        <f>'12_MODELO'!S85</f>
        <v>74057.08076579195</v>
      </c>
      <c r="AB85" s="6">
        <f>'08_PREMISSAS'!V85</f>
        <v>120000.0</v>
      </c>
      <c r="AC85" s="6">
        <f>'12_MODELO'!AC84+'12_MODELO'!AB85</f>
        <v>3164000.0</v>
      </c>
      <c r="AD85" s="6">
        <f>'12_MODELO'!AD84+'12_MODELO'!O85</f>
        <v>1103280.0</v>
      </c>
      <c r="AE85" s="6">
        <f>'08_PREMISSAS'!W85</f>
        <v>0.0</v>
      </c>
      <c r="AF85" s="6">
        <f>'08_PREMISSAS'!X85</f>
        <v>18000.0</v>
      </c>
      <c r="AG85" s="6">
        <f>'12_MODELO'!AG84+'12_MODELO'!AE85-'12_MODELO'!AF85</f>
        <v>502000.0</v>
      </c>
      <c r="AH85" s="6">
        <f>'08_PREMISSAS'!Y85</f>
        <v>0.0</v>
      </c>
      <c r="AI85" s="6">
        <f>'12_MODELO'!AI84</f>
        <v>3900000.0</v>
      </c>
      <c r="AJ85" s="6">
        <f>'12_MODELO'!AJ84+'12_MODELO'!T85-'12_MODELO'!AH85</f>
        <v>2398331.869817516</v>
      </c>
      <c r="AK85" s="6">
        <f>'12_MODELO'!U84+'12_MODELO'!C85-'12_MODELO'!U85</f>
        <v>2267848.51328</v>
      </c>
      <c r="AL85" s="6">
        <f>'12_MODELO'!X84+'12_MODELO'!W85-'12_MODELO'!X85</f>
        <v>1318280.94450304</v>
      </c>
      <c r="AM85" s="6">
        <f>'12_MODELO'!M85+'12_MODELO'!Y84-'12_MODELO'!Y85</f>
        <v>305946.97990080004</v>
      </c>
      <c r="AN85" s="6">
        <f>'12_MODELO'!Z84+'12_MODELO'!D85-'12_MODELO'!Z85</f>
        <v>189191.80646400002</v>
      </c>
      <c r="AO85" s="6">
        <f>'12_MODELO'!AA84+'12_MODELO'!S85-'12_MODELO'!AA85</f>
        <v>85481.57910732804</v>
      </c>
      <c r="AP85" s="6">
        <f>'12_MODELO'!AK85-'12_MODELO'!AL85-'12_MODELO'!AM85-'12_MODELO'!AN85-'12_MODELO'!Q85-'12_MODELO'!AO85</f>
        <v>362707.2033048319</v>
      </c>
      <c r="AQ85" s="6">
        <f>'12_MODELO'!T85+'12_MODELO'!O85-('12_MODELO'!U85-'12_MODELO'!U84)-('12_MODELO'!V85-'12_MODELO'!V84)+('12_MODELO'!X85-'12_MODELO'!X84)+('12_MODELO'!Y85-'12_MODELO'!Y84)+('12_MODELO'!Z85-'12_MODELO'!Z84)+('12_MODELO'!AA85-'12_MODELO'!AA84)</f>
        <v>362707.2033048314</v>
      </c>
      <c r="AR85" s="6">
        <f>-'12_MODELO'!AB85</f>
        <v>-120000.0</v>
      </c>
      <c r="AS85" s="6">
        <f>'12_MODELO'!AE85-'12_MODELO'!AF85-'12_MODELO'!AH85</f>
        <v>-18000.0</v>
      </c>
      <c r="AT85" s="6">
        <f>'12_MODELO'!AQ85+'12_MODELO'!AR85+'12_MODELO'!AS85</f>
        <v>224707.2033048314</v>
      </c>
      <c r="AU85" s="6">
        <f>'12_MODELO'!AV84</f>
        <v>1992637.691124556</v>
      </c>
      <c r="AV85" s="6">
        <f>'12_MODELO'!AU85+'12_MODELO'!AT85</f>
        <v>2217344.8944293875</v>
      </c>
      <c r="AW85" s="6">
        <f>'12_MODELO'!AV85+'12_MODELO'!U85+'12_MODELO'!V85+'12_MODELO'!AC85-'12_MODELO'!AD85</f>
        <v>8762151.76143355</v>
      </c>
      <c r="AX85" s="6">
        <f>'12_MODELO'!X85+'12_MODELO'!Y85+'12_MODELO'!Z85+'12_MODELO'!AA85+'12_MODELO'!AG85</f>
        <v>2463819.891616032</v>
      </c>
      <c r="AY85" s="6">
        <f>'12_MODELO'!AI85+'12_MODELO'!AJ85</f>
        <v>6298331.869817516</v>
      </c>
      <c r="AZ85" s="6">
        <f>'12_MODELO'!AW85-'12_MODELO'!AX85-'12_MODELO'!AY85</f>
        <v>1.862645149230957e-09</v>
      </c>
      <c r="BA85" s="6">
        <f>'12_MODELO'!AP85-'12_MODELO'!AQ85</f>
        <v>5.238689482212067e-10</v>
      </c>
      <c r="BB85" s="6">
        <f>'08_PREMISSAS'!O85</f>
        <v>38.0</v>
      </c>
      <c r="BC85" s="6">
        <f>'08_PREMISSAS'!P85</f>
        <v>42.0</v>
      </c>
      <c r="BD85" s="6">
        <f>'08_PREMISSAS'!Q85</f>
        <v>38.0</v>
      </c>
      <c r="BE85" s="9">
        <f>'08_PREMISSAS'!R85</f>
        <v>0.085</v>
      </c>
      <c r="BF85" s="9">
        <f>'08_PREMISSAS'!S85</f>
        <v>0.34</v>
      </c>
      <c r="BG85" s="9">
        <f>'08_PREMISSAS'!T85</f>
        <v>0.012</v>
      </c>
      <c r="BH85" s="9">
        <f>'08_PREMISSAS'!U85</f>
        <v>0.01</v>
      </c>
      <c r="BI85" s="9">
        <f>IFERROR('12_MODELO'!N85/'12_MODELO'!E85,0)</f>
        <v>0.13449208912700744</v>
      </c>
      <c r="BJ85" s="9">
        <f>IFERROR('12_MODELO'!T85/'12_MODELO'!E85,0)</f>
        <v>0.07597123548896961</v>
      </c>
      <c r="BK85" s="6">
        <f>'12_MODELO'!AQ85+'12_MODELO'!AR85</f>
        <v>242707.2033048314</v>
      </c>
      <c r="BL85" s="6">
        <f>'12_MODELO'!U85+'12_MODELO'!V85-'12_MODELO'!X85-'12_MODELO'!Y85-'12_MODELO'!Z85-'12_MODELO'!AA85</f>
        <v>2522266.975388128</v>
      </c>
      <c r="BM85" s="6">
        <f>'12_MODELO'!AG85-'12_MODELO'!AV85</f>
        <v>-1715344.8944293875</v>
      </c>
      <c r="BN85" s="6">
        <f>0</f>
        <v>0</v>
      </c>
      <c r="BO85" s="6">
        <f>'12_MODELO'!AV85+'12_MODELO'!U85+'12_MODELO'!V85</f>
        <v>6701431.761433548</v>
      </c>
      <c r="BP85" s="6">
        <f>'12_MODELO'!AC85-'12_MODELO'!AD85</f>
        <v>2060720.0</v>
      </c>
      <c r="BQ85" s="6">
        <f>MIN('12_MODELO'!AG85,'12_MODELO'!AF85*12)</f>
        <v>216000.0</v>
      </c>
      <c r="BR85" s="6">
        <f>'12_MODELO'!AG85-'12_MODELO'!BQ85</f>
        <v>286000.0</v>
      </c>
      <c r="BS85" s="6">
        <f>'12_MODELO'!AX85-'12_MODELO'!BR85</f>
        <v>2177819.891616032</v>
      </c>
      <c r="BT85" s="6">
        <f>'12_MODELO'!BR85</f>
        <v>286000.0</v>
      </c>
      <c r="BU85" s="6">
        <f>IFERROR('12_MODELO'!BO85/'12_MODELO'!BS85,0)</f>
        <v>3.0771285482477664</v>
      </c>
    </row>
    <row r="86" spans="1:73">
      <c r="A86" s="5">
        <v>46023</v>
      </c>
      <c r="B86" t="s">
        <v>83</v>
      </c>
      <c r="C86" s="6">
        <f>'08_PREMISSAS'!C86*'08_PREMISSAS'!D86</f>
        <v>1082026.0006</v>
      </c>
      <c r="D86" s="6">
        <f>'12_MODELO'!C86*'12_MODELO'!BE86</f>
        <v>91972.210051</v>
      </c>
      <c r="E86" s="6">
        <f>'12_MODELO'!C86-'12_MODELO'!D86</f>
        <v>990053.7905489999</v>
      </c>
      <c r="F86" s="6">
        <f>'12_MODELO'!C86*'08_PREMISSAS'!E86</f>
        <v>758500.2264205999</v>
      </c>
      <c r="G86" s="6">
        <f>'12_MODELO'!E86-'12_MODELO'!F86</f>
        <v>231553.56412840006</v>
      </c>
      <c r="H86" s="6">
        <f>'08_PREMISSAS'!J86</f>
        <v>125000.0</v>
      </c>
      <c r="I86" s="6">
        <f>'12_MODELO'!C86*'08_PREMISSAS'!F86</f>
        <v>37870.910021</v>
      </c>
      <c r="J86" s="6">
        <f>'08_PREMISSAS'!L86</f>
        <v>37000.0</v>
      </c>
      <c r="K86" s="6">
        <f>'08_PREMISSAS'!M86</f>
        <v>24000.0</v>
      </c>
      <c r="L86" s="6">
        <f>'12_MODELO'!C86*'08_PREMISSAS'!G86</f>
        <v>24886.598013799998</v>
      </c>
      <c r="M86" s="6">
        <f>SUM('12_MODELO'!H86:'12_MODELO'!L86)</f>
        <v>248757.5080348</v>
      </c>
      <c r="N86" s="6">
        <f>'12_MODELO'!G86-'12_MODELO'!M86</f>
        <v>-17203.943906399945</v>
      </c>
      <c r="O86" s="6">
        <f>MIN('12_MODELO'!AC25*'12_MODELO'!BH86,'12_MODELO'!AC25-'12_MODELO'!AD25+'12_MODELO'!AB86)</f>
        <v>25080.0</v>
      </c>
      <c r="P86" s="6">
        <f>'12_MODELO'!N86-'12_MODELO'!O86</f>
        <v>-42283.943906399945</v>
      </c>
      <c r="Q86" s="6">
        <f>'12_MODELO'!AG25*'12_MODELO'!BG86</f>
        <v>8616.0</v>
      </c>
      <c r="R86" s="6">
        <f>'12_MODELO'!P86-'12_MODELO'!Q86</f>
        <v>-50899.943906399945</v>
      </c>
      <c r="S86" s="6">
        <f>MAX(0,'12_MODELO'!R86)*'12_MODELO'!BF86</f>
        <v>0.0</v>
      </c>
      <c r="T86" s="6">
        <f>'12_MODELO'!R86-'12_MODELO'!S86</f>
        <v>-50899.943906399945</v>
      </c>
      <c r="U86" s="6">
        <f>'12_MODELO'!C86*'12_MODELO'!BB86/30</f>
        <v>2344389.667966666</v>
      </c>
      <c r="V86" s="6">
        <f>'12_MODELO'!F86*'12_MODELO'!BC86/30</f>
        <v>1719267.179886693</v>
      </c>
      <c r="W86" s="6">
        <f>'12_MODELO'!F86+'12_MODELO'!V86-'12_MODELO'!V25</f>
        <v>463793.2623072928</v>
      </c>
      <c r="X86" s="6">
        <f>'12_MODELO'!F86*'12_MODELO'!BD86/30</f>
        <v>758500.2264205999</v>
      </c>
      <c r="Y86" s="6">
        <f>'12_MODELO'!H86*20%</f>
        <v>25000.0</v>
      </c>
      <c r="Z86" s="6">
        <f>'12_MODELO'!D86</f>
        <v>91972.210051</v>
      </c>
      <c r="AA86" s="6">
        <f>'12_MODELO'!S86</f>
        <v>0.0</v>
      </c>
      <c r="AB86" s="6">
        <f>'08_PREMISSAS'!V86</f>
        <v>22000.0</v>
      </c>
      <c r="AC86" s="6">
        <f>'12_MODELO'!AC25+'12_MODELO'!AB86</f>
        <v>2530000.0</v>
      </c>
      <c r="AD86" s="6">
        <f>'12_MODELO'!AD25+'12_MODELO'!O86</f>
        <v>795240.0</v>
      </c>
      <c r="AE86" s="6">
        <f>'08_PREMISSAS'!W86</f>
        <v>0.0</v>
      </c>
      <c r="AF86" s="6">
        <f>'08_PREMISSAS'!X86</f>
        <v>18000.0</v>
      </c>
      <c r="AG86" s="6">
        <f>'12_MODELO'!AG25+'12_MODELO'!AE86-'12_MODELO'!AF86</f>
        <v>700000.0</v>
      </c>
      <c r="AH86" s="6">
        <f>'08_PREMISSAS'!Y86</f>
        <v>0.0</v>
      </c>
      <c r="AI86" s="6">
        <f>'12_MODELO'!AI25</f>
        <v>3900000.0</v>
      </c>
      <c r="AJ86" s="6">
        <f>'12_MODELO'!AJ25+'12_MODELO'!T86-'12_MODELO'!AH86</f>
        <v>1185376.6003046003</v>
      </c>
      <c r="AK86" s="6">
        <f>'12_MODELO'!U25+'12_MODELO'!C86-'12_MODELO'!U86</f>
        <v>1393330.7246333337</v>
      </c>
      <c r="AL86" s="6">
        <f>'12_MODELO'!X25+'12_MODELO'!W86-'12_MODELO'!X86</f>
        <v>1060852.5558866928</v>
      </c>
      <c r="AM86" s="6">
        <f>'12_MODELO'!M86+'12_MODELO'!Y25-'12_MODELO'!Y86</f>
        <v>245789.90803480003</v>
      </c>
      <c r="AN86" s="6">
        <f>'12_MODELO'!Z25+'12_MODELO'!D86-'12_MODELO'!Z86</f>
        <v>144085.5468</v>
      </c>
      <c r="AO86" s="6">
        <f>'12_MODELO'!AA25+'12_MODELO'!S86-'12_MODELO'!AA86</f>
        <v>31810.118888000008</v>
      </c>
      <c r="AP86" s="6">
        <f>'12_MODELO'!AK86-'12_MODELO'!AL86-'12_MODELO'!AM86-'12_MODELO'!AN86-'12_MODELO'!Q86-'12_MODELO'!AO86</f>
        <v>-97823.40497615915</v>
      </c>
      <c r="AQ86" s="6">
        <f>'12_MODELO'!T86+'12_MODELO'!O86-('12_MODELO'!U86-'12_MODELO'!U25)-('12_MODELO'!V86-'12_MODELO'!V25)+('12_MODELO'!X86-'12_MODELO'!X25)+('12_MODELO'!Y86-'12_MODELO'!Y25)+('12_MODELO'!Z86-'12_MODELO'!Z25)+('12_MODELO'!AA86-'12_MODELO'!AA25)</f>
        <v>-97823.4049761591</v>
      </c>
      <c r="AR86" s="6">
        <f>-'12_MODELO'!AB86</f>
        <v>-22000.0</v>
      </c>
      <c r="AS86" s="6">
        <f>'12_MODELO'!AE86-'12_MODELO'!AF86-'12_MODELO'!AH86</f>
        <v>-18000.0</v>
      </c>
      <c r="AT86" s="6">
        <f>'12_MODELO'!AQ86+'12_MODELO'!AR86+'12_MODELO'!AS86</f>
        <v>-137823.4049761591</v>
      </c>
      <c r="AU86" s="6">
        <f>'12_MODELO'!AV25</f>
        <v>1000255.5938990002</v>
      </c>
      <c r="AV86" s="6">
        <f>'12_MODELO'!AU86+'12_MODELO'!AT86</f>
        <v>862432.1889228411</v>
      </c>
      <c r="AW86" s="6">
        <f>'12_MODELO'!AV86+'12_MODELO'!U86+'12_MODELO'!V86+'12_MODELO'!AC86-'12_MODELO'!AD86</f>
        <v>6660849.0367762</v>
      </c>
      <c r="AX86" s="6">
        <f>'12_MODELO'!X86+'12_MODELO'!Y86+'12_MODELO'!Z86+'12_MODELO'!AA86+'12_MODELO'!AG86</f>
        <v>1575472.4364715999</v>
      </c>
      <c r="AY86" s="6">
        <f>'12_MODELO'!AI86+'12_MODELO'!AJ86</f>
        <v>5085376.6003046</v>
      </c>
      <c r="AZ86" s="6">
        <f>'12_MODELO'!AW86-'12_MODELO'!AX86-'12_MODELO'!AY86</f>
        <v>0.0</v>
      </c>
      <c r="BA86" s="6">
        <f>'12_MODELO'!AP86-'12_MODELO'!AQ86</f>
        <v>-4.3655745685100555e-11</v>
      </c>
      <c r="BB86" s="6">
        <f>'08_PREMISSAS'!O86</f>
        <v>65.0</v>
      </c>
      <c r="BC86" s="6">
        <f>'08_PREMISSAS'!P86</f>
        <v>68.0</v>
      </c>
      <c r="BD86" s="6">
        <f>'08_PREMISSAS'!Q86</f>
        <v>30.0</v>
      </c>
      <c r="BE86" s="9">
        <f>'08_PREMISSAS'!R86</f>
        <v>0.085</v>
      </c>
      <c r="BF86" s="9">
        <f>'08_PREMISSAS'!S86</f>
        <v>0.34</v>
      </c>
      <c r="BG86" s="9">
        <f>'08_PREMISSAS'!T86</f>
        <v>0.012</v>
      </c>
      <c r="BH86" s="9">
        <f>'08_PREMISSAS'!U86</f>
        <v>0.01</v>
      </c>
      <c r="BI86" s="9">
        <f>IFERROR('12_MODELO'!N86/'12_MODELO'!E86,0)</f>
        <v>-0.017376776969724138</v>
      </c>
      <c r="BJ86" s="9">
        <f>IFERROR('12_MODELO'!T86/'12_MODELO'!E86,0)</f>
        <v>-0.05141129137859787</v>
      </c>
      <c r="BK86" s="6">
        <f>'12_MODELO'!AQ86+'12_MODELO'!AR86</f>
        <v>-119823.4049761591</v>
      </c>
      <c r="BL86" s="6">
        <f>'12_MODELO'!U86+'12_MODELO'!V86-'12_MODELO'!X86-'12_MODELO'!Y86-'12_MODELO'!Z86-'12_MODELO'!AA86</f>
        <v>3188184.4113817587</v>
      </c>
      <c r="BM86" s="6">
        <f>'12_MODELO'!AG86-'12_MODELO'!AV86</f>
        <v>-162432.1889228411</v>
      </c>
      <c r="BN86" s="6">
        <f>0</f>
        <v>0</v>
      </c>
      <c r="BO86" s="6">
        <f>'12_MODELO'!AV86+'12_MODELO'!U86+'12_MODELO'!V86</f>
        <v>4926089.0367762</v>
      </c>
      <c r="BP86" s="6">
        <f>'12_MODELO'!AC86-'12_MODELO'!AD86</f>
        <v>1734760.0</v>
      </c>
      <c r="BQ86" s="6">
        <f>MIN('12_MODELO'!AG86,'12_MODELO'!AF86*12)</f>
        <v>216000.0</v>
      </c>
      <c r="BR86" s="6">
        <f>'12_MODELO'!AG86-'12_MODELO'!BQ86</f>
        <v>484000.0</v>
      </c>
      <c r="BS86" s="6">
        <f>'12_MODELO'!AX86-'12_MODELO'!BR86</f>
        <v>1091472.4364715999</v>
      </c>
      <c r="BT86" s="6">
        <f>'12_MODELO'!BR86</f>
        <v>484000.0</v>
      </c>
      <c r="BU86" s="6">
        <f>IFERROR('12_MODELO'!BO86/'12_MODELO'!BS86,0)</f>
        <v>4.513250973795321</v>
      </c>
    </row>
    <row r="87" spans="1:73">
      <c r="A87" s="5">
        <v>46054</v>
      </c>
      <c r="B87" t="s">
        <v>83</v>
      </c>
      <c r="C87" s="6">
        <f>'08_PREMISSAS'!C87*'08_PREMISSAS'!D87</f>
        <v>1106127.8543999998</v>
      </c>
      <c r="D87" s="6">
        <f>'12_MODELO'!C87*'12_MODELO'!BE87</f>
        <v>94020.86762399999</v>
      </c>
      <c r="E87" s="6">
        <f>'12_MODELO'!C87-'12_MODELO'!D87</f>
        <v>1012106.9867759999</v>
      </c>
      <c r="F87" s="6">
        <f>'12_MODELO'!C87*'08_PREMISSAS'!E87</f>
        <v>775395.6259343998</v>
      </c>
      <c r="G87" s="6">
        <f>'12_MODELO'!E87-'12_MODELO'!F87</f>
        <v>236711.3608416001</v>
      </c>
      <c r="H87" s="6">
        <f>'08_PREMISSAS'!J87</f>
        <v>125000.0</v>
      </c>
      <c r="I87" s="6">
        <f>'12_MODELO'!C87*'08_PREMISSAS'!F87</f>
        <v>38714.474903999995</v>
      </c>
      <c r="J87" s="6">
        <f>'08_PREMISSAS'!L87</f>
        <v>37000.0</v>
      </c>
      <c r="K87" s="6">
        <f>'08_PREMISSAS'!M87</f>
        <v>24000.0</v>
      </c>
      <c r="L87" s="6">
        <f>'12_MODELO'!C87*'08_PREMISSAS'!G87</f>
        <v>25440.940651199995</v>
      </c>
      <c r="M87" s="6">
        <f>SUM('12_MODELO'!H87:'12_MODELO'!L87)</f>
        <v>250155.4155552</v>
      </c>
      <c r="N87" s="6">
        <f>'12_MODELO'!G87-'12_MODELO'!M87</f>
        <v>-13444.054713599879</v>
      </c>
      <c r="O87" s="6">
        <f>MIN('12_MODELO'!AC86*'12_MODELO'!BH87,'12_MODELO'!AC86-'12_MODELO'!AD86+'12_MODELO'!AB87)</f>
        <v>25300.0</v>
      </c>
      <c r="P87" s="6">
        <f>'12_MODELO'!N87-'12_MODELO'!O87</f>
        <v>-38744.05471359988</v>
      </c>
      <c r="Q87" s="6">
        <f>'12_MODELO'!AG86*'12_MODELO'!BG87</f>
        <v>8400.0</v>
      </c>
      <c r="R87" s="6">
        <f>'12_MODELO'!P87-'12_MODELO'!Q87</f>
        <v>-47144.05471359988</v>
      </c>
      <c r="S87" s="6">
        <f>MAX(0,'12_MODELO'!R87)*'12_MODELO'!BF87</f>
        <v>0.0</v>
      </c>
      <c r="T87" s="6">
        <f>'12_MODELO'!R87-'12_MODELO'!S87</f>
        <v>-47144.05471359988</v>
      </c>
      <c r="U87" s="6">
        <f>'12_MODELO'!C87*'12_MODELO'!BB87/30</f>
        <v>2396610.3511999995</v>
      </c>
      <c r="V87" s="6">
        <f>'12_MODELO'!F87*'12_MODELO'!BC87/30</f>
        <v>1757563.4187846396</v>
      </c>
      <c r="W87" s="6">
        <f>'12_MODELO'!F87+'12_MODELO'!V87-'12_MODELO'!V86</f>
        <v>813691.8648323466</v>
      </c>
      <c r="X87" s="6">
        <f>'12_MODELO'!F87*'12_MODELO'!BD87/30</f>
        <v>775395.6259343998</v>
      </c>
      <c r="Y87" s="6">
        <f>'12_MODELO'!H87*20%</f>
        <v>25000.0</v>
      </c>
      <c r="Z87" s="6">
        <f>'12_MODELO'!D87</f>
        <v>94020.86762399999</v>
      </c>
      <c r="AA87" s="6">
        <f>'12_MODELO'!S87</f>
        <v>0.0</v>
      </c>
      <c r="AB87" s="6">
        <f>'08_PREMISSAS'!V87</f>
        <v>22000.0</v>
      </c>
      <c r="AC87" s="6">
        <f>'12_MODELO'!AC86+'12_MODELO'!AB87</f>
        <v>2552000.0</v>
      </c>
      <c r="AD87" s="6">
        <f>'12_MODELO'!AD86+'12_MODELO'!O87</f>
        <v>820540.0</v>
      </c>
      <c r="AE87" s="6">
        <f>'08_PREMISSAS'!W87</f>
        <v>0.0</v>
      </c>
      <c r="AF87" s="6">
        <f>'08_PREMISSAS'!X87</f>
        <v>18000.0</v>
      </c>
      <c r="AG87" s="6">
        <f>'12_MODELO'!AG86+'12_MODELO'!AE87-'12_MODELO'!AF87</f>
        <v>682000.0</v>
      </c>
      <c r="AH87" s="6">
        <f>'08_PREMISSAS'!Y87</f>
        <v>0.0</v>
      </c>
      <c r="AI87" s="6">
        <f>'12_MODELO'!AI86</f>
        <v>3900000.0</v>
      </c>
      <c r="AJ87" s="6">
        <f>'12_MODELO'!AJ86+'12_MODELO'!T87-'12_MODELO'!AH87</f>
        <v>1138232.5455910005</v>
      </c>
      <c r="AK87" s="6">
        <f>'12_MODELO'!U86+'12_MODELO'!C87-'12_MODELO'!U87</f>
        <v>1053907.1711666668</v>
      </c>
      <c r="AL87" s="6">
        <f>'12_MODELO'!X86+'12_MODELO'!W87-'12_MODELO'!X87</f>
        <v>796796.4653185465</v>
      </c>
      <c r="AM87" s="6">
        <f>'12_MODELO'!M87+'12_MODELO'!Y86-'12_MODELO'!Y87</f>
        <v>250155.41555519996</v>
      </c>
      <c r="AN87" s="6">
        <f>'12_MODELO'!Z86+'12_MODELO'!D87-'12_MODELO'!Z87</f>
        <v>91972.21005100002</v>
      </c>
      <c r="AO87" s="6">
        <f>'12_MODELO'!AA86+'12_MODELO'!S87-'12_MODELO'!AA87</f>
        <v>0.0</v>
      </c>
      <c r="AP87" s="6">
        <f>'12_MODELO'!AK87-'12_MODELO'!AL87-'12_MODELO'!AM87-'12_MODELO'!AN87-'12_MODELO'!Q87-'12_MODELO'!AO87</f>
        <v>-93416.9197580797</v>
      </c>
      <c r="AQ87" s="6">
        <f>'12_MODELO'!T87+'12_MODELO'!O87-('12_MODELO'!U87-'12_MODELO'!U86)-('12_MODELO'!V87-'12_MODELO'!V86)+('12_MODELO'!X87-'12_MODELO'!X86)+('12_MODELO'!Y87-'12_MODELO'!Y86)+('12_MODELO'!Z87-'12_MODELO'!Z86)+('12_MODELO'!AA87-'12_MODELO'!AA86)</f>
        <v>-93416.91975807991</v>
      </c>
      <c r="AR87" s="6">
        <f>-'12_MODELO'!AB87</f>
        <v>-22000.0</v>
      </c>
      <c r="AS87" s="6">
        <f>'12_MODELO'!AE87-'12_MODELO'!AF87-'12_MODELO'!AH87</f>
        <v>-18000.0</v>
      </c>
      <c r="AT87" s="6">
        <f>'12_MODELO'!AQ87+'12_MODELO'!AR87+'12_MODELO'!AS87</f>
        <v>-133416.91975807992</v>
      </c>
      <c r="AU87" s="6">
        <f>'12_MODELO'!AV86</f>
        <v>862432.1889228411</v>
      </c>
      <c r="AV87" s="6">
        <f>'12_MODELO'!AU87+'12_MODELO'!AT87</f>
        <v>729015.2691647612</v>
      </c>
      <c r="AW87" s="6">
        <f>'12_MODELO'!AV87+'12_MODELO'!U87+'12_MODELO'!V87+'12_MODELO'!AC87-'12_MODELO'!AD87</f>
        <v>6614649.0391494</v>
      </c>
      <c r="AX87" s="6">
        <f>'12_MODELO'!X87+'12_MODELO'!Y87+'12_MODELO'!Z87+'12_MODELO'!AA87+'12_MODELO'!AG87</f>
        <v>1576416.4935583998</v>
      </c>
      <c r="AY87" s="6">
        <f>'12_MODELO'!AI87+'12_MODELO'!AJ87</f>
        <v>5038232.5455910005</v>
      </c>
      <c r="AZ87" s="6">
        <f>'12_MODELO'!AW87-'12_MODELO'!AX87-'12_MODELO'!AY87</f>
        <v>0.0</v>
      </c>
      <c r="BA87" s="6">
        <f>'12_MODELO'!AP87-'12_MODELO'!AQ87</f>
        <v>2.0372681319713593e-10</v>
      </c>
      <c r="BB87" s="6">
        <f>'08_PREMISSAS'!O87</f>
        <v>65.0</v>
      </c>
      <c r="BC87" s="6">
        <f>'08_PREMISSAS'!P87</f>
        <v>68.0</v>
      </c>
      <c r="BD87" s="6">
        <f>'08_PREMISSAS'!Q87</f>
        <v>30.0</v>
      </c>
      <c r="BE87" s="9">
        <f>'08_PREMISSAS'!R87</f>
        <v>0.085</v>
      </c>
      <c r="BF87" s="9">
        <f>'08_PREMISSAS'!S87</f>
        <v>0.34</v>
      </c>
      <c r="BG87" s="9">
        <f>'08_PREMISSAS'!T87</f>
        <v>0.012</v>
      </c>
      <c r="BH87" s="9">
        <f>'08_PREMISSAS'!U87</f>
        <v>0.01</v>
      </c>
      <c r="BI87" s="9">
        <f>IFERROR('12_MODELO'!N87/'12_MODELO'!E87,0)</f>
        <v>-0.013283234765946068</v>
      </c>
      <c r="BJ87" s="9">
        <f>IFERROR('12_MODELO'!T87/'12_MODELO'!E87,0)</f>
        <v>-0.04658010993854924</v>
      </c>
      <c r="BK87" s="6">
        <f>'12_MODELO'!AQ87+'12_MODELO'!AR87</f>
        <v>-115416.91975807991</v>
      </c>
      <c r="BL87" s="6">
        <f>'12_MODELO'!U87+'12_MODELO'!V87-'12_MODELO'!X87-'12_MODELO'!Y87-'12_MODELO'!Z87-'12_MODELO'!AA87</f>
        <v>3259757.2764262394</v>
      </c>
      <c r="BM87" s="6">
        <f>'12_MODELO'!AG87-'12_MODELO'!AV87</f>
        <v>-47015.26916476118</v>
      </c>
      <c r="BN87" s="6">
        <f>0</f>
        <v>0</v>
      </c>
      <c r="BO87" s="6">
        <f>'12_MODELO'!AV87+'12_MODELO'!U87+'12_MODELO'!V87</f>
        <v>4883189.0391494</v>
      </c>
      <c r="BP87" s="6">
        <f>'12_MODELO'!AC87-'12_MODELO'!AD87</f>
        <v>1731460.0</v>
      </c>
      <c r="BQ87" s="6">
        <f>MIN('12_MODELO'!AG87,'12_MODELO'!AF87*12)</f>
        <v>216000.0</v>
      </c>
      <c r="BR87" s="6">
        <f>'12_MODELO'!AG87-'12_MODELO'!BQ87</f>
        <v>466000.0</v>
      </c>
      <c r="BS87" s="6">
        <f>'12_MODELO'!AX87-'12_MODELO'!BR87</f>
        <v>1110416.4935583998</v>
      </c>
      <c r="BT87" s="6">
        <f>'12_MODELO'!BR87</f>
        <v>466000.0</v>
      </c>
      <c r="BU87" s="6">
        <f>IFERROR('12_MODELO'!BO87/'12_MODELO'!BS87,0)</f>
        <v>4.397619332455079</v>
      </c>
    </row>
    <row r="88" spans="1:73">
      <c r="A88" s="5">
        <v>46082</v>
      </c>
      <c r="B88" t="s">
        <v>83</v>
      </c>
      <c r="C88" s="6">
        <f>'08_PREMISSAS'!C88*'08_PREMISSAS'!D88</f>
        <v>1306555.8952</v>
      </c>
      <c r="D88" s="6">
        <f>'12_MODELO'!C88*'12_MODELO'!BE88</f>
        <v>111057.251092</v>
      </c>
      <c r="E88" s="6">
        <f>'12_MODELO'!C88-'12_MODELO'!D88</f>
        <v>1195498.644108</v>
      </c>
      <c r="F88" s="6">
        <f>'12_MODELO'!C88*'08_PREMISSAS'!E88</f>
        <v>915895.6825351999</v>
      </c>
      <c r="G88" s="6">
        <f>'12_MODELO'!E88-'12_MODELO'!F88</f>
        <v>279602.96157280006</v>
      </c>
      <c r="H88" s="6">
        <f>'08_PREMISSAS'!J88</f>
        <v>125000.0</v>
      </c>
      <c r="I88" s="6">
        <f>'12_MODELO'!C88*'08_PREMISSAS'!F88</f>
        <v>45729.456332</v>
      </c>
      <c r="J88" s="6">
        <f>'08_PREMISSAS'!L88</f>
        <v>37000.0</v>
      </c>
      <c r="K88" s="6">
        <f>'08_PREMISSAS'!M88</f>
        <v>24000.0</v>
      </c>
      <c r="L88" s="6">
        <f>'12_MODELO'!C88*'08_PREMISSAS'!G88</f>
        <v>30050.785589599996</v>
      </c>
      <c r="M88" s="6">
        <f>SUM('12_MODELO'!H88:'12_MODELO'!L88)</f>
        <v>261780.2419216</v>
      </c>
      <c r="N88" s="6">
        <f>'12_MODELO'!G88-'12_MODELO'!M88</f>
        <v>17822.719651200052</v>
      </c>
      <c r="O88" s="6">
        <f>MIN('12_MODELO'!AC87*'12_MODELO'!BH88,'12_MODELO'!AC87-'12_MODELO'!AD87+'12_MODELO'!AB88)</f>
        <v>25520.0</v>
      </c>
      <c r="P88" s="6">
        <f>'12_MODELO'!N88-'12_MODELO'!O88</f>
        <v>-7697.280348799948</v>
      </c>
      <c r="Q88" s="6">
        <f>'12_MODELO'!AG87*'12_MODELO'!BG88</f>
        <v>8184.0</v>
      </c>
      <c r="R88" s="6">
        <f>'12_MODELO'!P88-'12_MODELO'!Q88</f>
        <v>-15881.280348799948</v>
      </c>
      <c r="S88" s="6">
        <f>MAX(0,'12_MODELO'!R88)*'12_MODELO'!BF88</f>
        <v>0.0</v>
      </c>
      <c r="T88" s="6">
        <f>'12_MODELO'!R88-'12_MODELO'!S88</f>
        <v>-15881.280348799948</v>
      </c>
      <c r="U88" s="6">
        <f>'12_MODELO'!C88*'12_MODELO'!BB88/30</f>
        <v>2830871.1062666667</v>
      </c>
      <c r="V88" s="6">
        <f>'12_MODELO'!F88*'12_MODELO'!BC88/30</f>
        <v>2076030.2137464532</v>
      </c>
      <c r="W88" s="6">
        <f>'12_MODELO'!F88+'12_MODELO'!V88-'12_MODELO'!V87</f>
        <v>1234362.4774970135</v>
      </c>
      <c r="X88" s="6">
        <f>'12_MODELO'!F88*'12_MODELO'!BD88/30</f>
        <v>915895.6825351999</v>
      </c>
      <c r="Y88" s="6">
        <f>'12_MODELO'!H88*20%</f>
        <v>25000.0</v>
      </c>
      <c r="Z88" s="6">
        <f>'12_MODELO'!D88</f>
        <v>111057.251092</v>
      </c>
      <c r="AA88" s="6">
        <f>'12_MODELO'!S88</f>
        <v>0.0</v>
      </c>
      <c r="AB88" s="6">
        <f>'08_PREMISSAS'!V88</f>
        <v>120000.0</v>
      </c>
      <c r="AC88" s="6">
        <f>'12_MODELO'!AC87+'12_MODELO'!AB88</f>
        <v>2672000.0</v>
      </c>
      <c r="AD88" s="6">
        <f>'12_MODELO'!AD87+'12_MODELO'!O88</f>
        <v>846060.0</v>
      </c>
      <c r="AE88" s="6">
        <f>'08_PREMISSAS'!W88</f>
        <v>1800000.0</v>
      </c>
      <c r="AF88" s="6">
        <f>'08_PREMISSAS'!X88</f>
        <v>18000.0</v>
      </c>
      <c r="AG88" s="6">
        <f>'12_MODELO'!AG87+'12_MODELO'!AE88-'12_MODELO'!AF88</f>
        <v>2464000.0</v>
      </c>
      <c r="AH88" s="6">
        <f>'08_PREMISSAS'!Y88</f>
        <v>0.0</v>
      </c>
      <c r="AI88" s="6">
        <f>'12_MODELO'!AI87</f>
        <v>3900000.0</v>
      </c>
      <c r="AJ88" s="6">
        <f>'12_MODELO'!AJ87+'12_MODELO'!T88-'12_MODELO'!AH88</f>
        <v>1122351.2652422006</v>
      </c>
      <c r="AK88" s="6">
        <f>'12_MODELO'!U87+'12_MODELO'!C88-'12_MODELO'!U88</f>
        <v>872295.1401333329</v>
      </c>
      <c r="AL88" s="6">
        <f>'12_MODELO'!X87+'12_MODELO'!W88-'12_MODELO'!X88</f>
        <v>1093862.4208962135</v>
      </c>
      <c r="AM88" s="6">
        <f>'12_MODELO'!M88+'12_MODELO'!Y87-'12_MODELO'!Y88</f>
        <v>261780.2419216</v>
      </c>
      <c r="AN88" s="6">
        <f>'12_MODELO'!Z87+'12_MODELO'!D88-'12_MODELO'!Z88</f>
        <v>94020.86762399999</v>
      </c>
      <c r="AO88" s="6">
        <f>'12_MODELO'!AA87+'12_MODELO'!S88-'12_MODELO'!AA88</f>
        <v>0.0</v>
      </c>
      <c r="AP88" s="6">
        <f>'12_MODELO'!AK88-'12_MODELO'!AL88-'12_MODELO'!AM88-'12_MODELO'!AN88-'12_MODELO'!Q88-'12_MODELO'!AO88</f>
        <v>-585552.3903084806</v>
      </c>
      <c r="AQ88" s="6">
        <f>'12_MODELO'!T88+'12_MODELO'!O88-('12_MODELO'!U88-'12_MODELO'!U87)-('12_MODELO'!V88-'12_MODELO'!V87)+('12_MODELO'!X88-'12_MODELO'!X87)+('12_MODELO'!Y88-'12_MODELO'!Y87)+('12_MODELO'!Z88-'12_MODELO'!Z87)+('12_MODELO'!AA88-'12_MODELO'!AA87)</f>
        <v>-585552.3903084806</v>
      </c>
      <c r="AR88" s="6">
        <f>-'12_MODELO'!AB88</f>
        <v>-120000.0</v>
      </c>
      <c r="AS88" s="6">
        <f>'12_MODELO'!AE88-'12_MODELO'!AF88-'12_MODELO'!AH88</f>
        <v>1782000.0</v>
      </c>
      <c r="AT88" s="6">
        <f>'12_MODELO'!AQ88+'12_MODELO'!AR88+'12_MODELO'!AS88</f>
        <v>1076447.6096915193</v>
      </c>
      <c r="AU88" s="6">
        <f>'12_MODELO'!AV87</f>
        <v>729015.2691647612</v>
      </c>
      <c r="AV88" s="6">
        <f>'12_MODELO'!AU88+'12_MODELO'!AT88</f>
        <v>1805462.8788562804</v>
      </c>
      <c r="AW88" s="6">
        <f>'12_MODELO'!AV88+'12_MODELO'!U88+'12_MODELO'!V88+'12_MODELO'!AC88-'12_MODELO'!AD88</f>
        <v>8538304.1988694</v>
      </c>
      <c r="AX88" s="6">
        <f>'12_MODELO'!X88+'12_MODELO'!Y88+'12_MODELO'!Z88+'12_MODELO'!AA88+'12_MODELO'!AG88</f>
        <v>3515952.9336272</v>
      </c>
      <c r="AY88" s="6">
        <f>'12_MODELO'!AI88+'12_MODELO'!AJ88</f>
        <v>5022351.2652422</v>
      </c>
      <c r="AZ88" s="6">
        <f>'12_MODELO'!AW88-'12_MODELO'!AX88-'12_MODELO'!AY88</f>
        <v>0.0</v>
      </c>
      <c r="BA88" s="6">
        <f>'12_MODELO'!AP88-'12_MODELO'!AQ88</f>
        <v>0.0</v>
      </c>
      <c r="BB88" s="6">
        <f>'08_PREMISSAS'!O88</f>
        <v>65.0</v>
      </c>
      <c r="BC88" s="6">
        <f>'08_PREMISSAS'!P88</f>
        <v>68.0</v>
      </c>
      <c r="BD88" s="6">
        <f>'08_PREMISSAS'!Q88</f>
        <v>30.0</v>
      </c>
      <c r="BE88" s="9">
        <f>'08_PREMISSAS'!R88</f>
        <v>0.085</v>
      </c>
      <c r="BF88" s="9">
        <f>'08_PREMISSAS'!S88</f>
        <v>0.34</v>
      </c>
      <c r="BG88" s="9">
        <f>'08_PREMISSAS'!T88</f>
        <v>0.012</v>
      </c>
      <c r="BH88" s="9">
        <f>'08_PREMISSAS'!U88</f>
        <v>0.01</v>
      </c>
      <c r="BI88" s="9">
        <f>IFERROR('12_MODELO'!N88/'12_MODELO'!E88,0)</f>
        <v>0.014908188929397036</v>
      </c>
      <c r="BJ88" s="9">
        <f>IFERROR('12_MODELO'!T88/'12_MODELO'!E88,0)</f>
        <v>-0.013284231167530502</v>
      </c>
      <c r="BK88" s="6">
        <f>'12_MODELO'!AQ88+'12_MODELO'!AR88</f>
        <v>-705552.3903084806</v>
      </c>
      <c r="BL88" s="6">
        <f>'12_MODELO'!U88+'12_MODELO'!V88-'12_MODELO'!X88-'12_MODELO'!Y88-'12_MODELO'!Z88-'12_MODELO'!AA88</f>
        <v>3854948.38638592</v>
      </c>
      <c r="BM88" s="6">
        <f>'12_MODELO'!AG88-'12_MODELO'!AV88</f>
        <v>658537.1211437196</v>
      </c>
      <c r="BN88" s="6">
        <f>0</f>
        <v>0</v>
      </c>
      <c r="BO88" s="6">
        <f>'12_MODELO'!AV88+'12_MODELO'!U88+'12_MODELO'!V88</f>
        <v>6712364.1988694</v>
      </c>
      <c r="BP88" s="6">
        <f>'12_MODELO'!AC88-'12_MODELO'!AD88</f>
        <v>1825940.0</v>
      </c>
      <c r="BQ88" s="6">
        <f>MIN('12_MODELO'!AG88,'12_MODELO'!AF88*12)</f>
        <v>216000.0</v>
      </c>
      <c r="BR88" s="6">
        <f>'12_MODELO'!AG88-'12_MODELO'!BQ88</f>
        <v>2248000.0</v>
      </c>
      <c r="BS88" s="6">
        <f>'12_MODELO'!AX88-'12_MODELO'!BR88</f>
        <v>1267952.9336271998</v>
      </c>
      <c r="BT88" s="6">
        <f>'12_MODELO'!BR88</f>
        <v>2248000.0</v>
      </c>
      <c r="BU88" s="6">
        <f>IFERROR('12_MODELO'!BO88/'12_MODELO'!BS88,0)</f>
        <v>5.293859117993848</v>
      </c>
    </row>
    <row r="89" spans="1:73">
      <c r="A89" s="5">
        <v>46113</v>
      </c>
      <c r="B89" t="s">
        <v>83</v>
      </c>
      <c r="C89" s="6">
        <f>'08_PREMISSAS'!C89*'08_PREMISSAS'!D89</f>
        <v>1301239.3868</v>
      </c>
      <c r="D89" s="6">
        <f>'12_MODELO'!C89*'12_MODELO'!BE89</f>
        <v>110605.347878</v>
      </c>
      <c r="E89" s="6">
        <f>'12_MODELO'!C89-'12_MODELO'!D89</f>
        <v>1190634.038922</v>
      </c>
      <c r="F89" s="6">
        <f>'12_MODELO'!C89*'08_PREMISSAS'!E89</f>
        <v>912168.8101467999</v>
      </c>
      <c r="G89" s="6">
        <f>'12_MODELO'!E89-'12_MODELO'!F89</f>
        <v>278465.2287752001</v>
      </c>
      <c r="H89" s="6">
        <f>'08_PREMISSAS'!J89</f>
        <v>125000.0</v>
      </c>
      <c r="I89" s="6">
        <f>'12_MODELO'!C89*'08_PREMISSAS'!F89</f>
        <v>45543.378538000004</v>
      </c>
      <c r="J89" s="6">
        <f>'08_PREMISSAS'!L89</f>
        <v>37000.0</v>
      </c>
      <c r="K89" s="6">
        <f>'08_PREMISSAS'!M89</f>
        <v>24000.0</v>
      </c>
      <c r="L89" s="6">
        <f>'12_MODELO'!C89*'08_PREMISSAS'!G89</f>
        <v>29928.505896399998</v>
      </c>
      <c r="M89" s="6">
        <f>SUM('12_MODELO'!H89:'12_MODELO'!L89)</f>
        <v>261471.8844344</v>
      </c>
      <c r="N89" s="6">
        <f>'12_MODELO'!G89-'12_MODELO'!M89</f>
        <v>16993.344340800075</v>
      </c>
      <c r="O89" s="6">
        <f>MIN('12_MODELO'!AC88*'12_MODELO'!BH89,'12_MODELO'!AC88-'12_MODELO'!AD88+'12_MODELO'!AB89)</f>
        <v>26720.0</v>
      </c>
      <c r="P89" s="6">
        <f>'12_MODELO'!N89-'12_MODELO'!O89</f>
        <v>-9726.655659199925</v>
      </c>
      <c r="Q89" s="6">
        <f>'12_MODELO'!AG88*'12_MODELO'!BG89</f>
        <v>29568.0</v>
      </c>
      <c r="R89" s="6">
        <f>'12_MODELO'!P89-'12_MODELO'!Q89</f>
        <v>-39294.655659199925</v>
      </c>
      <c r="S89" s="6">
        <f>MAX(0,'12_MODELO'!R89)*'12_MODELO'!BF89</f>
        <v>0.0</v>
      </c>
      <c r="T89" s="6">
        <f>'12_MODELO'!R89-'12_MODELO'!S89</f>
        <v>-39294.655659199925</v>
      </c>
      <c r="U89" s="6">
        <f>'12_MODELO'!C89*'12_MODELO'!BB89/30</f>
        <v>2819352.0047333334</v>
      </c>
      <c r="V89" s="6">
        <f>'12_MODELO'!F89*'12_MODELO'!BC89/30</f>
        <v>2067582.6363327464</v>
      </c>
      <c r="W89" s="6">
        <f>'12_MODELO'!F89+'12_MODELO'!V89-'12_MODELO'!V88</f>
        <v>903721.2327330932</v>
      </c>
      <c r="X89" s="6">
        <f>'12_MODELO'!F89*'12_MODELO'!BD89/30</f>
        <v>912168.8101467999</v>
      </c>
      <c r="Y89" s="6">
        <f>'12_MODELO'!H89*20%</f>
        <v>25000.0</v>
      </c>
      <c r="Z89" s="6">
        <f>'12_MODELO'!D89</f>
        <v>110605.347878</v>
      </c>
      <c r="AA89" s="6">
        <f>'12_MODELO'!S89</f>
        <v>0.0</v>
      </c>
      <c r="AB89" s="6">
        <f>'08_PREMISSAS'!V89</f>
        <v>22000.0</v>
      </c>
      <c r="AC89" s="6">
        <f>'12_MODELO'!AC88+'12_MODELO'!AB89</f>
        <v>2694000.0</v>
      </c>
      <c r="AD89" s="6">
        <f>'12_MODELO'!AD88+'12_MODELO'!O89</f>
        <v>872780.0</v>
      </c>
      <c r="AE89" s="6">
        <f>'08_PREMISSAS'!W89</f>
        <v>0.0</v>
      </c>
      <c r="AF89" s="6">
        <f>'08_PREMISSAS'!X89</f>
        <v>18000.0</v>
      </c>
      <c r="AG89" s="6">
        <f>'12_MODELO'!AG88+'12_MODELO'!AE89-'12_MODELO'!AF89</f>
        <v>2446000.0</v>
      </c>
      <c r="AH89" s="6">
        <f>'08_PREMISSAS'!Y89</f>
        <v>0.0</v>
      </c>
      <c r="AI89" s="6">
        <f>'12_MODELO'!AI88</f>
        <v>3900000.0</v>
      </c>
      <c r="AJ89" s="6">
        <f>'12_MODELO'!AJ88+'12_MODELO'!T89-'12_MODELO'!AH89</f>
        <v>1083056.6095830007</v>
      </c>
      <c r="AK89" s="6">
        <f>'12_MODELO'!U88+'12_MODELO'!C89-'12_MODELO'!U89</f>
        <v>1312758.4883333333</v>
      </c>
      <c r="AL89" s="6">
        <f>'12_MODELO'!X88+'12_MODELO'!W89-'12_MODELO'!X89</f>
        <v>907448.1051214932</v>
      </c>
      <c r="AM89" s="6">
        <f>'12_MODELO'!M89+'12_MODELO'!Y88-'12_MODELO'!Y89</f>
        <v>261471.8844344</v>
      </c>
      <c r="AN89" s="6">
        <f>'12_MODELO'!Z88+'12_MODELO'!D89-'12_MODELO'!Z89</f>
        <v>111057.25109199999</v>
      </c>
      <c r="AO89" s="6">
        <f>'12_MODELO'!AA88+'12_MODELO'!S89-'12_MODELO'!AA89</f>
        <v>0.0</v>
      </c>
      <c r="AP89" s="6">
        <f>'12_MODELO'!AK89-'12_MODELO'!AL89-'12_MODELO'!AM89-'12_MODELO'!AN89-'12_MODELO'!Q89-'12_MODELO'!AO89</f>
        <v>3213.2476854400593</v>
      </c>
      <c r="AQ89" s="6">
        <f>'12_MODELO'!T89+'12_MODELO'!O89-('12_MODELO'!U89-'12_MODELO'!U88)-('12_MODELO'!V89-'12_MODELO'!V88)+('12_MODELO'!X89-'12_MODELO'!X88)+('12_MODELO'!Y89-'12_MODELO'!Y88)+('12_MODELO'!Z89-'12_MODELO'!Z88)+('12_MODELO'!AA89-'12_MODELO'!AA88)</f>
        <v>3213.247685440161</v>
      </c>
      <c r="AR89" s="6">
        <f>-'12_MODELO'!AB89</f>
        <v>-22000.0</v>
      </c>
      <c r="AS89" s="6">
        <f>'12_MODELO'!AE89-'12_MODELO'!AF89-'12_MODELO'!AH89</f>
        <v>-18000.0</v>
      </c>
      <c r="AT89" s="6">
        <f>'12_MODELO'!AQ89+'12_MODELO'!AR89+'12_MODELO'!AS89</f>
        <v>-36786.75231455984</v>
      </c>
      <c r="AU89" s="6">
        <f>'12_MODELO'!AV88</f>
        <v>1805462.8788562804</v>
      </c>
      <c r="AV89" s="6">
        <f>'12_MODELO'!AU89+'12_MODELO'!AT89</f>
        <v>1768676.1265417205</v>
      </c>
      <c r="AW89" s="6">
        <f>'12_MODELO'!AV89+'12_MODELO'!U89+'12_MODELO'!V89+'12_MODELO'!AC89-'12_MODELO'!AD89</f>
        <v>8476830.7676078</v>
      </c>
      <c r="AX89" s="6">
        <f>'12_MODELO'!X89+'12_MODELO'!Y89+'12_MODELO'!Z89+'12_MODELO'!AA89+'12_MODELO'!AG89</f>
        <v>3493774.1580248</v>
      </c>
      <c r="AY89" s="6">
        <f>'12_MODELO'!AI89+'12_MODELO'!AJ89</f>
        <v>4983056.609583001</v>
      </c>
      <c r="AZ89" s="6">
        <f>'12_MODELO'!AW89-'12_MODELO'!AX89-'12_MODELO'!AY89</f>
        <v>0.0</v>
      </c>
      <c r="BA89" s="6">
        <f>'12_MODELO'!AP89-'12_MODELO'!AQ89</f>
        <v>-1.0186340659856796e-10</v>
      </c>
      <c r="BB89" s="6">
        <f>'08_PREMISSAS'!O89</f>
        <v>65.0</v>
      </c>
      <c r="BC89" s="6">
        <f>'08_PREMISSAS'!P89</f>
        <v>68.0</v>
      </c>
      <c r="BD89" s="6">
        <f>'08_PREMISSAS'!Q89</f>
        <v>30.0</v>
      </c>
      <c r="BE89" s="9">
        <f>'08_PREMISSAS'!R89</f>
        <v>0.085</v>
      </c>
      <c r="BF89" s="9">
        <f>'08_PREMISSAS'!S89</f>
        <v>0.34</v>
      </c>
      <c r="BG89" s="9">
        <f>'08_PREMISSAS'!T89</f>
        <v>0.012</v>
      </c>
      <c r="BH89" s="9">
        <f>'08_PREMISSAS'!U89</f>
        <v>0.01</v>
      </c>
      <c r="BI89" s="9">
        <f>IFERROR('12_MODELO'!N89/'12_MODELO'!E89,0)</f>
        <v>0.014272516814810576</v>
      </c>
      <c r="BJ89" s="9">
        <f>IFERROR('12_MODELO'!T89/'12_MODELO'!E89,0)</f>
        <v>-0.03300313477916128</v>
      </c>
      <c r="BK89" s="6">
        <f>'12_MODELO'!AQ89+'12_MODELO'!AR89</f>
        <v>-18786.75231455984</v>
      </c>
      <c r="BL89" s="6">
        <f>'12_MODELO'!U89+'12_MODELO'!V89-'12_MODELO'!X89-'12_MODELO'!Y89-'12_MODELO'!Z89-'12_MODELO'!AA89</f>
        <v>3839160.48304128</v>
      </c>
      <c r="BM89" s="6">
        <f>'12_MODELO'!AG89-'12_MODELO'!AV89</f>
        <v>677323.8734582795</v>
      </c>
      <c r="BN89" s="6">
        <f>0</f>
        <v>0</v>
      </c>
      <c r="BO89" s="6">
        <f>'12_MODELO'!AV89+'12_MODELO'!U89+'12_MODELO'!V89</f>
        <v>6655610.767607801</v>
      </c>
      <c r="BP89" s="6">
        <f>'12_MODELO'!AC89-'12_MODELO'!AD89</f>
        <v>1821220.0</v>
      </c>
      <c r="BQ89" s="6">
        <f>MIN('12_MODELO'!AG89,'12_MODELO'!AF89*12)</f>
        <v>216000.0</v>
      </c>
      <c r="BR89" s="6">
        <f>'12_MODELO'!AG89-'12_MODELO'!BQ89</f>
        <v>2230000.0</v>
      </c>
      <c r="BS89" s="6">
        <f>'12_MODELO'!AX89-'12_MODELO'!BR89</f>
        <v>1263774.1580248</v>
      </c>
      <c r="BT89" s="6">
        <f>'12_MODELO'!BR89</f>
        <v>2230000.0</v>
      </c>
      <c r="BU89" s="6">
        <f>IFERROR('12_MODELO'!BO89/'12_MODELO'!BS89,0)</f>
        <v>5.266455818348196</v>
      </c>
    </row>
    <row r="90" spans="1:73">
      <c r="A90" s="5">
        <v>46143</v>
      </c>
      <c r="B90" t="s">
        <v>83</v>
      </c>
      <c r="C90" s="6">
        <f>'08_PREMISSAS'!C90*'08_PREMISSAS'!D90</f>
        <v>1362697.8181999999</v>
      </c>
      <c r="D90" s="6">
        <f>'12_MODELO'!C90*'12_MODELO'!BE90</f>
        <v>115829.314547</v>
      </c>
      <c r="E90" s="6">
        <f>'12_MODELO'!C90-'12_MODELO'!D90</f>
        <v>1246868.5036529999</v>
      </c>
      <c r="F90" s="6">
        <f>'12_MODELO'!C90*'08_PREMISSAS'!E90</f>
        <v>955251.1705581999</v>
      </c>
      <c r="G90" s="6">
        <f>'12_MODELO'!E90-'12_MODELO'!F90</f>
        <v>291617.3330948</v>
      </c>
      <c r="H90" s="6">
        <f>'08_PREMISSAS'!J90</f>
        <v>125000.0</v>
      </c>
      <c r="I90" s="6">
        <f>'12_MODELO'!C90*'08_PREMISSAS'!F90</f>
        <v>47694.423637</v>
      </c>
      <c r="J90" s="6">
        <f>'08_PREMISSAS'!L90</f>
        <v>37000.0</v>
      </c>
      <c r="K90" s="6">
        <f>'08_PREMISSAS'!M90</f>
        <v>24000.0</v>
      </c>
      <c r="L90" s="6">
        <f>'12_MODELO'!C90*'08_PREMISSAS'!G90</f>
        <v>31342.049818599997</v>
      </c>
      <c r="M90" s="6">
        <f>SUM('12_MODELO'!H90:'12_MODELO'!L90)</f>
        <v>265036.4734556</v>
      </c>
      <c r="N90" s="6">
        <f>'12_MODELO'!G90-'12_MODELO'!M90</f>
        <v>26580.859639200033</v>
      </c>
      <c r="O90" s="6">
        <f>MIN('12_MODELO'!AC89*'12_MODELO'!BH90,'12_MODELO'!AC89-'12_MODELO'!AD89+'12_MODELO'!AB90)</f>
        <v>26940.0</v>
      </c>
      <c r="P90" s="6">
        <f>'12_MODELO'!N90-'12_MODELO'!O90</f>
        <v>-359.1403607999673</v>
      </c>
      <c r="Q90" s="6">
        <f>'12_MODELO'!AG89*'12_MODELO'!BG90</f>
        <v>29352.0</v>
      </c>
      <c r="R90" s="6">
        <f>'12_MODELO'!P90-'12_MODELO'!Q90</f>
        <v>-29711.140360799967</v>
      </c>
      <c r="S90" s="6">
        <f>MAX(0,'12_MODELO'!R90)*'12_MODELO'!BF90</f>
        <v>0.0</v>
      </c>
      <c r="T90" s="6">
        <f>'12_MODELO'!R90-'12_MODELO'!S90</f>
        <v>-29711.140360799967</v>
      </c>
      <c r="U90" s="6">
        <f>'12_MODELO'!C90*'12_MODELO'!BB90/30</f>
        <v>2952511.9394333335</v>
      </c>
      <c r="V90" s="6">
        <f>'12_MODELO'!F90*'12_MODELO'!BC90/30</f>
        <v>2165235.986598586</v>
      </c>
      <c r="W90" s="6">
        <f>'12_MODELO'!F90+'12_MODELO'!V90-'12_MODELO'!V89</f>
        <v>1052904.5208240396</v>
      </c>
      <c r="X90" s="6">
        <f>'12_MODELO'!F90*'12_MODELO'!BD90/30</f>
        <v>955251.1705581999</v>
      </c>
      <c r="Y90" s="6">
        <f>'12_MODELO'!H90*20%</f>
        <v>25000.0</v>
      </c>
      <c r="Z90" s="6">
        <f>'12_MODELO'!D90</f>
        <v>115829.314547</v>
      </c>
      <c r="AA90" s="6">
        <f>'12_MODELO'!S90</f>
        <v>0.0</v>
      </c>
      <c r="AB90" s="6">
        <f>'08_PREMISSAS'!V90</f>
        <v>22000.0</v>
      </c>
      <c r="AC90" s="6">
        <f>'12_MODELO'!AC89+'12_MODELO'!AB90</f>
        <v>2716000.0</v>
      </c>
      <c r="AD90" s="6">
        <f>'12_MODELO'!AD89+'12_MODELO'!O90</f>
        <v>899720.0</v>
      </c>
      <c r="AE90" s="6">
        <f>'08_PREMISSAS'!W90</f>
        <v>0.0</v>
      </c>
      <c r="AF90" s="6">
        <f>'08_PREMISSAS'!X90</f>
        <v>18000.0</v>
      </c>
      <c r="AG90" s="6">
        <f>'12_MODELO'!AG89+'12_MODELO'!AE90-'12_MODELO'!AF90</f>
        <v>2428000.0</v>
      </c>
      <c r="AH90" s="6">
        <f>'08_PREMISSAS'!Y90</f>
        <v>0.0</v>
      </c>
      <c r="AI90" s="6">
        <f>'12_MODELO'!AI89</f>
        <v>3900000.0</v>
      </c>
      <c r="AJ90" s="6">
        <f>'12_MODELO'!AJ89+'12_MODELO'!T90-'12_MODELO'!AH90</f>
        <v>1053345.4692222006</v>
      </c>
      <c r="AK90" s="6">
        <f>'12_MODELO'!U89+'12_MODELO'!C90-'12_MODELO'!U90</f>
        <v>1229537.8834999995</v>
      </c>
      <c r="AL90" s="6">
        <f>'12_MODELO'!X89+'12_MODELO'!W90-'12_MODELO'!X90</f>
        <v>1009822.1604126397</v>
      </c>
      <c r="AM90" s="6">
        <f>'12_MODELO'!M90+'12_MODELO'!Y89-'12_MODELO'!Y90</f>
        <v>265036.4734556</v>
      </c>
      <c r="AN90" s="6">
        <f>'12_MODELO'!Z89+'12_MODELO'!D90-'12_MODELO'!Z90</f>
        <v>110605.34787799999</v>
      </c>
      <c r="AO90" s="6">
        <f>'12_MODELO'!AA89+'12_MODELO'!S90-'12_MODELO'!AA90</f>
        <v>0.0</v>
      </c>
      <c r="AP90" s="6">
        <f>'12_MODELO'!AK90-'12_MODELO'!AL90-'12_MODELO'!AM90-'12_MODELO'!AN90-'12_MODELO'!Q90-'12_MODELO'!AO90</f>
        <v>-185278.09824624017</v>
      </c>
      <c r="AQ90" s="6">
        <f>'12_MODELO'!T90+'12_MODELO'!O90-('12_MODELO'!U90-'12_MODELO'!U89)-('12_MODELO'!V90-'12_MODELO'!V89)+('12_MODELO'!X90-'12_MODELO'!X89)+('12_MODELO'!Y90-'12_MODELO'!Y89)+('12_MODELO'!Z90-'12_MODELO'!Z89)+('12_MODELO'!AA90-'12_MODELO'!AA89)</f>
        <v>-185278.09824623994</v>
      </c>
      <c r="AR90" s="6">
        <f>-'12_MODELO'!AB90</f>
        <v>-22000.0</v>
      </c>
      <c r="AS90" s="6">
        <f>'12_MODELO'!AE90-'12_MODELO'!AF90-'12_MODELO'!AH90</f>
        <v>-18000.0</v>
      </c>
      <c r="AT90" s="6">
        <f>'12_MODELO'!AQ90+'12_MODELO'!AR90+'12_MODELO'!AS90</f>
        <v>-225278.09824623994</v>
      </c>
      <c r="AU90" s="6">
        <f>'12_MODELO'!AV89</f>
        <v>1768676.1265417205</v>
      </c>
      <c r="AV90" s="6">
        <f>'12_MODELO'!AU90+'12_MODELO'!AT90</f>
        <v>1543398.0282954806</v>
      </c>
      <c r="AW90" s="6">
        <f>'12_MODELO'!AV90+'12_MODELO'!U90+'12_MODELO'!V90+'12_MODELO'!AC90-'12_MODELO'!AD90</f>
        <v>8477425.9543274</v>
      </c>
      <c r="AX90" s="6">
        <f>'12_MODELO'!X90+'12_MODELO'!Y90+'12_MODELO'!Z90+'12_MODELO'!AA90+'12_MODELO'!AG90</f>
        <v>3524080.4851051997</v>
      </c>
      <c r="AY90" s="6">
        <f>'12_MODELO'!AI90+'12_MODELO'!AJ90</f>
        <v>4953345.469222201</v>
      </c>
      <c r="AZ90" s="6">
        <f>'12_MODELO'!AW90-'12_MODELO'!AX90-'12_MODELO'!AY90</f>
        <v>0.0</v>
      </c>
      <c r="BA90" s="6">
        <f>'12_MODELO'!AP90-'12_MODELO'!AQ90</f>
        <v>-2.3283064365386963e-10</v>
      </c>
      <c r="BB90" s="6">
        <f>'08_PREMISSAS'!O90</f>
        <v>65.0</v>
      </c>
      <c r="BC90" s="6">
        <f>'08_PREMISSAS'!P90</f>
        <v>68.0</v>
      </c>
      <c r="BD90" s="6">
        <f>'08_PREMISSAS'!Q90</f>
        <v>30.0</v>
      </c>
      <c r="BE90" s="9">
        <f>'08_PREMISSAS'!R90</f>
        <v>0.085</v>
      </c>
      <c r="BF90" s="9">
        <f>'08_PREMISSAS'!S90</f>
        <v>0.34</v>
      </c>
      <c r="BG90" s="9">
        <f>'08_PREMISSAS'!T90</f>
        <v>0.012</v>
      </c>
      <c r="BH90" s="9">
        <f>'08_PREMISSAS'!U90</f>
        <v>0.01</v>
      </c>
      <c r="BI90" s="9">
        <f>IFERROR('12_MODELO'!N90/'12_MODELO'!E90,0)</f>
        <v>0.021318093737491193</v>
      </c>
      <c r="BJ90" s="9">
        <f>IFERROR('12_MODELO'!T90/'12_MODELO'!E90,0)</f>
        <v>-0.023828607646880218</v>
      </c>
      <c r="BK90" s="6">
        <f>'12_MODELO'!AQ90+'12_MODELO'!AR90</f>
        <v>-207278.09824623994</v>
      </c>
      <c r="BL90" s="6">
        <f>'12_MODELO'!U90+'12_MODELO'!V90-'12_MODELO'!X90-'12_MODELO'!Y90-'12_MODELO'!Z90-'12_MODELO'!AA90</f>
        <v>4021667.4409267195</v>
      </c>
      <c r="BM90" s="6">
        <f>'12_MODELO'!AG90-'12_MODELO'!AV90</f>
        <v>884601.9717045194</v>
      </c>
      <c r="BN90" s="6">
        <f>0</f>
        <v>0</v>
      </c>
      <c r="BO90" s="6">
        <f>'12_MODELO'!AV90+'12_MODELO'!U90+'12_MODELO'!V90</f>
        <v>6661145.954327401</v>
      </c>
      <c r="BP90" s="6">
        <f>'12_MODELO'!AC90-'12_MODELO'!AD90</f>
        <v>1816280.0</v>
      </c>
      <c r="BQ90" s="6">
        <f>MIN('12_MODELO'!AG90,'12_MODELO'!AF90*12)</f>
        <v>216000.0</v>
      </c>
      <c r="BR90" s="6">
        <f>'12_MODELO'!AG90-'12_MODELO'!BQ90</f>
        <v>2212000.0</v>
      </c>
      <c r="BS90" s="6">
        <f>'12_MODELO'!AX90-'12_MODELO'!BR90</f>
        <v>1312080.4851051997</v>
      </c>
      <c r="BT90" s="6">
        <f>'12_MODELO'!BR90</f>
        <v>2212000.0</v>
      </c>
      <c r="BU90" s="6">
        <f>IFERROR('12_MODELO'!BO90/'12_MODELO'!BS90,0)</f>
        <v>5.0767815160312555</v>
      </c>
    </row>
    <row r="91" spans="1:73">
      <c r="A91" s="5">
        <v>46174</v>
      </c>
      <c r="B91" t="s">
        <v>83</v>
      </c>
      <c r="C91" s="6">
        <f>'08_PREMISSAS'!C91*'08_PREMISSAS'!D91</f>
        <v>1382891.3117999998</v>
      </c>
      <c r="D91" s="6">
        <f>'12_MODELO'!C91*'12_MODELO'!BE91</f>
        <v>117545.76150299999</v>
      </c>
      <c r="E91" s="6">
        <f>'12_MODELO'!C91-'12_MODELO'!D91</f>
        <v>1265345.5502969997</v>
      </c>
      <c r="F91" s="6">
        <f>'12_MODELO'!C91*'08_PREMISSAS'!E91</f>
        <v>969406.8095717998</v>
      </c>
      <c r="G91" s="6">
        <f>'12_MODELO'!E91-'12_MODELO'!F91</f>
        <v>295938.7407251999</v>
      </c>
      <c r="H91" s="6">
        <f>'08_PREMISSAS'!J91</f>
        <v>125000.0</v>
      </c>
      <c r="I91" s="6">
        <f>'12_MODELO'!C91*'08_PREMISSAS'!F91</f>
        <v>48401.195912999996</v>
      </c>
      <c r="J91" s="6">
        <f>'08_PREMISSAS'!L91</f>
        <v>37000.0</v>
      </c>
      <c r="K91" s="6">
        <f>'08_PREMISSAS'!M91</f>
        <v>24000.0</v>
      </c>
      <c r="L91" s="6">
        <f>'12_MODELO'!C91*'08_PREMISSAS'!G91</f>
        <v>31806.500171399995</v>
      </c>
      <c r="M91" s="6">
        <f>SUM('12_MODELO'!H91:'12_MODELO'!L91)</f>
        <v>266207.6960844</v>
      </c>
      <c r="N91" s="6">
        <f>'12_MODELO'!G91-'12_MODELO'!M91</f>
        <v>29731.044640799926</v>
      </c>
      <c r="O91" s="6">
        <f>MIN('12_MODELO'!AC90*'12_MODELO'!BH91,'12_MODELO'!AC90-'12_MODELO'!AD90+'12_MODELO'!AB91)</f>
        <v>27160.0</v>
      </c>
      <c r="P91" s="6">
        <f>'12_MODELO'!N91-'12_MODELO'!O91</f>
        <v>2571.044640799926</v>
      </c>
      <c r="Q91" s="6">
        <f>'12_MODELO'!AG90*'12_MODELO'!BG91</f>
        <v>29136.0</v>
      </c>
      <c r="R91" s="6">
        <f>'12_MODELO'!P91-'12_MODELO'!Q91</f>
        <v>-26564.955359200074</v>
      </c>
      <c r="S91" s="6">
        <f>MAX(0,'12_MODELO'!R91)*'12_MODELO'!BF91</f>
        <v>0.0</v>
      </c>
      <c r="T91" s="6">
        <f>'12_MODELO'!R91-'12_MODELO'!S91</f>
        <v>-26564.955359200074</v>
      </c>
      <c r="U91" s="6">
        <f>'12_MODELO'!C91*'12_MODELO'!BB91/30</f>
        <v>2996264.5089</v>
      </c>
      <c r="V91" s="6">
        <f>'12_MODELO'!F91*'12_MODELO'!BC91/30</f>
        <v>2197322.1016960796</v>
      </c>
      <c r="W91" s="6">
        <f>'12_MODELO'!F91+'12_MODELO'!V91-'12_MODELO'!V90</f>
        <v>1001492.9246692932</v>
      </c>
      <c r="X91" s="6">
        <f>'12_MODELO'!F91*'12_MODELO'!BD91/30</f>
        <v>969406.8095717999</v>
      </c>
      <c r="Y91" s="6">
        <f>'12_MODELO'!H91*20%</f>
        <v>25000.0</v>
      </c>
      <c r="Z91" s="6">
        <f>'12_MODELO'!D91</f>
        <v>117545.76150299999</v>
      </c>
      <c r="AA91" s="6">
        <f>'12_MODELO'!S91</f>
        <v>0.0</v>
      </c>
      <c r="AB91" s="6">
        <f>'08_PREMISSAS'!V91</f>
        <v>120000.0</v>
      </c>
      <c r="AC91" s="6">
        <f>'12_MODELO'!AC90+'12_MODELO'!AB91</f>
        <v>2836000.0</v>
      </c>
      <c r="AD91" s="6">
        <f>'12_MODELO'!AD90+'12_MODELO'!O91</f>
        <v>926880.0</v>
      </c>
      <c r="AE91" s="6">
        <f>'08_PREMISSAS'!W91</f>
        <v>0.0</v>
      </c>
      <c r="AF91" s="6">
        <f>'08_PREMISSAS'!X91</f>
        <v>18000.0</v>
      </c>
      <c r="AG91" s="6">
        <f>'12_MODELO'!AG90+'12_MODELO'!AE91-'12_MODELO'!AF91</f>
        <v>2410000.0</v>
      </c>
      <c r="AH91" s="6">
        <f>'08_PREMISSAS'!Y91</f>
        <v>0.0</v>
      </c>
      <c r="AI91" s="6">
        <f>'12_MODELO'!AI90</f>
        <v>3900000.0</v>
      </c>
      <c r="AJ91" s="6">
        <f>'12_MODELO'!AJ90+'12_MODELO'!T91-'12_MODELO'!AH91</f>
        <v>1026780.5138630006</v>
      </c>
      <c r="AK91" s="6">
        <f>'12_MODELO'!U90+'12_MODELO'!C91-'12_MODELO'!U91</f>
        <v>1339138.742333334</v>
      </c>
      <c r="AL91" s="6">
        <f>'12_MODELO'!X90+'12_MODELO'!W91-'12_MODELO'!X91</f>
        <v>987337.285655693</v>
      </c>
      <c r="AM91" s="6">
        <f>'12_MODELO'!M91+'12_MODELO'!Y90-'12_MODELO'!Y91</f>
        <v>266207.6960844</v>
      </c>
      <c r="AN91" s="6">
        <f>'12_MODELO'!Z90+'12_MODELO'!D91-'12_MODELO'!Z91</f>
        <v>115829.31454699999</v>
      </c>
      <c r="AO91" s="6">
        <f>'12_MODELO'!AA90+'12_MODELO'!S91-'12_MODELO'!AA91</f>
        <v>0.0</v>
      </c>
      <c r="AP91" s="6">
        <f>'12_MODELO'!AK91-'12_MODELO'!AL91-'12_MODELO'!AM91-'12_MODELO'!AN91-'12_MODELO'!Q91-'12_MODELO'!AO91</f>
        <v>-59371.55395375908</v>
      </c>
      <c r="AQ91" s="6">
        <f>'12_MODELO'!T91+'12_MODELO'!O91-('12_MODELO'!U91-'12_MODELO'!U90)-('12_MODELO'!V91-'12_MODELO'!V90)+('12_MODELO'!X91-'12_MODELO'!X90)+('12_MODELO'!Y91-'12_MODELO'!Y90)+('12_MODELO'!Z91-'12_MODELO'!Z90)+('12_MODELO'!AA91-'12_MODELO'!AA90)</f>
        <v>-59371.553953759736</v>
      </c>
      <c r="AR91" s="6">
        <f>-'12_MODELO'!AB91</f>
        <v>-120000.0</v>
      </c>
      <c r="AS91" s="6">
        <f>'12_MODELO'!AE91-'12_MODELO'!AF91-'12_MODELO'!AH91</f>
        <v>-18000.0</v>
      </c>
      <c r="AT91" s="6">
        <f>'12_MODELO'!AQ91+'12_MODELO'!AR91+'12_MODELO'!AS91</f>
        <v>-197371.55395375972</v>
      </c>
      <c r="AU91" s="6">
        <f>'12_MODELO'!AV90</f>
        <v>1543398.0282954806</v>
      </c>
      <c r="AV91" s="6">
        <f>'12_MODELO'!AU91+'12_MODELO'!AT91</f>
        <v>1346026.4743417208</v>
      </c>
      <c r="AW91" s="6">
        <f>'12_MODELO'!AV91+'12_MODELO'!U91+'12_MODELO'!V91+'12_MODELO'!AC91-'12_MODELO'!AD91</f>
        <v>8448733.0849378</v>
      </c>
      <c r="AX91" s="6">
        <f>'12_MODELO'!X91+'12_MODELO'!Y91+'12_MODELO'!Z91+'12_MODELO'!AA91+'12_MODELO'!AG91</f>
        <v>3521952.5710748</v>
      </c>
      <c r="AY91" s="6">
        <f>'12_MODELO'!AI91+'12_MODELO'!AJ91</f>
        <v>4926780.513863001</v>
      </c>
      <c r="AZ91" s="6">
        <f>'12_MODELO'!AW91-'12_MODELO'!AX91-'12_MODELO'!AY91</f>
        <v>-1.862645149230957e-09</v>
      </c>
      <c r="BA91" s="6">
        <f>'12_MODELO'!AP91-'12_MODELO'!AQ91</f>
        <v>6.548361852765083e-10</v>
      </c>
      <c r="BB91" s="6">
        <f>'08_PREMISSAS'!O91</f>
        <v>65.0</v>
      </c>
      <c r="BC91" s="6">
        <f>'08_PREMISSAS'!P91</f>
        <v>68.0</v>
      </c>
      <c r="BD91" s="6">
        <f>'08_PREMISSAS'!Q91</f>
        <v>30.0</v>
      </c>
      <c r="BE91" s="9">
        <f>'08_PREMISSAS'!R91</f>
        <v>0.085</v>
      </c>
      <c r="BF91" s="9">
        <f>'08_PREMISSAS'!S91</f>
        <v>0.34</v>
      </c>
      <c r="BG91" s="9">
        <f>'08_PREMISSAS'!T91</f>
        <v>0.012</v>
      </c>
      <c r="BH91" s="9">
        <f>'08_PREMISSAS'!U91</f>
        <v>0.01</v>
      </c>
      <c r="BI91" s="9">
        <f>IFERROR('12_MODELO'!N91/'12_MODELO'!E91,0)</f>
        <v>0.023496383761591057</v>
      </c>
      <c r="BJ91" s="9">
        <f>IFERROR('12_MODELO'!T91/'12_MODELO'!E91,0)</f>
        <v>-0.020994229878917102</v>
      </c>
      <c r="BK91" s="6">
        <f>'12_MODELO'!AQ91+'12_MODELO'!AR91</f>
        <v>-179371.55395375972</v>
      </c>
      <c r="BL91" s="6">
        <f>'12_MODELO'!U91+'12_MODELO'!V91-'12_MODELO'!X91-'12_MODELO'!Y91-'12_MODELO'!Z91-'12_MODELO'!AA91</f>
        <v>4081634.0395212797</v>
      </c>
      <c r="BM91" s="6">
        <f>'12_MODELO'!AG91-'12_MODELO'!AV91</f>
        <v>1063973.5256582792</v>
      </c>
      <c r="BN91" s="6">
        <f>0</f>
        <v>0</v>
      </c>
      <c r="BO91" s="6">
        <f>'12_MODELO'!AV91+'12_MODELO'!U91+'12_MODELO'!V91</f>
        <v>6539613.0849378</v>
      </c>
      <c r="BP91" s="6">
        <f>'12_MODELO'!AC91-'12_MODELO'!AD91</f>
        <v>1909120.0</v>
      </c>
      <c r="BQ91" s="6">
        <f>MIN('12_MODELO'!AG91,'12_MODELO'!AF91*12)</f>
        <v>216000.0</v>
      </c>
      <c r="BR91" s="6">
        <f>'12_MODELO'!AG91-'12_MODELO'!BQ91</f>
        <v>2194000.0</v>
      </c>
      <c r="BS91" s="6">
        <f>'12_MODELO'!AX91-'12_MODELO'!BR91</f>
        <v>1327952.5710748</v>
      </c>
      <c r="BT91" s="6">
        <f>'12_MODELO'!BR91</f>
        <v>2194000.0</v>
      </c>
      <c r="BU91" s="6">
        <f>IFERROR('12_MODELO'!BO91/'12_MODELO'!BS91,0)</f>
        <v>4.924583322764952</v>
      </c>
    </row>
    <row r="92" spans="1:73">
      <c r="A92" s="5">
        <v>46204</v>
      </c>
      <c r="B92" t="s">
        <v>83</v>
      </c>
      <c r="C92" s="6">
        <f>'08_PREMISSAS'!C92*'08_PREMISSAS'!D92</f>
        <v>1134873.7311999998</v>
      </c>
      <c r="D92" s="6">
        <f>'12_MODELO'!C92*'12_MODELO'!BE92</f>
        <v>96464.26715199999</v>
      </c>
      <c r="E92" s="6">
        <f>'12_MODELO'!C92-'12_MODELO'!D92</f>
        <v>1038409.4640479998</v>
      </c>
      <c r="F92" s="6">
        <f>'12_MODELO'!C92*'08_PREMISSAS'!E92</f>
        <v>795546.4855711998</v>
      </c>
      <c r="G92" s="6">
        <f>'12_MODELO'!E92-'12_MODELO'!F92</f>
        <v>242862.97847680002</v>
      </c>
      <c r="H92" s="6">
        <f>'08_PREMISSAS'!J92</f>
        <v>125000.0</v>
      </c>
      <c r="I92" s="6">
        <f>'12_MODELO'!C92*'08_PREMISSAS'!F92</f>
        <v>39720.580592</v>
      </c>
      <c r="J92" s="6">
        <f>'08_PREMISSAS'!L92</f>
        <v>37000.0</v>
      </c>
      <c r="K92" s="6">
        <f>'08_PREMISSAS'!M92</f>
        <v>24000.0</v>
      </c>
      <c r="L92" s="6">
        <f>'12_MODELO'!C92*'08_PREMISSAS'!G92</f>
        <v>26102.095817599995</v>
      </c>
      <c r="M92" s="6">
        <f>SUM('12_MODELO'!H92:'12_MODELO'!L92)</f>
        <v>251822.67640959998</v>
      </c>
      <c r="N92" s="6">
        <f>'12_MODELO'!G92-'12_MODELO'!M92</f>
        <v>-8959.697932799958</v>
      </c>
      <c r="O92" s="6">
        <f>MIN('12_MODELO'!AC91*'12_MODELO'!BH92,'12_MODELO'!AC91-'12_MODELO'!AD91+'12_MODELO'!AB92)</f>
        <v>28360.0</v>
      </c>
      <c r="P92" s="6">
        <f>'12_MODELO'!N92-'12_MODELO'!O92</f>
        <v>-37319.69793279996</v>
      </c>
      <c r="Q92" s="6">
        <f>'12_MODELO'!AG91*'12_MODELO'!BG92</f>
        <v>28920.0</v>
      </c>
      <c r="R92" s="6">
        <f>'12_MODELO'!P92-'12_MODELO'!Q92</f>
        <v>-66239.69793279996</v>
      </c>
      <c r="S92" s="6">
        <f>MAX(0,'12_MODELO'!R92)*'12_MODELO'!BF92</f>
        <v>0.0</v>
      </c>
      <c r="T92" s="6">
        <f>'12_MODELO'!R92-'12_MODELO'!S92</f>
        <v>-66239.69793279996</v>
      </c>
      <c r="U92" s="6">
        <f>'12_MODELO'!C92*'12_MODELO'!BB92/30</f>
        <v>2458893.084266666</v>
      </c>
      <c r="V92" s="6">
        <f>'12_MODELO'!F92*'12_MODELO'!BC92/30</f>
        <v>1803238.700628053</v>
      </c>
      <c r="W92" s="6">
        <f>'12_MODELO'!F92+'12_MODELO'!V92-'12_MODELO'!V91</f>
        <v>401463.0845031729</v>
      </c>
      <c r="X92" s="6">
        <f>'12_MODELO'!F92*'12_MODELO'!BD92/30</f>
        <v>795546.4855711998</v>
      </c>
      <c r="Y92" s="6">
        <f>'12_MODELO'!H92*20%</f>
        <v>25000.0</v>
      </c>
      <c r="Z92" s="6">
        <f>'12_MODELO'!D92</f>
        <v>96464.26715199999</v>
      </c>
      <c r="AA92" s="6">
        <f>'12_MODELO'!S92</f>
        <v>0.0</v>
      </c>
      <c r="AB92" s="6">
        <f>'08_PREMISSAS'!V92</f>
        <v>22000.0</v>
      </c>
      <c r="AC92" s="6">
        <f>'12_MODELO'!AC91+'12_MODELO'!AB92</f>
        <v>2858000.0</v>
      </c>
      <c r="AD92" s="6">
        <f>'12_MODELO'!AD91+'12_MODELO'!O92</f>
        <v>955240.0</v>
      </c>
      <c r="AE92" s="6">
        <f>'08_PREMISSAS'!W92</f>
        <v>0.0</v>
      </c>
      <c r="AF92" s="6">
        <f>'08_PREMISSAS'!X92</f>
        <v>18000.0</v>
      </c>
      <c r="AG92" s="6">
        <f>'12_MODELO'!AG91+'12_MODELO'!AE92-'12_MODELO'!AF92</f>
        <v>2392000.0</v>
      </c>
      <c r="AH92" s="6">
        <f>'08_PREMISSAS'!Y92</f>
        <v>0.0</v>
      </c>
      <c r="AI92" s="6">
        <f>'12_MODELO'!AI91</f>
        <v>3900000.0</v>
      </c>
      <c r="AJ92" s="6">
        <f>'12_MODELO'!AJ91+'12_MODELO'!T92-'12_MODELO'!AH92</f>
        <v>960540.8159302006</v>
      </c>
      <c r="AK92" s="6">
        <f>'12_MODELO'!U91+'12_MODELO'!C92-'12_MODELO'!U92</f>
        <v>1672245.1558333337</v>
      </c>
      <c r="AL92" s="6">
        <f>'12_MODELO'!X91+'12_MODELO'!W92-'12_MODELO'!X92</f>
        <v>575323.4085037729</v>
      </c>
      <c r="AM92" s="6">
        <f>'12_MODELO'!M92+'12_MODELO'!Y91-'12_MODELO'!Y92</f>
        <v>251822.67640959995</v>
      </c>
      <c r="AN92" s="6">
        <f>'12_MODELO'!Z91+'12_MODELO'!D92-'12_MODELO'!Z92</f>
        <v>117545.76150299999</v>
      </c>
      <c r="AO92" s="6">
        <f>'12_MODELO'!AA91+'12_MODELO'!S92-'12_MODELO'!AA92</f>
        <v>0.0</v>
      </c>
      <c r="AP92" s="6">
        <f>'12_MODELO'!AK92-'12_MODELO'!AL92-'12_MODELO'!AM92-'12_MODELO'!AN92-'12_MODELO'!Q92-'12_MODELO'!AO92</f>
        <v>698633.3094169609</v>
      </c>
      <c r="AQ92" s="6">
        <f>'12_MODELO'!T92+'12_MODELO'!O92-('12_MODELO'!U92-'12_MODELO'!U91)-('12_MODELO'!V92-'12_MODELO'!V91)+('12_MODELO'!X92-'12_MODELO'!X91)+('12_MODELO'!Y92-'12_MODELO'!Y91)+('12_MODELO'!Z92-'12_MODELO'!Z91)+('12_MODELO'!AA92-'12_MODELO'!AA91)</f>
        <v>698633.3094169605</v>
      </c>
      <c r="AR92" s="6">
        <f>-'12_MODELO'!AB92</f>
        <v>-22000.0</v>
      </c>
      <c r="AS92" s="6">
        <f>'12_MODELO'!AE92-'12_MODELO'!AF92-'12_MODELO'!AH92</f>
        <v>-18000.0</v>
      </c>
      <c r="AT92" s="6">
        <f>'12_MODELO'!AQ92+'12_MODELO'!AR92+'12_MODELO'!AS92</f>
        <v>658633.3094169605</v>
      </c>
      <c r="AU92" s="6">
        <f>'12_MODELO'!AV91</f>
        <v>1346026.4743417208</v>
      </c>
      <c r="AV92" s="6">
        <f>'12_MODELO'!AU92+'12_MODELO'!AT92</f>
        <v>2004659.7837586813</v>
      </c>
      <c r="AW92" s="6">
        <f>'12_MODELO'!AV92+'12_MODELO'!U92+'12_MODELO'!V92+'12_MODELO'!AC92-'12_MODELO'!AD92</f>
        <v>8169551.568653401</v>
      </c>
      <c r="AX92" s="6">
        <f>'12_MODELO'!X92+'12_MODELO'!Y92+'12_MODELO'!Z92+'12_MODELO'!AA92+'12_MODELO'!AG92</f>
        <v>3309010.7527232</v>
      </c>
      <c r="AY92" s="6">
        <f>'12_MODELO'!AI92+'12_MODELO'!AJ92</f>
        <v>4860540.815930201</v>
      </c>
      <c r="AZ92" s="6">
        <f>'12_MODELO'!AW92-'12_MODELO'!AX92-'12_MODELO'!AY92</f>
        <v>0.0</v>
      </c>
      <c r="BA92" s="6">
        <f>'12_MODELO'!AP92-'12_MODELO'!AQ92</f>
        <v>4.656612873077393e-10</v>
      </c>
      <c r="BB92" s="6">
        <f>'08_PREMISSAS'!O92</f>
        <v>65.0</v>
      </c>
      <c r="BC92" s="6">
        <f>'08_PREMISSAS'!P92</f>
        <v>68.0</v>
      </c>
      <c r="BD92" s="6">
        <f>'08_PREMISSAS'!Q92</f>
        <v>30.0</v>
      </c>
      <c r="BE92" s="9">
        <f>'08_PREMISSAS'!R92</f>
        <v>0.085</v>
      </c>
      <c r="BF92" s="9">
        <f>'08_PREMISSAS'!S92</f>
        <v>0.34</v>
      </c>
      <c r="BG92" s="9">
        <f>'08_PREMISSAS'!T92</f>
        <v>0.012</v>
      </c>
      <c r="BH92" s="9">
        <f>'08_PREMISSAS'!U92</f>
        <v>0.01</v>
      </c>
      <c r="BI92" s="9">
        <f>IFERROR('12_MODELO'!N92/'12_MODELO'!E92,0)</f>
        <v>-0.008628289940533324</v>
      </c>
      <c r="BJ92" s="9">
        <f>IFERROR('12_MODELO'!T92/'12_MODELO'!E92,0)</f>
        <v>-0.06378957456202274</v>
      </c>
      <c r="BK92" s="6">
        <f>'12_MODELO'!AQ92+'12_MODELO'!AR92</f>
        <v>676633.3094169605</v>
      </c>
      <c r="BL92" s="6">
        <f>'12_MODELO'!U92+'12_MODELO'!V92-'12_MODELO'!X92-'12_MODELO'!Y92-'12_MODELO'!Z92-'12_MODELO'!AA92</f>
        <v>3345121.0321715185</v>
      </c>
      <c r="BM92" s="6">
        <f>'12_MODELO'!AG92-'12_MODELO'!AV92</f>
        <v>387340.21624131873</v>
      </c>
      <c r="BN92" s="6">
        <f>0</f>
        <v>0</v>
      </c>
      <c r="BO92" s="6">
        <f>'12_MODELO'!AV92+'12_MODELO'!U92+'12_MODELO'!V92</f>
        <v>6266791.568653401</v>
      </c>
      <c r="BP92" s="6">
        <f>'12_MODELO'!AC92-'12_MODELO'!AD92</f>
        <v>1902760.0</v>
      </c>
      <c r="BQ92" s="6">
        <f>MIN('12_MODELO'!AG92,'12_MODELO'!AF92*12)</f>
        <v>216000.0</v>
      </c>
      <c r="BR92" s="6">
        <f>'12_MODELO'!AG92-'12_MODELO'!BQ92</f>
        <v>2176000.0</v>
      </c>
      <c r="BS92" s="6">
        <f>'12_MODELO'!AX92-'12_MODELO'!BR92</f>
        <v>1133010.7527231998</v>
      </c>
      <c r="BT92" s="6">
        <f>'12_MODELO'!BR92</f>
        <v>2176000.0</v>
      </c>
      <c r="BU92" s="6">
        <f>IFERROR('12_MODELO'!BO92/'12_MODELO'!BS92,0)</f>
        <v>5.531096288001787</v>
      </c>
    </row>
    <row r="93" spans="1:73">
      <c r="A93" s="5">
        <v>46235</v>
      </c>
      <c r="B93" t="s">
        <v>83</v>
      </c>
      <c r="C93" s="6">
        <f>'08_PREMISSAS'!C93*'08_PREMISSAS'!D93</f>
        <v>1220726.1496000001</v>
      </c>
      <c r="D93" s="6">
        <f>'12_MODELO'!C93*'12_MODELO'!BE93</f>
        <v>103761.72271600002</v>
      </c>
      <c r="E93" s="6">
        <f>'12_MODELO'!C93-'12_MODELO'!D93</f>
        <v>1116964.4268840002</v>
      </c>
      <c r="F93" s="6">
        <f>'12_MODELO'!C93*'08_PREMISSAS'!E93</f>
        <v>855729.0308696</v>
      </c>
      <c r="G93" s="6">
        <f>'12_MODELO'!E93-'12_MODELO'!F93</f>
        <v>261235.39601440018</v>
      </c>
      <c r="H93" s="6">
        <f>'08_PREMISSAS'!J93</f>
        <v>125000.0</v>
      </c>
      <c r="I93" s="6">
        <f>'12_MODELO'!C93*'08_PREMISSAS'!F93</f>
        <v>42725.41523600001</v>
      </c>
      <c r="J93" s="6">
        <f>'08_PREMISSAS'!L93</f>
        <v>37000.0</v>
      </c>
      <c r="K93" s="6">
        <f>'08_PREMISSAS'!M93</f>
        <v>24000.0</v>
      </c>
      <c r="L93" s="6">
        <f>'12_MODELO'!C93*'08_PREMISSAS'!G93</f>
        <v>28076.701440800003</v>
      </c>
      <c r="M93" s="6">
        <f>SUM('12_MODELO'!H93:'12_MODELO'!L93)</f>
        <v>256802.1166768</v>
      </c>
      <c r="N93" s="6">
        <f>'12_MODELO'!G93-'12_MODELO'!M93</f>
        <v>4433.279337600165</v>
      </c>
      <c r="O93" s="6">
        <f>MIN('12_MODELO'!AC92*'12_MODELO'!BH93,'12_MODELO'!AC92-'12_MODELO'!AD92+'12_MODELO'!AB93)</f>
        <v>28580.0</v>
      </c>
      <c r="P93" s="6">
        <f>'12_MODELO'!N93-'12_MODELO'!O93</f>
        <v>-24146.720662399835</v>
      </c>
      <c r="Q93" s="6">
        <f>'12_MODELO'!AG92*'12_MODELO'!BG93</f>
        <v>28704.0</v>
      </c>
      <c r="R93" s="6">
        <f>'12_MODELO'!P93-'12_MODELO'!Q93</f>
        <v>-52850.720662399835</v>
      </c>
      <c r="S93" s="6">
        <f>MAX(0,'12_MODELO'!R93)*'12_MODELO'!BF93</f>
        <v>0.0</v>
      </c>
      <c r="T93" s="6">
        <f>'12_MODELO'!R93-'12_MODELO'!S93</f>
        <v>-52850.720662399835</v>
      </c>
      <c r="U93" s="6">
        <f>'12_MODELO'!C93*'12_MODELO'!BB93/30</f>
        <v>2644906.657466667</v>
      </c>
      <c r="V93" s="6">
        <f>'12_MODELO'!F93*'12_MODELO'!BC93/30</f>
        <v>1939652.4699710933</v>
      </c>
      <c r="W93" s="6">
        <f>'12_MODELO'!F93+'12_MODELO'!V93-'12_MODELO'!V92</f>
        <v>992142.8002126403</v>
      </c>
      <c r="X93" s="6">
        <f>'12_MODELO'!F93*'12_MODELO'!BD93/30</f>
        <v>855729.0308696</v>
      </c>
      <c r="Y93" s="6">
        <f>'12_MODELO'!H93*20%</f>
        <v>25000.0</v>
      </c>
      <c r="Z93" s="6">
        <f>'12_MODELO'!D93</f>
        <v>103761.72271600002</v>
      </c>
      <c r="AA93" s="6">
        <f>'12_MODELO'!S93</f>
        <v>0.0</v>
      </c>
      <c r="AB93" s="6">
        <f>'08_PREMISSAS'!V93</f>
        <v>22000.0</v>
      </c>
      <c r="AC93" s="6">
        <f>'12_MODELO'!AC92+'12_MODELO'!AB93</f>
        <v>2880000.0</v>
      </c>
      <c r="AD93" s="6">
        <f>'12_MODELO'!AD92+'12_MODELO'!O93</f>
        <v>983820.0</v>
      </c>
      <c r="AE93" s="6">
        <f>'08_PREMISSAS'!W93</f>
        <v>0.0</v>
      </c>
      <c r="AF93" s="6">
        <f>'08_PREMISSAS'!X93</f>
        <v>18000.0</v>
      </c>
      <c r="AG93" s="6">
        <f>'12_MODELO'!AG92+'12_MODELO'!AE93-'12_MODELO'!AF93</f>
        <v>2374000.0</v>
      </c>
      <c r="AH93" s="6">
        <f>'08_PREMISSAS'!Y93</f>
        <v>0.0</v>
      </c>
      <c r="AI93" s="6">
        <f>'12_MODELO'!AI92</f>
        <v>3900000.0</v>
      </c>
      <c r="AJ93" s="6">
        <f>'12_MODELO'!AJ92+'12_MODELO'!T93-'12_MODELO'!AH93</f>
        <v>907690.0952678008</v>
      </c>
      <c r="AK93" s="6">
        <f>'12_MODELO'!U92+'12_MODELO'!C93-'12_MODELO'!U93</f>
        <v>1034712.5763999992</v>
      </c>
      <c r="AL93" s="6">
        <f>'12_MODELO'!X92+'12_MODELO'!W93-'12_MODELO'!X93</f>
        <v>931960.2549142401</v>
      </c>
      <c r="AM93" s="6">
        <f>'12_MODELO'!M93+'12_MODELO'!Y92-'12_MODELO'!Y93</f>
        <v>256802.1166768</v>
      </c>
      <c r="AN93" s="6">
        <f>'12_MODELO'!Z92+'12_MODELO'!D93-'12_MODELO'!Z93</f>
        <v>96464.26715199999</v>
      </c>
      <c r="AO93" s="6">
        <f>'12_MODELO'!AA92+'12_MODELO'!S93-'12_MODELO'!AA93</f>
        <v>0.0</v>
      </c>
      <c r="AP93" s="6">
        <f>'12_MODELO'!AK93-'12_MODELO'!AL93-'12_MODELO'!AM93-'12_MODELO'!AN93-'12_MODELO'!Q93-'12_MODELO'!AO93</f>
        <v>-279218.0623430409</v>
      </c>
      <c r="AQ93" s="6">
        <f>'12_MODELO'!T93+'12_MODELO'!O93-('12_MODELO'!U93-'12_MODELO'!U92)-('12_MODELO'!V93-'12_MODELO'!V92)+('12_MODELO'!X93-'12_MODELO'!X92)+('12_MODELO'!Y93-'12_MODELO'!Y92)+('12_MODELO'!Z93-'12_MODELO'!Z92)+('12_MODELO'!AA93-'12_MODELO'!AA92)</f>
        <v>-279218.06234304095</v>
      </c>
      <c r="AR93" s="6">
        <f>-'12_MODELO'!AB93</f>
        <v>-22000.0</v>
      </c>
      <c r="AS93" s="6">
        <f>'12_MODELO'!AE93-'12_MODELO'!AF93-'12_MODELO'!AH93</f>
        <v>-18000.0</v>
      </c>
      <c r="AT93" s="6">
        <f>'12_MODELO'!AQ93+'12_MODELO'!AR93+'12_MODELO'!AS93</f>
        <v>-319218.06234304095</v>
      </c>
      <c r="AU93" s="6">
        <f>'12_MODELO'!AV92</f>
        <v>2004659.7837586813</v>
      </c>
      <c r="AV93" s="6">
        <f>'12_MODELO'!AU93+'12_MODELO'!AT93</f>
        <v>1685441.7214156403</v>
      </c>
      <c r="AW93" s="6">
        <f>'12_MODELO'!AV93+'12_MODELO'!U93+'12_MODELO'!V93+'12_MODELO'!AC93-'12_MODELO'!AD93</f>
        <v>8166180.848853402</v>
      </c>
      <c r="AX93" s="6">
        <f>'12_MODELO'!X93+'12_MODELO'!Y93+'12_MODELO'!Z93+'12_MODELO'!AA93+'12_MODELO'!AG93</f>
        <v>3358490.7535856</v>
      </c>
      <c r="AY93" s="6">
        <f>'12_MODELO'!AI93+'12_MODELO'!AJ93</f>
        <v>4807690.095267801</v>
      </c>
      <c r="AZ93" s="6">
        <f>'12_MODELO'!AW93-'12_MODELO'!AX93-'12_MODELO'!AY93</f>
        <v>1.862645149230957e-09</v>
      </c>
      <c r="BA93" s="6">
        <f>'12_MODELO'!AP93-'12_MODELO'!AQ93</f>
        <v>5.820766091346741e-11</v>
      </c>
      <c r="BB93" s="6">
        <f>'08_PREMISSAS'!O93</f>
        <v>65.0</v>
      </c>
      <c r="BC93" s="6">
        <f>'08_PREMISSAS'!P93</f>
        <v>68.0</v>
      </c>
      <c r="BD93" s="6">
        <f>'08_PREMISSAS'!Q93</f>
        <v>30.0</v>
      </c>
      <c r="BE93" s="9">
        <f>'08_PREMISSAS'!R93</f>
        <v>0.085</v>
      </c>
      <c r="BF93" s="9">
        <f>'08_PREMISSAS'!S93</f>
        <v>0.34</v>
      </c>
      <c r="BG93" s="9">
        <f>'08_PREMISSAS'!T93</f>
        <v>0.012</v>
      </c>
      <c r="BH93" s="9">
        <f>'08_PREMISSAS'!U93</f>
        <v>0.01</v>
      </c>
      <c r="BI93" s="9">
        <f>IFERROR('12_MODELO'!N93/'12_MODELO'!E93,0)</f>
        <v>0.003969042550412909</v>
      </c>
      <c r="BJ93" s="9">
        <f>IFERROR('12_MODELO'!T93/'12_MODELO'!E93,0)</f>
        <v>-0.0473163866192567</v>
      </c>
      <c r="BK93" s="6">
        <f>'12_MODELO'!AQ93+'12_MODELO'!AR93</f>
        <v>-301218.06234304095</v>
      </c>
      <c r="BL93" s="6">
        <f>'12_MODELO'!U93+'12_MODELO'!V93-'12_MODELO'!X93-'12_MODELO'!Y93-'12_MODELO'!Z93-'12_MODELO'!AA93</f>
        <v>3600068.3738521603</v>
      </c>
      <c r="BM93" s="6">
        <f>'12_MODELO'!AG93-'12_MODELO'!AV93</f>
        <v>688558.2785843597</v>
      </c>
      <c r="BN93" s="6">
        <f>0</f>
        <v>0</v>
      </c>
      <c r="BO93" s="6">
        <f>'12_MODELO'!AV93+'12_MODELO'!U93+'12_MODELO'!V93</f>
        <v>6270000.848853401</v>
      </c>
      <c r="BP93" s="6">
        <f>'12_MODELO'!AC93-'12_MODELO'!AD93</f>
        <v>1896180.0</v>
      </c>
      <c r="BQ93" s="6">
        <f>MIN('12_MODELO'!AG93,'12_MODELO'!AF93*12)</f>
        <v>216000.0</v>
      </c>
      <c r="BR93" s="6">
        <f>'12_MODELO'!AG93-'12_MODELO'!BQ93</f>
        <v>2158000.0</v>
      </c>
      <c r="BS93" s="6">
        <f>'12_MODELO'!AX93-'12_MODELO'!BR93</f>
        <v>1200490.7535855998</v>
      </c>
      <c r="BT93" s="6">
        <f>'12_MODELO'!BR93</f>
        <v>2158000.0</v>
      </c>
      <c r="BU93" s="6">
        <f>IFERROR('12_MODELO'!BO93/'12_MODELO'!BS93,0)</f>
        <v>5.222864757705378</v>
      </c>
    </row>
    <row r="94" spans="1:73">
      <c r="A94" s="5">
        <v>46266</v>
      </c>
      <c r="B94" t="s">
        <v>83</v>
      </c>
      <c r="C94" s="6">
        <f>'08_PREMISSAS'!C94*'08_PREMISSAS'!D94</f>
        <v>1302192.669</v>
      </c>
      <c r="D94" s="6">
        <f>'12_MODELO'!C94*'12_MODELO'!BE94</f>
        <v>110686.37686500001</v>
      </c>
      <c r="E94" s="6">
        <f>'12_MODELO'!C94-'12_MODELO'!D94</f>
        <v>1191506.292135</v>
      </c>
      <c r="F94" s="6">
        <f>'12_MODELO'!C94*'08_PREMISSAS'!E94</f>
        <v>912837.060969</v>
      </c>
      <c r="G94" s="6">
        <f>'12_MODELO'!E94-'12_MODELO'!F94</f>
        <v>278669.231166</v>
      </c>
      <c r="H94" s="6">
        <f>'08_PREMISSAS'!J94</f>
        <v>125000.0</v>
      </c>
      <c r="I94" s="6">
        <f>'12_MODELO'!C94*'08_PREMISSAS'!F94</f>
        <v>45576.743415000004</v>
      </c>
      <c r="J94" s="6">
        <f>'08_PREMISSAS'!L94</f>
        <v>37000.0</v>
      </c>
      <c r="K94" s="6">
        <f>'08_PREMISSAS'!M94</f>
        <v>24000.0</v>
      </c>
      <c r="L94" s="6">
        <f>'12_MODELO'!C94*'08_PREMISSAS'!G94</f>
        <v>29950.431387</v>
      </c>
      <c r="M94" s="6">
        <f>SUM('12_MODELO'!H94:'12_MODELO'!L94)</f>
        <v>261527.174802</v>
      </c>
      <c r="N94" s="6">
        <f>'12_MODELO'!G94-'12_MODELO'!M94</f>
        <v>17142.05636400002</v>
      </c>
      <c r="O94" s="6">
        <f>MIN('12_MODELO'!AC93*'12_MODELO'!BH94,'12_MODELO'!AC93-'12_MODELO'!AD93+'12_MODELO'!AB94)</f>
        <v>28800.0</v>
      </c>
      <c r="P94" s="6">
        <f>'12_MODELO'!N94-'12_MODELO'!O94</f>
        <v>-11657.943635999982</v>
      </c>
      <c r="Q94" s="6">
        <f>'12_MODELO'!AG93*'12_MODELO'!BG94</f>
        <v>28488.0</v>
      </c>
      <c r="R94" s="6">
        <f>'12_MODELO'!P94-'12_MODELO'!Q94</f>
        <v>-40145.94363599998</v>
      </c>
      <c r="S94" s="6">
        <f>MAX(0,'12_MODELO'!R94)*'12_MODELO'!BF94</f>
        <v>0.0</v>
      </c>
      <c r="T94" s="6">
        <f>'12_MODELO'!R94-'12_MODELO'!S94</f>
        <v>-40145.94363599998</v>
      </c>
      <c r="U94" s="6">
        <f>'12_MODELO'!C94*'12_MODELO'!BB94/30</f>
        <v>2821417.4495</v>
      </c>
      <c r="V94" s="6">
        <f>'12_MODELO'!F94*'12_MODELO'!BC94/30</f>
        <v>2069097.3381964</v>
      </c>
      <c r="W94" s="6">
        <f>'12_MODELO'!F94+'12_MODELO'!V94-'12_MODELO'!V93</f>
        <v>1042281.929194307</v>
      </c>
      <c r="X94" s="6">
        <f>'12_MODELO'!F94*'12_MODELO'!BD94/30</f>
        <v>912837.060969</v>
      </c>
      <c r="Y94" s="6">
        <f>'12_MODELO'!H94*20%</f>
        <v>25000.0</v>
      </c>
      <c r="Z94" s="6">
        <f>'12_MODELO'!D94</f>
        <v>110686.37686500001</v>
      </c>
      <c r="AA94" s="6">
        <f>'12_MODELO'!S94</f>
        <v>0.0</v>
      </c>
      <c r="AB94" s="6">
        <f>'08_PREMISSAS'!V94</f>
        <v>120000.0</v>
      </c>
      <c r="AC94" s="6">
        <f>'12_MODELO'!AC93+'12_MODELO'!AB94</f>
        <v>3000000.0</v>
      </c>
      <c r="AD94" s="6">
        <f>'12_MODELO'!AD93+'12_MODELO'!O94</f>
        <v>1012620.0</v>
      </c>
      <c r="AE94" s="6">
        <f>'08_PREMISSAS'!W94</f>
        <v>0.0</v>
      </c>
      <c r="AF94" s="6">
        <f>'08_PREMISSAS'!X94</f>
        <v>18000.0</v>
      </c>
      <c r="AG94" s="6">
        <f>'12_MODELO'!AG93+'12_MODELO'!AE94-'12_MODELO'!AF94</f>
        <v>2356000.0</v>
      </c>
      <c r="AH94" s="6">
        <f>'08_PREMISSAS'!Y94</f>
        <v>0.0</v>
      </c>
      <c r="AI94" s="6">
        <f>'12_MODELO'!AI93</f>
        <v>3900000.0</v>
      </c>
      <c r="AJ94" s="6">
        <f>'12_MODELO'!AJ93+'12_MODELO'!T94-'12_MODELO'!AH94</f>
        <v>867544.1516318009</v>
      </c>
      <c r="AK94" s="6">
        <f>'12_MODELO'!U93+'12_MODELO'!C94-'12_MODELO'!U94</f>
        <v>1125681.8769666664</v>
      </c>
      <c r="AL94" s="6">
        <f>'12_MODELO'!X93+'12_MODELO'!W94-'12_MODELO'!X94</f>
        <v>985173.8990949069</v>
      </c>
      <c r="AM94" s="6">
        <f>'12_MODELO'!M94+'12_MODELO'!Y93-'12_MODELO'!Y94</f>
        <v>261527.174802</v>
      </c>
      <c r="AN94" s="6">
        <f>'12_MODELO'!Z93+'12_MODELO'!D94-'12_MODELO'!Z94</f>
        <v>103761.72271600003</v>
      </c>
      <c r="AO94" s="6">
        <f>'12_MODELO'!AA93+'12_MODELO'!S94-'12_MODELO'!AA94</f>
        <v>0.0</v>
      </c>
      <c r="AP94" s="6">
        <f>'12_MODELO'!AK94-'12_MODELO'!AL94-'12_MODELO'!AM94-'12_MODELO'!AN94-'12_MODELO'!Q94-'12_MODELO'!AO94</f>
        <v>-253268.91964624048</v>
      </c>
      <c r="AQ94" s="6">
        <f>'12_MODELO'!T94+'12_MODELO'!O94-('12_MODELO'!U94-'12_MODELO'!U93)-('12_MODELO'!V94-'12_MODELO'!V93)+('12_MODELO'!X94-'12_MODELO'!X93)+('12_MODELO'!Y94-'12_MODELO'!Y93)+('12_MODELO'!Z94-'12_MODELO'!Z93)+('12_MODELO'!AA94-'12_MODELO'!AA93)</f>
        <v>-253268.91964624007</v>
      </c>
      <c r="AR94" s="6">
        <f>-'12_MODELO'!AB94</f>
        <v>-120000.0</v>
      </c>
      <c r="AS94" s="6">
        <f>'12_MODELO'!AE94-'12_MODELO'!AF94-'12_MODELO'!AH94</f>
        <v>-18000.0</v>
      </c>
      <c r="AT94" s="6">
        <f>'12_MODELO'!AQ94+'12_MODELO'!AR94+'12_MODELO'!AS94</f>
        <v>-391268.9196462401</v>
      </c>
      <c r="AU94" s="6">
        <f>'12_MODELO'!AV93</f>
        <v>1685441.7214156403</v>
      </c>
      <c r="AV94" s="6">
        <f>'12_MODELO'!AU94+'12_MODELO'!AT94</f>
        <v>1294172.8017694002</v>
      </c>
      <c r="AW94" s="6">
        <f>'12_MODELO'!AV94+'12_MODELO'!U94+'12_MODELO'!V94+'12_MODELO'!AC94-'12_MODELO'!AD94</f>
        <v>8172067.589465801</v>
      </c>
      <c r="AX94" s="6">
        <f>'12_MODELO'!X94+'12_MODELO'!Y94+'12_MODELO'!Z94+'12_MODELO'!AA94+'12_MODELO'!AG94</f>
        <v>3404523.437834</v>
      </c>
      <c r="AY94" s="6">
        <f>'12_MODELO'!AI94+'12_MODELO'!AJ94</f>
        <v>4767544.1516318</v>
      </c>
      <c r="AZ94" s="6">
        <f>'12_MODELO'!AW94-'12_MODELO'!AX94-'12_MODELO'!AY94</f>
        <v>0.0</v>
      </c>
      <c r="BA94" s="6">
        <f>'12_MODELO'!AP94-'12_MODELO'!AQ94</f>
        <v>-4.0745362639427185e-10</v>
      </c>
      <c r="BB94" s="6">
        <f>'08_PREMISSAS'!O94</f>
        <v>65.0</v>
      </c>
      <c r="BC94" s="6">
        <f>'08_PREMISSAS'!P94</f>
        <v>68.0</v>
      </c>
      <c r="BD94" s="6">
        <f>'08_PREMISSAS'!Q94</f>
        <v>30.0</v>
      </c>
      <c r="BE94" s="9">
        <f>'08_PREMISSAS'!R94</f>
        <v>0.085</v>
      </c>
      <c r="BF94" s="9">
        <f>'08_PREMISSAS'!S94</f>
        <v>0.34</v>
      </c>
      <c r="BG94" s="9">
        <f>'08_PREMISSAS'!T94</f>
        <v>0.012</v>
      </c>
      <c r="BH94" s="9">
        <f>'08_PREMISSAS'!U94</f>
        <v>0.01</v>
      </c>
      <c r="BI94" s="9">
        <f>IFERROR('12_MODELO'!N94/'12_MODELO'!E94,0)</f>
        <v>0.01438687858985959</v>
      </c>
      <c r="BJ94" s="9">
        <f>IFERROR('12_MODELO'!T94/'12_MODELO'!E94,0)</f>
        <v>-0.03369343821429972</v>
      </c>
      <c r="BK94" s="6">
        <f>'12_MODELO'!AQ94+'12_MODELO'!AR94</f>
        <v>-373268.9196462401</v>
      </c>
      <c r="BL94" s="6">
        <f>'12_MODELO'!U94+'12_MODELO'!V94-'12_MODELO'!X94-'12_MODELO'!Y94-'12_MODELO'!Z94-'12_MODELO'!AA94</f>
        <v>3841991.349862401</v>
      </c>
      <c r="BM94" s="6">
        <f>'12_MODELO'!AG94-'12_MODELO'!AV94</f>
        <v>1061827.1982305998</v>
      </c>
      <c r="BN94" s="6">
        <f>0</f>
        <v>0</v>
      </c>
      <c r="BO94" s="6">
        <f>'12_MODELO'!AV94+'12_MODELO'!U94+'12_MODELO'!V94</f>
        <v>6184687.589465801</v>
      </c>
      <c r="BP94" s="6">
        <f>'12_MODELO'!AC94-'12_MODELO'!AD94</f>
        <v>1987380.0</v>
      </c>
      <c r="BQ94" s="6">
        <f>MIN('12_MODELO'!AG94,'12_MODELO'!AF94*12)</f>
        <v>216000.0</v>
      </c>
      <c r="BR94" s="6">
        <f>'12_MODELO'!AG94-'12_MODELO'!BQ94</f>
        <v>2140000.0</v>
      </c>
      <c r="BS94" s="6">
        <f>'12_MODELO'!AX94-'12_MODELO'!BR94</f>
        <v>1264523.4378340002</v>
      </c>
      <c r="BT94" s="6">
        <f>'12_MODELO'!BR94</f>
        <v>2140000.0</v>
      </c>
      <c r="BU94" s="6">
        <f>IFERROR('12_MODELO'!BO94/'12_MODELO'!BS94,0)</f>
        <v>4.890923651094629</v>
      </c>
    </row>
    <row r="95" spans="1:73">
      <c r="A95" s="5">
        <v>46296</v>
      </c>
      <c r="B95" t="s">
        <v>83</v>
      </c>
      <c r="C95" s="6">
        <f>'08_PREMISSAS'!C95*'08_PREMISSAS'!D95</f>
        <v>1462629.5566</v>
      </c>
      <c r="D95" s="6">
        <f>'12_MODELO'!C95*'12_MODELO'!BE95</f>
        <v>124323.51231100001</v>
      </c>
      <c r="E95" s="6">
        <f>'12_MODELO'!C95-'12_MODELO'!D95</f>
        <v>1338306.044289</v>
      </c>
      <c r="F95" s="6">
        <f>'12_MODELO'!C95*'08_PREMISSAS'!E95</f>
        <v>1025303.3191766</v>
      </c>
      <c r="G95" s="6">
        <f>'12_MODELO'!E95-'12_MODELO'!F95</f>
        <v>313002.72511240013</v>
      </c>
      <c r="H95" s="6">
        <f>'08_PREMISSAS'!J95</f>
        <v>125000.0</v>
      </c>
      <c r="I95" s="6">
        <f>'12_MODELO'!C95*'08_PREMISSAS'!F95</f>
        <v>51192.034481</v>
      </c>
      <c r="J95" s="6">
        <f>'08_PREMISSAS'!L95</f>
        <v>37000.0</v>
      </c>
      <c r="K95" s="6">
        <f>'08_PREMISSAS'!M95</f>
        <v>24000.0</v>
      </c>
      <c r="L95" s="6">
        <f>'12_MODELO'!C95*'08_PREMISSAS'!G95</f>
        <v>33640.4798018</v>
      </c>
      <c r="M95" s="6">
        <f>SUM('12_MODELO'!H95:'12_MODELO'!L95)</f>
        <v>270832.5142828</v>
      </c>
      <c r="N95" s="6">
        <f>'12_MODELO'!G95-'12_MODELO'!M95</f>
        <v>42170.21082960011</v>
      </c>
      <c r="O95" s="6">
        <f>MIN('12_MODELO'!AC94*'12_MODELO'!BH95,'12_MODELO'!AC94-'12_MODELO'!AD94+'12_MODELO'!AB95)</f>
        <v>30000.0</v>
      </c>
      <c r="P95" s="6">
        <f>'12_MODELO'!N95-'12_MODELO'!O95</f>
        <v>12170.21082960011</v>
      </c>
      <c r="Q95" s="6">
        <f>'12_MODELO'!AG94*'12_MODELO'!BG95</f>
        <v>28272.0</v>
      </c>
      <c r="R95" s="6">
        <f>'12_MODELO'!P95-'12_MODELO'!Q95</f>
        <v>-16101.78917039989</v>
      </c>
      <c r="S95" s="6">
        <f>MAX(0,'12_MODELO'!R95)*'12_MODELO'!BF95</f>
        <v>0.0</v>
      </c>
      <c r="T95" s="6">
        <f>'12_MODELO'!R95-'12_MODELO'!S95</f>
        <v>-16101.78917039989</v>
      </c>
      <c r="U95" s="6">
        <f>'12_MODELO'!C95*'12_MODELO'!BB95/30</f>
        <v>3169030.705966667</v>
      </c>
      <c r="V95" s="6">
        <f>'12_MODELO'!F95*'12_MODELO'!BC95/30</f>
        <v>2324020.8568002935</v>
      </c>
      <c r="W95" s="6">
        <f>'12_MODELO'!F95+'12_MODELO'!V95-'12_MODELO'!V94</f>
        <v>1280226.8377804933</v>
      </c>
      <c r="X95" s="6">
        <f>'12_MODELO'!F95*'12_MODELO'!BD95/30</f>
        <v>1025303.3191766</v>
      </c>
      <c r="Y95" s="6">
        <f>'12_MODELO'!H95*20%</f>
        <v>25000.0</v>
      </c>
      <c r="Z95" s="6">
        <f>'12_MODELO'!D95</f>
        <v>124323.51231100001</v>
      </c>
      <c r="AA95" s="6">
        <f>'12_MODELO'!S95</f>
        <v>0.0</v>
      </c>
      <c r="AB95" s="6">
        <f>'08_PREMISSAS'!V95</f>
        <v>22000.0</v>
      </c>
      <c r="AC95" s="6">
        <f>'12_MODELO'!AC94+'12_MODELO'!AB95</f>
        <v>3022000.0</v>
      </c>
      <c r="AD95" s="6">
        <f>'12_MODELO'!AD94+'12_MODELO'!O95</f>
        <v>1042620.0</v>
      </c>
      <c r="AE95" s="6">
        <f>'08_PREMISSAS'!W95</f>
        <v>0.0</v>
      </c>
      <c r="AF95" s="6">
        <f>'08_PREMISSAS'!X95</f>
        <v>18000.0</v>
      </c>
      <c r="AG95" s="6">
        <f>'12_MODELO'!AG94+'12_MODELO'!AE95-'12_MODELO'!AF95</f>
        <v>2338000.0</v>
      </c>
      <c r="AH95" s="6">
        <f>'08_PREMISSAS'!Y95</f>
        <v>0.0</v>
      </c>
      <c r="AI95" s="6">
        <f>'12_MODELO'!AI94</f>
        <v>3900000.0</v>
      </c>
      <c r="AJ95" s="6">
        <f>'12_MODELO'!AJ94+'12_MODELO'!T95-'12_MODELO'!AH95</f>
        <v>851442.362461401</v>
      </c>
      <c r="AK95" s="6">
        <f>'12_MODELO'!U94+'12_MODELO'!C95-'12_MODELO'!U95</f>
        <v>1115016.300133333</v>
      </c>
      <c r="AL95" s="6">
        <f>'12_MODELO'!X94+'12_MODELO'!W95-'12_MODELO'!X95</f>
        <v>1167760.5795728932</v>
      </c>
      <c r="AM95" s="6">
        <f>'12_MODELO'!M95+'12_MODELO'!Y94-'12_MODELO'!Y95</f>
        <v>270832.5142828</v>
      </c>
      <c r="AN95" s="6">
        <f>'12_MODELO'!Z94+'12_MODELO'!D95-'12_MODELO'!Z95</f>
        <v>110686.37686500001</v>
      </c>
      <c r="AO95" s="6">
        <f>'12_MODELO'!AA94+'12_MODELO'!S95-'12_MODELO'!AA95</f>
        <v>0.0</v>
      </c>
      <c r="AP95" s="6">
        <f>'12_MODELO'!AK95-'12_MODELO'!AL95-'12_MODELO'!AM95-'12_MODELO'!AN95-'12_MODELO'!Q95-'12_MODELO'!AO95</f>
        <v>-462535.17058736016</v>
      </c>
      <c r="AQ95" s="6">
        <f>'12_MODELO'!T95+'12_MODELO'!O95-('12_MODELO'!U95-'12_MODELO'!U94)-('12_MODELO'!V95-'12_MODELO'!V94)+('12_MODELO'!X95-'12_MODELO'!X94)+('12_MODELO'!Y95-'12_MODELO'!Y94)+('12_MODELO'!Z95-'12_MODELO'!Z94)+('12_MODELO'!AA95-'12_MODELO'!AA94)</f>
        <v>-462535.17058736004</v>
      </c>
      <c r="AR95" s="6">
        <f>-'12_MODELO'!AB95</f>
        <v>-22000.0</v>
      </c>
      <c r="AS95" s="6">
        <f>'12_MODELO'!AE95-'12_MODELO'!AF95-'12_MODELO'!AH95</f>
        <v>-18000.0</v>
      </c>
      <c r="AT95" s="6">
        <f>'12_MODELO'!AQ95+'12_MODELO'!AR95+'12_MODELO'!AS95</f>
        <v>-502535.17058736004</v>
      </c>
      <c r="AU95" s="6">
        <f>'12_MODELO'!AV94</f>
        <v>1294172.8017694002</v>
      </c>
      <c r="AV95" s="6">
        <f>'12_MODELO'!AU95+'12_MODELO'!AT95</f>
        <v>791637.6311820402</v>
      </c>
      <c r="AW95" s="6">
        <f>'12_MODELO'!AV95+'12_MODELO'!U95+'12_MODELO'!V95+'12_MODELO'!AC95-'12_MODELO'!AD95</f>
        <v>8264069.193949001</v>
      </c>
      <c r="AX95" s="6">
        <f>'12_MODELO'!X95+'12_MODELO'!Y95+'12_MODELO'!Z95+'12_MODELO'!AA95+'12_MODELO'!AG95</f>
        <v>3512626.8314875998</v>
      </c>
      <c r="AY95" s="6">
        <f>'12_MODELO'!AI95+'12_MODELO'!AJ95</f>
        <v>4751442.362461401</v>
      </c>
      <c r="AZ95" s="6">
        <f>'12_MODELO'!AW95-'12_MODELO'!AX95-'12_MODELO'!AY95</f>
        <v>0.0</v>
      </c>
      <c r="BA95" s="6">
        <f>'12_MODELO'!AP95-'12_MODELO'!AQ95</f>
        <v>-1.1641532182693481e-10</v>
      </c>
      <c r="BB95" s="6">
        <f>'08_PREMISSAS'!O95</f>
        <v>65.0</v>
      </c>
      <c r="BC95" s="6">
        <f>'08_PREMISSAS'!P95</f>
        <v>68.0</v>
      </c>
      <c r="BD95" s="6">
        <f>'08_PREMISSAS'!Q95</f>
        <v>30.0</v>
      </c>
      <c r="BE95" s="9">
        <f>'08_PREMISSAS'!R95</f>
        <v>0.085</v>
      </c>
      <c r="BF95" s="9">
        <f>'08_PREMISSAS'!S95</f>
        <v>0.34</v>
      </c>
      <c r="BG95" s="9">
        <f>'08_PREMISSAS'!T95</f>
        <v>0.012</v>
      </c>
      <c r="BH95" s="9">
        <f>'08_PREMISSAS'!U95</f>
        <v>0.01</v>
      </c>
      <c r="BI95" s="9">
        <f>IFERROR('12_MODELO'!N95/'12_MODELO'!E95,0)</f>
        <v>0.031510140008374404</v>
      </c>
      <c r="BJ95" s="9">
        <f>IFERROR('12_MODELO'!T95/'12_MODELO'!E95,0)</f>
        <v>-0.01203147011037693</v>
      </c>
      <c r="BK95" s="6">
        <f>'12_MODELO'!AQ95+'12_MODELO'!AR95</f>
        <v>-484535.17058736004</v>
      </c>
      <c r="BL95" s="6">
        <f>'12_MODELO'!U95+'12_MODELO'!V95-'12_MODELO'!X95-'12_MODELO'!Y95-'12_MODELO'!Z95-'12_MODELO'!AA95</f>
        <v>4318424.731279359</v>
      </c>
      <c r="BM95" s="6">
        <f>'12_MODELO'!AG95-'12_MODELO'!AV95</f>
        <v>1546362.36881796</v>
      </c>
      <c r="BN95" s="6">
        <f>0</f>
        <v>0</v>
      </c>
      <c r="BO95" s="6">
        <f>'12_MODELO'!AV95+'12_MODELO'!U95+'12_MODELO'!V95</f>
        <v>6284689.193949001</v>
      </c>
      <c r="BP95" s="6">
        <f>'12_MODELO'!AC95-'12_MODELO'!AD95</f>
        <v>1979380.0</v>
      </c>
      <c r="BQ95" s="6">
        <f>MIN('12_MODELO'!AG95,'12_MODELO'!AF95*12)</f>
        <v>216000.0</v>
      </c>
      <c r="BR95" s="6">
        <f>'12_MODELO'!AG95-'12_MODELO'!BQ95</f>
        <v>2122000.0</v>
      </c>
      <c r="BS95" s="6">
        <f>'12_MODELO'!AX95-'12_MODELO'!BR95</f>
        <v>1390626.8314875998</v>
      </c>
      <c r="BT95" s="6">
        <f>'12_MODELO'!BR95</f>
        <v>2122000.0</v>
      </c>
      <c r="BU95" s="6">
        <f>IFERROR('12_MODELO'!BO95/'12_MODELO'!BS95,0)</f>
        <v>4.519321108759321</v>
      </c>
    </row>
    <row r="96" spans="1:73">
      <c r="A96" s="5">
        <v>46327</v>
      </c>
      <c r="B96" t="s">
        <v>83</v>
      </c>
      <c r="C96" s="6">
        <f>'08_PREMISSAS'!C96*'08_PREMISSAS'!D96</f>
        <v>1714949.8368</v>
      </c>
      <c r="D96" s="6">
        <f>'12_MODELO'!C96*'12_MODELO'!BE96</f>
        <v>145770.73612800002</v>
      </c>
      <c r="E96" s="6">
        <f>'12_MODELO'!C96-'12_MODELO'!D96</f>
        <v>1569179.1006719999</v>
      </c>
      <c r="F96" s="6">
        <f>'12_MODELO'!C96*'08_PREMISSAS'!E96</f>
        <v>1202179.8355967999</v>
      </c>
      <c r="G96" s="6">
        <f>'12_MODELO'!E96-'12_MODELO'!F96</f>
        <v>366999.2650752</v>
      </c>
      <c r="H96" s="6">
        <f>'08_PREMISSAS'!J96</f>
        <v>125000.0</v>
      </c>
      <c r="I96" s="6">
        <f>'12_MODELO'!C96*'08_PREMISSAS'!F96</f>
        <v>60023.244288</v>
      </c>
      <c r="J96" s="6">
        <f>'08_PREMISSAS'!L96</f>
        <v>37000.0</v>
      </c>
      <c r="K96" s="6">
        <f>'08_PREMISSAS'!M96</f>
        <v>24000.0</v>
      </c>
      <c r="L96" s="6">
        <f>'12_MODELO'!C96*'08_PREMISSAS'!G96</f>
        <v>39443.8462464</v>
      </c>
      <c r="M96" s="6">
        <f>SUM('12_MODELO'!H96:'12_MODELO'!L96)</f>
        <v>285467.0905344</v>
      </c>
      <c r="N96" s="6">
        <f>'12_MODELO'!G96-'12_MODELO'!M96</f>
        <v>81532.17454079998</v>
      </c>
      <c r="O96" s="6">
        <f>MIN('12_MODELO'!AC95*'12_MODELO'!BH96,'12_MODELO'!AC95-'12_MODELO'!AD95+'12_MODELO'!AB96)</f>
        <v>30220.0</v>
      </c>
      <c r="P96" s="6">
        <f>'12_MODELO'!N96-'12_MODELO'!O96</f>
        <v>51312.174540799984</v>
      </c>
      <c r="Q96" s="6">
        <f>'12_MODELO'!AG95*'12_MODELO'!BG96</f>
        <v>28056.0</v>
      </c>
      <c r="R96" s="6">
        <f>'12_MODELO'!P96-'12_MODELO'!Q96</f>
        <v>23256.174540799984</v>
      </c>
      <c r="S96" s="6">
        <f>MAX(0,'12_MODELO'!R96)*'12_MODELO'!BF96</f>
        <v>7907.099343871995</v>
      </c>
      <c r="T96" s="6">
        <f>'12_MODELO'!R96-'12_MODELO'!S96</f>
        <v>15349.075196927988</v>
      </c>
      <c r="U96" s="6">
        <f>'12_MODELO'!C96*'12_MODELO'!BB96/30</f>
        <v>3715724.6463999995</v>
      </c>
      <c r="V96" s="6">
        <f>'12_MODELO'!F96*'12_MODELO'!BC96/30</f>
        <v>2724940.9606860797</v>
      </c>
      <c r="W96" s="6">
        <f>'12_MODELO'!F96+'12_MODELO'!V96-'12_MODELO'!V95</f>
        <v>1603099.939482586</v>
      </c>
      <c r="X96" s="6">
        <f>'12_MODELO'!F96*'12_MODELO'!BD96/30</f>
        <v>1202179.8355967999</v>
      </c>
      <c r="Y96" s="6">
        <f>'12_MODELO'!H96*20%</f>
        <v>25000.0</v>
      </c>
      <c r="Z96" s="6">
        <f>'12_MODELO'!D96</f>
        <v>145770.73612800002</v>
      </c>
      <c r="AA96" s="6">
        <f>'12_MODELO'!S96</f>
        <v>7907.099343871995</v>
      </c>
      <c r="AB96" s="6">
        <f>'08_PREMISSAS'!V96</f>
        <v>22000.0</v>
      </c>
      <c r="AC96" s="6">
        <f>'12_MODELO'!AC95+'12_MODELO'!AB96</f>
        <v>3044000.0</v>
      </c>
      <c r="AD96" s="6">
        <f>'12_MODELO'!AD95+'12_MODELO'!O96</f>
        <v>1072840.0</v>
      </c>
      <c r="AE96" s="6">
        <f>'08_PREMISSAS'!W96</f>
        <v>0.0</v>
      </c>
      <c r="AF96" s="6">
        <f>'08_PREMISSAS'!X96</f>
        <v>18000.0</v>
      </c>
      <c r="AG96" s="6">
        <f>'12_MODELO'!AG95+'12_MODELO'!AE96-'12_MODELO'!AF96</f>
        <v>2320000.0</v>
      </c>
      <c r="AH96" s="6">
        <f>'08_PREMISSAS'!Y96</f>
        <v>0.0</v>
      </c>
      <c r="AI96" s="6">
        <f>'12_MODELO'!AI95</f>
        <v>3900000.0</v>
      </c>
      <c r="AJ96" s="6">
        <f>'12_MODELO'!AJ95+'12_MODELO'!T96-'12_MODELO'!AH96</f>
        <v>866791.437658329</v>
      </c>
      <c r="AK96" s="6">
        <f>'12_MODELO'!U95+'12_MODELO'!C96-'12_MODELO'!U96</f>
        <v>1168255.8963666675</v>
      </c>
      <c r="AL96" s="6">
        <f>'12_MODELO'!X95+'12_MODELO'!W96-'12_MODELO'!X96</f>
        <v>1426223.423062386</v>
      </c>
      <c r="AM96" s="6">
        <f>'12_MODELO'!M96+'12_MODELO'!Y95-'12_MODELO'!Y96</f>
        <v>285467.0905344</v>
      </c>
      <c r="AN96" s="6">
        <f>'12_MODELO'!Z95+'12_MODELO'!D96-'12_MODELO'!Z96</f>
        <v>124323.51231100003</v>
      </c>
      <c r="AO96" s="6">
        <f>'12_MODELO'!AA95+'12_MODELO'!S96-'12_MODELO'!AA96</f>
        <v>0.0</v>
      </c>
      <c r="AP96" s="6">
        <f>'12_MODELO'!AK96-'12_MODELO'!AL96-'12_MODELO'!AM96-'12_MODELO'!AN96-'12_MODELO'!Q96-'12_MODELO'!AO96</f>
        <v>-695814.1295411185</v>
      </c>
      <c r="AQ96" s="6">
        <f>'12_MODELO'!T96+'12_MODELO'!O96-('12_MODELO'!U96-'12_MODELO'!U95)-('12_MODELO'!V96-'12_MODELO'!V95)+('12_MODELO'!X96-'12_MODELO'!X95)+('12_MODELO'!Y96-'12_MODELO'!Y95)+('12_MODELO'!Z96-'12_MODELO'!Z95)+('12_MODELO'!AA96-'12_MODELO'!AA95)</f>
        <v>-695814.129541119</v>
      </c>
      <c r="AR96" s="6">
        <f>-'12_MODELO'!AB96</f>
        <v>-22000.0</v>
      </c>
      <c r="AS96" s="6">
        <f>'12_MODELO'!AE96-'12_MODELO'!AF96-'12_MODELO'!AH96</f>
        <v>-18000.0</v>
      </c>
      <c r="AT96" s="6">
        <f>'12_MODELO'!AQ96+'12_MODELO'!AR96+'12_MODELO'!AS96</f>
        <v>-735814.129541119</v>
      </c>
      <c r="AU96" s="6">
        <f>'12_MODELO'!AV95</f>
        <v>791637.6311820402</v>
      </c>
      <c r="AV96" s="6">
        <f>'12_MODELO'!AU96+'12_MODELO'!AT96</f>
        <v>55823.501640921226</v>
      </c>
      <c r="AW96" s="6">
        <f>'12_MODELO'!AV96+'12_MODELO'!U96+'12_MODELO'!V96+'12_MODELO'!AC96-'12_MODELO'!AD96</f>
        <v>8467649.108727</v>
      </c>
      <c r="AX96" s="6">
        <f>'12_MODELO'!X96+'12_MODELO'!Y96+'12_MODELO'!Z96+'12_MODELO'!AA96+'12_MODELO'!AG96</f>
        <v>3700857.671068672</v>
      </c>
      <c r="AY96" s="6">
        <f>'12_MODELO'!AI96+'12_MODELO'!AJ96</f>
        <v>4766791.437658329</v>
      </c>
      <c r="AZ96" s="6">
        <f>'12_MODELO'!AW96-'12_MODELO'!AX96-'12_MODELO'!AY96</f>
        <v>0.0</v>
      </c>
      <c r="BA96" s="6">
        <f>'12_MODELO'!AP96-'12_MODELO'!AQ96</f>
        <v>4.656612873077393e-10</v>
      </c>
      <c r="BB96" s="6">
        <f>'08_PREMISSAS'!O96</f>
        <v>65.0</v>
      </c>
      <c r="BC96" s="6">
        <f>'08_PREMISSAS'!P96</f>
        <v>68.0</v>
      </c>
      <c r="BD96" s="6">
        <f>'08_PREMISSAS'!Q96</f>
        <v>30.0</v>
      </c>
      <c r="BE96" s="9">
        <f>'08_PREMISSAS'!R96</f>
        <v>0.085</v>
      </c>
      <c r="BF96" s="9">
        <f>'08_PREMISSAS'!S96</f>
        <v>0.34</v>
      </c>
      <c r="BG96" s="9">
        <f>'08_PREMISSAS'!T96</f>
        <v>0.012</v>
      </c>
      <c r="BH96" s="9">
        <f>'08_PREMISSAS'!U96</f>
        <v>0.01</v>
      </c>
      <c r="BI96" s="9">
        <f>IFERROR('12_MODELO'!N96/'12_MODELO'!E96,0)</f>
        <v>0.05195848868104596</v>
      </c>
      <c r="BJ96" s="9">
        <f>IFERROR('12_MODELO'!T96/'12_MODELO'!E96,0)</f>
        <v>0.009781595479034073</v>
      </c>
      <c r="BK96" s="6">
        <f>'12_MODELO'!AQ96+'12_MODELO'!AR96</f>
        <v>-717814.129541119</v>
      </c>
      <c r="BL96" s="6">
        <f>'12_MODELO'!U96+'12_MODELO'!V96-'12_MODELO'!X96-'12_MODELO'!Y96-'12_MODELO'!Z96-'12_MODELO'!AA96</f>
        <v>5059807.936017408</v>
      </c>
      <c r="BM96" s="6">
        <f>'12_MODELO'!AG96-'12_MODELO'!AV96</f>
        <v>2264176.4983590785</v>
      </c>
      <c r="BN96" s="6">
        <f>0</f>
        <v>0</v>
      </c>
      <c r="BO96" s="6">
        <f>'12_MODELO'!AV96+'12_MODELO'!U96+'12_MODELO'!V96</f>
        <v>6496489.108727001</v>
      </c>
      <c r="BP96" s="6">
        <f>'12_MODELO'!AC96-'12_MODELO'!AD96</f>
        <v>1971160.0</v>
      </c>
      <c r="BQ96" s="6">
        <f>MIN('12_MODELO'!AG96,'12_MODELO'!AF96*12)</f>
        <v>216000.0</v>
      </c>
      <c r="BR96" s="6">
        <f>'12_MODELO'!AG96-'12_MODELO'!BQ96</f>
        <v>2104000.0</v>
      </c>
      <c r="BS96" s="6">
        <f>'12_MODELO'!AX96-'12_MODELO'!BR96</f>
        <v>1596857.671068672</v>
      </c>
      <c r="BT96" s="6">
        <f>'12_MODELO'!BR96</f>
        <v>2104000.0</v>
      </c>
      <c r="BU96" s="6">
        <f>IFERROR('12_MODELO'!BO96/'12_MODELO'!BS96,0)</f>
        <v>4.06829564489572</v>
      </c>
    </row>
    <row r="97" spans="1:73">
      <c r="A97" s="5">
        <v>46357</v>
      </c>
      <c r="B97" t="s">
        <v>83</v>
      </c>
      <c r="C97" s="6">
        <f>'08_PREMISSAS'!C97*'08_PREMISSAS'!D97</f>
        <v>1593416.6352</v>
      </c>
      <c r="D97" s="6">
        <f>'12_MODELO'!C97*'12_MODELO'!BE97</f>
        <v>135440.413992</v>
      </c>
      <c r="E97" s="6">
        <f>'12_MODELO'!C97-'12_MODELO'!D97</f>
        <v>1457976.2212079999</v>
      </c>
      <c r="F97" s="6">
        <f>'12_MODELO'!C97*'08_PREMISSAS'!E97</f>
        <v>1116985.0612751998</v>
      </c>
      <c r="G97" s="6">
        <f>'12_MODELO'!E97-'12_MODELO'!F97</f>
        <v>340991.1599328001</v>
      </c>
      <c r="H97" s="6">
        <f>'08_PREMISSAS'!J97</f>
        <v>125000.0</v>
      </c>
      <c r="I97" s="6">
        <f>'12_MODELO'!C97*'08_PREMISSAS'!F97</f>
        <v>55769.582232</v>
      </c>
      <c r="J97" s="6">
        <f>'08_PREMISSAS'!L97</f>
        <v>37000.0</v>
      </c>
      <c r="K97" s="6">
        <f>'08_PREMISSAS'!M97</f>
        <v>24000.0</v>
      </c>
      <c r="L97" s="6">
        <f>'12_MODELO'!C97*'08_PREMISSAS'!G97</f>
        <v>36648.582609599995</v>
      </c>
      <c r="M97" s="6">
        <f>SUM('12_MODELO'!H97:'12_MODELO'!L97)</f>
        <v>278418.1648416</v>
      </c>
      <c r="N97" s="6">
        <f>'12_MODELO'!G97-'12_MODELO'!M97</f>
        <v>62572.99509120011</v>
      </c>
      <c r="O97" s="6">
        <f>MIN('12_MODELO'!AC96*'12_MODELO'!BH97,'12_MODELO'!AC96-'12_MODELO'!AD96+'12_MODELO'!AB97)</f>
        <v>30440.0</v>
      </c>
      <c r="P97" s="6">
        <f>'12_MODELO'!N97-'12_MODELO'!O97</f>
        <v>32132.995091200108</v>
      </c>
      <c r="Q97" s="6">
        <f>'12_MODELO'!AG96*'12_MODELO'!BG97</f>
        <v>27840.0</v>
      </c>
      <c r="R97" s="6">
        <f>'12_MODELO'!P97-'12_MODELO'!Q97</f>
        <v>4292.995091200108</v>
      </c>
      <c r="S97" s="6">
        <f>MAX(0,'12_MODELO'!R97)*'12_MODELO'!BF97</f>
        <v>1459.6183310080366</v>
      </c>
      <c r="T97" s="6">
        <f>'12_MODELO'!R97-'12_MODELO'!S97</f>
        <v>2833.376760192071</v>
      </c>
      <c r="U97" s="6">
        <f>'12_MODELO'!C97*'12_MODELO'!BB97/30</f>
        <v>3452402.7095999997</v>
      </c>
      <c r="V97" s="6">
        <f>'12_MODELO'!F97*'12_MODELO'!BC97/30</f>
        <v>2531832.805557119</v>
      </c>
      <c r="W97" s="6">
        <f>'12_MODELO'!F97+'12_MODELO'!V97-'12_MODELO'!V96</f>
        <v>923876.906146239</v>
      </c>
      <c r="X97" s="6">
        <f>'12_MODELO'!F97*'12_MODELO'!BD97/30</f>
        <v>1116985.0612751998</v>
      </c>
      <c r="Y97" s="6">
        <f>'12_MODELO'!H97*20%</f>
        <v>25000.0</v>
      </c>
      <c r="Z97" s="6">
        <f>'12_MODELO'!D97</f>
        <v>135440.413992</v>
      </c>
      <c r="AA97" s="6">
        <f>'12_MODELO'!S97</f>
        <v>1459.6183310080366</v>
      </c>
      <c r="AB97" s="6">
        <f>'08_PREMISSAS'!V97</f>
        <v>120000.0</v>
      </c>
      <c r="AC97" s="6">
        <f>'12_MODELO'!AC96+'12_MODELO'!AB97</f>
        <v>3164000.0</v>
      </c>
      <c r="AD97" s="6">
        <f>'12_MODELO'!AD96+'12_MODELO'!O97</f>
        <v>1103280.0</v>
      </c>
      <c r="AE97" s="6">
        <f>'08_PREMISSAS'!W97</f>
        <v>0.0</v>
      </c>
      <c r="AF97" s="6">
        <f>'08_PREMISSAS'!X97</f>
        <v>18000.0</v>
      </c>
      <c r="AG97" s="6">
        <f>'12_MODELO'!AG96+'12_MODELO'!AE97-'12_MODELO'!AF97</f>
        <v>2302000.0</v>
      </c>
      <c r="AH97" s="6">
        <f>'08_PREMISSAS'!Y97</f>
        <v>0.0</v>
      </c>
      <c r="AI97" s="6">
        <f>'12_MODELO'!AI96</f>
        <v>3900000.0</v>
      </c>
      <c r="AJ97" s="6">
        <f>'12_MODELO'!AJ96+'12_MODELO'!T97-'12_MODELO'!AH97</f>
        <v>869624.8144185211</v>
      </c>
      <c r="AK97" s="6">
        <f>'12_MODELO'!U96+'12_MODELO'!C97-'12_MODELO'!U97</f>
        <v>1856738.5719999997</v>
      </c>
      <c r="AL97" s="6">
        <f>'12_MODELO'!X96+'12_MODELO'!W97-'12_MODELO'!X97</f>
        <v>1009071.6804678391</v>
      </c>
      <c r="AM97" s="6">
        <f>'12_MODELO'!M97+'12_MODELO'!Y96-'12_MODELO'!Y97</f>
        <v>278418.1648416</v>
      </c>
      <c r="AN97" s="6">
        <f>'12_MODELO'!Z96+'12_MODELO'!D97-'12_MODELO'!Z97</f>
        <v>145770.73612800002</v>
      </c>
      <c r="AO97" s="6">
        <f>'12_MODELO'!AA96+'12_MODELO'!S97-'12_MODELO'!AA97</f>
        <v>7907.099343871995</v>
      </c>
      <c r="AP97" s="6">
        <f>'12_MODELO'!AK97-'12_MODELO'!AL97-'12_MODELO'!AM97-'12_MODELO'!AN97-'12_MODELO'!Q97-'12_MODELO'!AO97</f>
        <v>387730.8912186886</v>
      </c>
      <c r="AQ97" s="6">
        <f>'12_MODELO'!T97+'12_MODELO'!O97-('12_MODELO'!U97-'12_MODELO'!U96)-('12_MODELO'!V97-'12_MODELO'!V96)+('12_MODELO'!X97-'12_MODELO'!X96)+('12_MODELO'!Y97-'12_MODELO'!Y96)+('12_MODELO'!Z97-'12_MODELO'!Z96)+('12_MODELO'!AA97-'12_MODELO'!AA96)</f>
        <v>387730.89121868834</v>
      </c>
      <c r="AR97" s="6">
        <f>-'12_MODELO'!AB97</f>
        <v>-120000.0</v>
      </c>
      <c r="AS97" s="6">
        <f>'12_MODELO'!AE97-'12_MODELO'!AF97-'12_MODELO'!AH97</f>
        <v>-18000.0</v>
      </c>
      <c r="AT97" s="6">
        <f>'12_MODELO'!AQ97+'12_MODELO'!AR97+'12_MODELO'!AS97</f>
        <v>249730.89121868834</v>
      </c>
      <c r="AU97" s="6">
        <f>'12_MODELO'!AV96</f>
        <v>55823.501640921226</v>
      </c>
      <c r="AV97" s="6">
        <f>'12_MODELO'!AU97+'12_MODELO'!AT97</f>
        <v>305554.39285960956</v>
      </c>
      <c r="AW97" s="6">
        <f>'12_MODELO'!AV97+'12_MODELO'!U97+'12_MODELO'!V97+'12_MODELO'!AC97-'12_MODELO'!AD97</f>
        <v>8350509.908016728</v>
      </c>
      <c r="AX97" s="6">
        <f>'12_MODELO'!X97+'12_MODELO'!Y97+'12_MODELO'!Z97+'12_MODELO'!AA97+'12_MODELO'!AG97</f>
        <v>3580885.093598208</v>
      </c>
      <c r="AY97" s="6">
        <f>'12_MODELO'!AI97+'12_MODELO'!AJ97</f>
        <v>4769624.814418521</v>
      </c>
      <c r="AZ97" s="6">
        <f>'12_MODELO'!AW97-'12_MODELO'!AX97-'12_MODELO'!AY97</f>
        <v>0.0</v>
      </c>
      <c r="BA97" s="6">
        <f>'12_MODELO'!AP97-'12_MODELO'!AQ97</f>
        <v>2.3283064365386963e-10</v>
      </c>
      <c r="BB97" s="6">
        <f>'08_PREMISSAS'!O97</f>
        <v>65.0</v>
      </c>
      <c r="BC97" s="6">
        <f>'08_PREMISSAS'!P97</f>
        <v>68.0</v>
      </c>
      <c r="BD97" s="6">
        <f>'08_PREMISSAS'!Q97</f>
        <v>30.0</v>
      </c>
      <c r="BE97" s="9">
        <f>'08_PREMISSAS'!R97</f>
        <v>0.085</v>
      </c>
      <c r="BF97" s="9">
        <f>'08_PREMISSAS'!S97</f>
        <v>0.34</v>
      </c>
      <c r="BG97" s="9">
        <f>'08_PREMISSAS'!T97</f>
        <v>0.012</v>
      </c>
      <c r="BH97" s="9">
        <f>'08_PREMISSAS'!U97</f>
        <v>0.01</v>
      </c>
      <c r="BI97" s="9">
        <f>IFERROR('12_MODELO'!N97/'12_MODELO'!E97,0)</f>
        <v>0.04291770618820897</v>
      </c>
      <c r="BJ97" s="9">
        <f>IFERROR('12_MODELO'!T97/'12_MODELO'!E97,0)</f>
        <v>0.0019433628059067306</v>
      </c>
      <c r="BK97" s="6">
        <f>'12_MODELO'!AQ97+'12_MODELO'!AR97</f>
        <v>267730.89121868834</v>
      </c>
      <c r="BL97" s="6">
        <f>'12_MODELO'!U97+'12_MODELO'!V97-'12_MODELO'!X97-'12_MODELO'!Y97-'12_MODELO'!Z97-'12_MODELO'!AA97</f>
        <v>4705350.421558911</v>
      </c>
      <c r="BM97" s="6">
        <f>'12_MODELO'!AG97-'12_MODELO'!AV97</f>
        <v>1996445.6071403904</v>
      </c>
      <c r="BN97" s="6">
        <f>0</f>
        <v>0</v>
      </c>
      <c r="BO97" s="6">
        <f>'12_MODELO'!AV97+'12_MODELO'!U97+'12_MODELO'!V97</f>
        <v>6289789.908016728</v>
      </c>
      <c r="BP97" s="6">
        <f>'12_MODELO'!AC97-'12_MODELO'!AD97</f>
        <v>2060720.0</v>
      </c>
      <c r="BQ97" s="6">
        <f>MIN('12_MODELO'!AG97,'12_MODELO'!AF97*12)</f>
        <v>216000.0</v>
      </c>
      <c r="BR97" s="6">
        <f>'12_MODELO'!AG97-'12_MODELO'!BQ97</f>
        <v>2086000.0</v>
      </c>
      <c r="BS97" s="6">
        <f>'12_MODELO'!AX97-'12_MODELO'!BR97</f>
        <v>1494885.093598208</v>
      </c>
      <c r="BT97" s="6">
        <f>'12_MODELO'!BR97</f>
        <v>2086000.0</v>
      </c>
      <c r="BU97" s="6">
        <f>IFERROR('12_MODELO'!BO97/'12_MODELO'!BS97,0)</f>
        <v>4.207540723332201</v>
      </c>
    </row>
  </sheetData>
  <autoFilter ref="A1:BU9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A899"/>
  </sheetPr>
  <dimension ref="A1:J144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0" width="18.7109375" customWidth="1"/>
  </cols>
  <sheetData>
    <row r="1" spans="1:10" ht="34" customHeight="1">
      <c r="A1" s="4" t="s">
        <v>138</v>
      </c>
      <c r="B1" s="4" t="s">
        <v>27</v>
      </c>
      <c r="C1" s="4" t="s">
        <v>139</v>
      </c>
      <c r="D1" s="4" t="s">
        <v>49</v>
      </c>
      <c r="E1" s="4" t="s">
        <v>140</v>
      </c>
      <c r="F1" s="4" t="s">
        <v>48</v>
      </c>
      <c r="G1" s="4" t="s">
        <v>141</v>
      </c>
      <c r="H1" s="4" t="s">
        <v>142</v>
      </c>
      <c r="I1" s="4" t="s">
        <v>143</v>
      </c>
      <c r="J1" s="4" t="s">
        <v>144</v>
      </c>
    </row>
    <row r="2" spans="1:10">
      <c r="A2" t="s">
        <v>145</v>
      </c>
      <c r="B2" s="5">
        <v>45292</v>
      </c>
      <c r="C2" t="s">
        <v>146</v>
      </c>
      <c r="D2" t="s">
        <v>86</v>
      </c>
      <c r="E2" t="s">
        <v>120</v>
      </c>
      <c r="F2" t="s">
        <v>52</v>
      </c>
      <c r="G2" t="s">
        <v>147</v>
      </c>
      <c r="H2" s="6">
        <v>930104.38</v>
      </c>
      <c r="I2" s="6">
        <v>0</v>
      </c>
      <c r="J2" s="6">
        <v>930104.38</v>
      </c>
    </row>
    <row r="3" spans="1:10">
      <c r="A3" t="s">
        <v>145</v>
      </c>
      <c r="B3" s="5">
        <v>45292</v>
      </c>
      <c r="C3" t="s">
        <v>148</v>
      </c>
      <c r="D3" t="s">
        <v>149</v>
      </c>
      <c r="E3" t="s">
        <v>150</v>
      </c>
      <c r="F3" t="s">
        <v>52</v>
      </c>
      <c r="G3" t="s">
        <v>147</v>
      </c>
      <c r="H3" s="6">
        <v>0</v>
      </c>
      <c r="I3" s="6">
        <v>930104.38</v>
      </c>
      <c r="J3" s="6">
        <v>-930104.38</v>
      </c>
    </row>
    <row r="4" spans="1:10">
      <c r="A4" t="s">
        <v>151</v>
      </c>
      <c r="B4" s="5">
        <v>45292</v>
      </c>
      <c r="C4" t="s">
        <v>152</v>
      </c>
      <c r="D4" t="s">
        <v>153</v>
      </c>
      <c r="E4" t="s">
        <v>150</v>
      </c>
      <c r="F4" t="s">
        <v>154</v>
      </c>
      <c r="G4" t="s">
        <v>155</v>
      </c>
      <c r="H4" s="6">
        <v>79058.8723</v>
      </c>
      <c r="I4" s="6">
        <v>0</v>
      </c>
      <c r="J4" s="6">
        <v>79058.8723</v>
      </c>
    </row>
    <row r="5" spans="1:10">
      <c r="A5" t="s">
        <v>151</v>
      </c>
      <c r="B5" s="5">
        <v>45292</v>
      </c>
      <c r="C5" t="s">
        <v>156</v>
      </c>
      <c r="D5" t="s">
        <v>157</v>
      </c>
      <c r="E5" t="s">
        <v>121</v>
      </c>
      <c r="F5" t="s">
        <v>154</v>
      </c>
      <c r="G5" t="s">
        <v>155</v>
      </c>
      <c r="H5" s="6">
        <v>0</v>
      </c>
      <c r="I5" s="6">
        <v>79058.8723</v>
      </c>
      <c r="J5" s="6">
        <v>-79058.8723</v>
      </c>
    </row>
    <row r="6" spans="1:10">
      <c r="A6" t="s">
        <v>158</v>
      </c>
      <c r="B6" s="5">
        <v>45292</v>
      </c>
      <c r="C6" t="s">
        <v>159</v>
      </c>
      <c r="D6" t="s">
        <v>160</v>
      </c>
      <c r="E6" t="s">
        <v>120</v>
      </c>
      <c r="F6" t="s">
        <v>58</v>
      </c>
      <c r="G6" t="s">
        <v>161</v>
      </c>
      <c r="H6" s="6">
        <v>858810.6666666665</v>
      </c>
      <c r="I6" s="6">
        <v>0</v>
      </c>
      <c r="J6" s="6">
        <v>858810.6666666665</v>
      </c>
    </row>
    <row r="7" spans="1:10">
      <c r="A7" t="s">
        <v>158</v>
      </c>
      <c r="B7" s="5">
        <v>45292</v>
      </c>
      <c r="C7" t="s">
        <v>162</v>
      </c>
      <c r="D7" t="s">
        <v>88</v>
      </c>
      <c r="E7" t="s">
        <v>121</v>
      </c>
      <c r="F7" t="s">
        <v>58</v>
      </c>
      <c r="G7" t="s">
        <v>161</v>
      </c>
      <c r="H7" s="6">
        <v>0</v>
      </c>
      <c r="I7" s="6">
        <v>858810.6666666665</v>
      </c>
      <c r="J7" s="6">
        <v>-858810.6666666665</v>
      </c>
    </row>
    <row r="8" spans="1:10">
      <c r="A8" t="s">
        <v>163</v>
      </c>
      <c r="B8" s="5">
        <v>45292</v>
      </c>
      <c r="C8" t="s">
        <v>164</v>
      </c>
      <c r="D8" t="s">
        <v>36</v>
      </c>
      <c r="E8" t="s">
        <v>150</v>
      </c>
      <c r="F8" t="s">
        <v>58</v>
      </c>
      <c r="G8" t="s">
        <v>165</v>
      </c>
      <c r="H8" s="6">
        <v>615320</v>
      </c>
      <c r="I8" s="6">
        <v>0</v>
      </c>
      <c r="J8" s="6">
        <v>615320</v>
      </c>
    </row>
    <row r="9" spans="1:10">
      <c r="A9" t="s">
        <v>163</v>
      </c>
      <c r="B9" s="5">
        <v>45292</v>
      </c>
      <c r="C9" t="s">
        <v>159</v>
      </c>
      <c r="D9" t="s">
        <v>160</v>
      </c>
      <c r="E9" t="s">
        <v>120</v>
      </c>
      <c r="F9" t="s">
        <v>58</v>
      </c>
      <c r="G9" t="s">
        <v>165</v>
      </c>
      <c r="H9" s="6">
        <v>0</v>
      </c>
      <c r="I9" s="6">
        <v>615320</v>
      </c>
      <c r="J9" s="6">
        <v>-615320</v>
      </c>
    </row>
    <row r="10" spans="1:10">
      <c r="A10" t="s">
        <v>166</v>
      </c>
      <c r="B10" s="5">
        <v>45292</v>
      </c>
      <c r="C10" t="s">
        <v>167</v>
      </c>
      <c r="D10" t="s">
        <v>51</v>
      </c>
      <c r="E10" t="s">
        <v>150</v>
      </c>
      <c r="F10" t="s">
        <v>51</v>
      </c>
      <c r="G10" t="s">
        <v>168</v>
      </c>
      <c r="H10" s="6">
        <v>95000</v>
      </c>
      <c r="I10" s="6">
        <v>0</v>
      </c>
      <c r="J10" s="6">
        <v>95000</v>
      </c>
    </row>
    <row r="11" spans="1:10">
      <c r="A11" t="s">
        <v>166</v>
      </c>
      <c r="B11" s="5">
        <v>45292</v>
      </c>
      <c r="C11" t="s">
        <v>169</v>
      </c>
      <c r="D11" t="s">
        <v>170</v>
      </c>
      <c r="E11" t="s">
        <v>121</v>
      </c>
      <c r="F11" t="s">
        <v>51</v>
      </c>
      <c r="G11" t="s">
        <v>168</v>
      </c>
      <c r="H11" s="6">
        <v>0</v>
      </c>
      <c r="I11" s="6">
        <v>95000</v>
      </c>
      <c r="J11" s="6">
        <v>-95000</v>
      </c>
    </row>
    <row r="12" spans="1:10">
      <c r="A12" t="s">
        <v>171</v>
      </c>
      <c r="B12" s="5">
        <v>45292</v>
      </c>
      <c r="C12" t="s">
        <v>169</v>
      </c>
      <c r="D12" t="s">
        <v>170</v>
      </c>
      <c r="E12" t="s">
        <v>121</v>
      </c>
      <c r="F12" t="s">
        <v>51</v>
      </c>
      <c r="G12" t="s">
        <v>172</v>
      </c>
      <c r="H12" s="6">
        <v>116000</v>
      </c>
      <c r="I12" s="6">
        <v>0</v>
      </c>
      <c r="J12" s="6">
        <v>116000</v>
      </c>
    </row>
    <row r="13" spans="1:10">
      <c r="A13" t="s">
        <v>171</v>
      </c>
      <c r="B13" s="5">
        <v>45292</v>
      </c>
      <c r="C13" t="s">
        <v>173</v>
      </c>
      <c r="D13" t="s">
        <v>174</v>
      </c>
      <c r="E13" t="s">
        <v>120</v>
      </c>
      <c r="F13" t="s">
        <v>51</v>
      </c>
      <c r="G13" t="s">
        <v>172</v>
      </c>
      <c r="H13" s="6">
        <v>0</v>
      </c>
      <c r="I13" s="6">
        <v>116000</v>
      </c>
      <c r="J13" s="6">
        <v>-116000</v>
      </c>
    </row>
    <row r="14" spans="1:10">
      <c r="A14" t="s">
        <v>175</v>
      </c>
      <c r="B14" s="5">
        <v>45292</v>
      </c>
      <c r="C14" t="s">
        <v>176</v>
      </c>
      <c r="D14" t="s">
        <v>52</v>
      </c>
      <c r="E14" t="s">
        <v>150</v>
      </c>
      <c r="F14" t="s">
        <v>52</v>
      </c>
      <c r="G14" t="s">
        <v>177</v>
      </c>
      <c r="H14" s="6">
        <v>33483.76</v>
      </c>
      <c r="I14" s="6">
        <v>0</v>
      </c>
      <c r="J14" s="6">
        <v>33483.76</v>
      </c>
    </row>
    <row r="15" spans="1:10">
      <c r="A15" t="s">
        <v>175</v>
      </c>
      <c r="B15" s="5">
        <v>45292</v>
      </c>
      <c r="C15" t="s">
        <v>173</v>
      </c>
      <c r="D15" t="s">
        <v>174</v>
      </c>
      <c r="E15" t="s">
        <v>120</v>
      </c>
      <c r="F15" t="s">
        <v>52</v>
      </c>
      <c r="G15" t="s">
        <v>177</v>
      </c>
      <c r="H15" s="6">
        <v>0</v>
      </c>
      <c r="I15" s="6">
        <v>33483.76</v>
      </c>
      <c r="J15" s="6">
        <v>-33483.76</v>
      </c>
    </row>
    <row r="16" spans="1:10">
      <c r="A16" t="s">
        <v>178</v>
      </c>
      <c r="B16" s="5">
        <v>45292</v>
      </c>
      <c r="C16" t="s">
        <v>179</v>
      </c>
      <c r="D16" t="s">
        <v>54</v>
      </c>
      <c r="E16" t="s">
        <v>150</v>
      </c>
      <c r="F16" t="s">
        <v>54</v>
      </c>
      <c r="G16" t="s">
        <v>177</v>
      </c>
      <c r="H16" s="6">
        <v>32000</v>
      </c>
      <c r="I16" s="6">
        <v>0</v>
      </c>
      <c r="J16" s="6">
        <v>32000</v>
      </c>
    </row>
    <row r="17" spans="1:10">
      <c r="A17" t="s">
        <v>178</v>
      </c>
      <c r="B17" s="5">
        <v>45292</v>
      </c>
      <c r="C17" t="s">
        <v>173</v>
      </c>
      <c r="D17" t="s">
        <v>174</v>
      </c>
      <c r="E17" t="s">
        <v>120</v>
      </c>
      <c r="F17" t="s">
        <v>54</v>
      </c>
      <c r="G17" t="s">
        <v>177</v>
      </c>
      <c r="H17" s="6">
        <v>0</v>
      </c>
      <c r="I17" s="6">
        <v>32000</v>
      </c>
      <c r="J17" s="6">
        <v>-32000</v>
      </c>
    </row>
    <row r="18" spans="1:10">
      <c r="A18" t="s">
        <v>180</v>
      </c>
      <c r="B18" s="5">
        <v>45292</v>
      </c>
      <c r="C18" t="s">
        <v>181</v>
      </c>
      <c r="D18" t="s">
        <v>56</v>
      </c>
      <c r="E18" t="s">
        <v>150</v>
      </c>
      <c r="F18" t="s">
        <v>56</v>
      </c>
      <c r="G18" t="s">
        <v>177</v>
      </c>
      <c r="H18" s="6">
        <v>18000</v>
      </c>
      <c r="I18" s="6">
        <v>0</v>
      </c>
      <c r="J18" s="6">
        <v>18000</v>
      </c>
    </row>
    <row r="19" spans="1:10">
      <c r="A19" t="s">
        <v>180</v>
      </c>
      <c r="B19" s="5">
        <v>45292</v>
      </c>
      <c r="C19" t="s">
        <v>173</v>
      </c>
      <c r="D19" t="s">
        <v>174</v>
      </c>
      <c r="E19" t="s">
        <v>120</v>
      </c>
      <c r="F19" t="s">
        <v>56</v>
      </c>
      <c r="G19" t="s">
        <v>177</v>
      </c>
      <c r="H19" s="6">
        <v>0</v>
      </c>
      <c r="I19" s="6">
        <v>18000</v>
      </c>
      <c r="J19" s="6">
        <v>-18000</v>
      </c>
    </row>
    <row r="20" spans="1:10">
      <c r="A20" t="s">
        <v>182</v>
      </c>
      <c r="B20" s="5">
        <v>45292</v>
      </c>
      <c r="C20" t="s">
        <v>183</v>
      </c>
      <c r="D20" t="s">
        <v>59</v>
      </c>
      <c r="E20" t="s">
        <v>150</v>
      </c>
      <c r="F20" t="s">
        <v>66</v>
      </c>
      <c r="G20" t="s">
        <v>177</v>
      </c>
      <c r="H20" s="6">
        <v>20462.3</v>
      </c>
      <c r="I20" s="6">
        <v>0</v>
      </c>
      <c r="J20" s="6">
        <v>20462.3</v>
      </c>
    </row>
    <row r="21" spans="1:10">
      <c r="A21" t="s">
        <v>182</v>
      </c>
      <c r="B21" s="5">
        <v>45292</v>
      </c>
      <c r="C21" t="s">
        <v>173</v>
      </c>
      <c r="D21" t="s">
        <v>174</v>
      </c>
      <c r="E21" t="s">
        <v>120</v>
      </c>
      <c r="F21" t="s">
        <v>66</v>
      </c>
      <c r="G21" t="s">
        <v>177</v>
      </c>
      <c r="H21" s="6">
        <v>0</v>
      </c>
      <c r="I21" s="6">
        <v>20462.3</v>
      </c>
      <c r="J21" s="6">
        <v>-20462.3</v>
      </c>
    </row>
    <row r="22" spans="1:10">
      <c r="A22" t="s">
        <v>184</v>
      </c>
      <c r="B22" s="5">
        <v>45292</v>
      </c>
      <c r="C22" t="s">
        <v>185</v>
      </c>
      <c r="D22" t="s">
        <v>186</v>
      </c>
      <c r="E22" t="s">
        <v>150</v>
      </c>
      <c r="F22" t="s">
        <v>154</v>
      </c>
      <c r="G22" t="s">
        <v>187</v>
      </c>
      <c r="H22" s="6">
        <v>15000</v>
      </c>
      <c r="I22" s="6">
        <v>0</v>
      </c>
      <c r="J22" s="6">
        <v>15000</v>
      </c>
    </row>
    <row r="23" spans="1:10">
      <c r="A23" t="s">
        <v>184</v>
      </c>
      <c r="B23" s="5">
        <v>45292</v>
      </c>
      <c r="C23" t="s">
        <v>188</v>
      </c>
      <c r="D23" t="s">
        <v>189</v>
      </c>
      <c r="E23" t="s">
        <v>120</v>
      </c>
      <c r="F23" t="s">
        <v>154</v>
      </c>
      <c r="G23" t="s">
        <v>187</v>
      </c>
      <c r="H23" s="6">
        <v>0</v>
      </c>
      <c r="I23" s="6">
        <v>15000</v>
      </c>
      <c r="J23" s="6">
        <v>-15000</v>
      </c>
    </row>
    <row r="24" spans="1:10">
      <c r="A24" t="s">
        <v>190</v>
      </c>
      <c r="B24" s="5">
        <v>45292</v>
      </c>
      <c r="C24" t="s">
        <v>191</v>
      </c>
      <c r="D24" t="s">
        <v>104</v>
      </c>
      <c r="E24" t="s">
        <v>150</v>
      </c>
      <c r="F24" t="s">
        <v>154</v>
      </c>
      <c r="G24" t="s">
        <v>192</v>
      </c>
      <c r="H24" s="6">
        <v>9600</v>
      </c>
      <c r="I24" s="6">
        <v>0</v>
      </c>
      <c r="J24" s="6">
        <v>9600</v>
      </c>
    </row>
    <row r="25" spans="1:10">
      <c r="A25" t="s">
        <v>190</v>
      </c>
      <c r="B25" s="5">
        <v>45292</v>
      </c>
      <c r="C25" t="s">
        <v>173</v>
      </c>
      <c r="D25" t="s">
        <v>174</v>
      </c>
      <c r="E25" t="s">
        <v>120</v>
      </c>
      <c r="F25" t="s">
        <v>154</v>
      </c>
      <c r="G25" t="s">
        <v>192</v>
      </c>
      <c r="H25" s="6">
        <v>0</v>
      </c>
      <c r="I25" s="6">
        <v>9600</v>
      </c>
      <c r="J25" s="6">
        <v>-9600</v>
      </c>
    </row>
    <row r="26" spans="1:10">
      <c r="A26" t="s">
        <v>193</v>
      </c>
      <c r="B26" s="5">
        <v>45292</v>
      </c>
      <c r="C26" t="s">
        <v>194</v>
      </c>
      <c r="D26" t="s">
        <v>195</v>
      </c>
      <c r="E26" t="s">
        <v>150</v>
      </c>
      <c r="F26" t="s">
        <v>154</v>
      </c>
      <c r="G26" t="s">
        <v>196</v>
      </c>
      <c r="H26" s="6">
        <v>4141.012217999987</v>
      </c>
      <c r="I26" s="6">
        <v>0</v>
      </c>
      <c r="J26" s="6">
        <v>4141.012217999987</v>
      </c>
    </row>
    <row r="27" spans="1:10">
      <c r="A27" t="s">
        <v>193</v>
      </c>
      <c r="B27" s="5">
        <v>45292</v>
      </c>
      <c r="C27" t="s">
        <v>197</v>
      </c>
      <c r="D27" t="s">
        <v>198</v>
      </c>
      <c r="E27" t="s">
        <v>121</v>
      </c>
      <c r="F27" t="s">
        <v>154</v>
      </c>
      <c r="G27" t="s">
        <v>196</v>
      </c>
      <c r="H27" s="6">
        <v>0</v>
      </c>
      <c r="I27" s="6">
        <v>4141.012217999987</v>
      </c>
      <c r="J27" s="6">
        <v>-4141.012217999987</v>
      </c>
    </row>
    <row r="28" spans="1:10">
      <c r="A28" t="s">
        <v>199</v>
      </c>
      <c r="B28" s="5">
        <v>45292</v>
      </c>
      <c r="C28" t="s">
        <v>173</v>
      </c>
      <c r="D28" t="s">
        <v>174</v>
      </c>
      <c r="E28" t="s">
        <v>120</v>
      </c>
      <c r="F28" t="s">
        <v>154</v>
      </c>
      <c r="G28" t="s">
        <v>200</v>
      </c>
      <c r="H28" s="6">
        <v>589965.2066666665</v>
      </c>
      <c r="I28" s="6">
        <v>0</v>
      </c>
      <c r="J28" s="6">
        <v>589965.2066666665</v>
      </c>
    </row>
    <row r="29" spans="1:10">
      <c r="A29" t="s">
        <v>199</v>
      </c>
      <c r="B29" s="5">
        <v>45292</v>
      </c>
      <c r="C29" t="s">
        <v>146</v>
      </c>
      <c r="D29" t="s">
        <v>86</v>
      </c>
      <c r="E29" t="s">
        <v>120</v>
      </c>
      <c r="F29" t="s">
        <v>154</v>
      </c>
      <c r="G29" t="s">
        <v>200</v>
      </c>
      <c r="H29" s="6">
        <v>0</v>
      </c>
      <c r="I29" s="6">
        <v>589965.2066666665</v>
      </c>
      <c r="J29" s="6">
        <v>-589965.2066666665</v>
      </c>
    </row>
    <row r="30" spans="1:10">
      <c r="A30" t="s">
        <v>201</v>
      </c>
      <c r="B30" s="5">
        <v>45292</v>
      </c>
      <c r="C30" t="s">
        <v>162</v>
      </c>
      <c r="D30" t="s">
        <v>88</v>
      </c>
      <c r="E30" t="s">
        <v>121</v>
      </c>
      <c r="F30" t="s">
        <v>154</v>
      </c>
      <c r="G30" t="s">
        <v>202</v>
      </c>
      <c r="H30" s="6">
        <v>690937.3333333331</v>
      </c>
      <c r="I30" s="6">
        <v>0</v>
      </c>
      <c r="J30" s="6">
        <v>690937.3333333331</v>
      </c>
    </row>
    <row r="31" spans="1:10">
      <c r="A31" t="s">
        <v>201</v>
      </c>
      <c r="B31" s="5">
        <v>45292</v>
      </c>
      <c r="C31" t="s">
        <v>173</v>
      </c>
      <c r="D31" t="s">
        <v>174</v>
      </c>
      <c r="E31" t="s">
        <v>120</v>
      </c>
      <c r="F31" t="s">
        <v>154</v>
      </c>
      <c r="G31" t="s">
        <v>202</v>
      </c>
      <c r="H31" s="6">
        <v>0</v>
      </c>
      <c r="I31" s="6">
        <v>690937.3333333331</v>
      </c>
      <c r="J31" s="6">
        <v>-690937.3333333331</v>
      </c>
    </row>
    <row r="32" spans="1:10">
      <c r="A32" t="s">
        <v>203</v>
      </c>
      <c r="B32" s="5">
        <v>45292</v>
      </c>
      <c r="C32" t="s">
        <v>156</v>
      </c>
      <c r="D32" t="s">
        <v>157</v>
      </c>
      <c r="E32" t="s">
        <v>121</v>
      </c>
      <c r="F32" t="s">
        <v>154</v>
      </c>
      <c r="G32" t="s">
        <v>204</v>
      </c>
      <c r="H32" s="6">
        <v>79999.99999999999</v>
      </c>
      <c r="I32" s="6">
        <v>0</v>
      </c>
      <c r="J32" s="6">
        <v>79999.99999999999</v>
      </c>
    </row>
    <row r="33" spans="1:10">
      <c r="A33" t="s">
        <v>203</v>
      </c>
      <c r="B33" s="5">
        <v>45292</v>
      </c>
      <c r="C33" t="s">
        <v>173</v>
      </c>
      <c r="D33" t="s">
        <v>174</v>
      </c>
      <c r="E33" t="s">
        <v>120</v>
      </c>
      <c r="F33" t="s">
        <v>154</v>
      </c>
      <c r="G33" t="s">
        <v>204</v>
      </c>
      <c r="H33" s="6">
        <v>0</v>
      </c>
      <c r="I33" s="6">
        <v>79999.99999999999</v>
      </c>
      <c r="J33" s="6">
        <v>-79999.99999999999</v>
      </c>
    </row>
    <row r="34" spans="1:10">
      <c r="A34" t="s">
        <v>205</v>
      </c>
      <c r="B34" s="5">
        <v>45292</v>
      </c>
      <c r="C34" t="s">
        <v>197</v>
      </c>
      <c r="D34" t="s">
        <v>198</v>
      </c>
      <c r="E34" t="s">
        <v>121</v>
      </c>
      <c r="F34" t="s">
        <v>154</v>
      </c>
      <c r="G34" t="s">
        <v>206</v>
      </c>
      <c r="H34" s="6">
        <v>50000</v>
      </c>
      <c r="I34" s="6">
        <v>0</v>
      </c>
      <c r="J34" s="6">
        <v>50000</v>
      </c>
    </row>
    <row r="35" spans="1:10">
      <c r="A35" t="s">
        <v>205</v>
      </c>
      <c r="B35" s="5">
        <v>45292</v>
      </c>
      <c r="C35" t="s">
        <v>173</v>
      </c>
      <c r="D35" t="s">
        <v>174</v>
      </c>
      <c r="E35" t="s">
        <v>120</v>
      </c>
      <c r="F35" t="s">
        <v>154</v>
      </c>
      <c r="G35" t="s">
        <v>206</v>
      </c>
      <c r="H35" s="6">
        <v>0</v>
      </c>
      <c r="I35" s="6">
        <v>50000</v>
      </c>
      <c r="J35" s="6">
        <v>-50000</v>
      </c>
    </row>
    <row r="36" spans="1:10">
      <c r="A36" t="s">
        <v>207</v>
      </c>
      <c r="B36" s="5">
        <v>45292</v>
      </c>
      <c r="C36" t="s">
        <v>208</v>
      </c>
      <c r="D36" t="s">
        <v>209</v>
      </c>
      <c r="E36" t="s">
        <v>120</v>
      </c>
      <c r="F36" t="s">
        <v>154</v>
      </c>
      <c r="G36" t="s">
        <v>210</v>
      </c>
      <c r="H36" s="6">
        <v>18000</v>
      </c>
      <c r="I36" s="6">
        <v>0</v>
      </c>
      <c r="J36" s="6">
        <v>18000</v>
      </c>
    </row>
    <row r="37" spans="1:10">
      <c r="A37" t="s">
        <v>207</v>
      </c>
      <c r="B37" s="5">
        <v>45292</v>
      </c>
      <c r="C37" t="s">
        <v>173</v>
      </c>
      <c r="D37" t="s">
        <v>174</v>
      </c>
      <c r="E37" t="s">
        <v>120</v>
      </c>
      <c r="F37" t="s">
        <v>154</v>
      </c>
      <c r="G37" t="s">
        <v>210</v>
      </c>
      <c r="H37" s="6">
        <v>0</v>
      </c>
      <c r="I37" s="6">
        <v>18000</v>
      </c>
      <c r="J37" s="6">
        <v>-18000</v>
      </c>
    </row>
    <row r="38" spans="1:10">
      <c r="A38" t="s">
        <v>211</v>
      </c>
      <c r="B38" s="5">
        <v>45292</v>
      </c>
      <c r="C38" t="s">
        <v>212</v>
      </c>
      <c r="D38" t="s">
        <v>213</v>
      </c>
      <c r="E38" t="s">
        <v>121</v>
      </c>
      <c r="F38" t="s">
        <v>154</v>
      </c>
      <c r="G38" t="s">
        <v>214</v>
      </c>
      <c r="H38" s="6">
        <v>18000</v>
      </c>
      <c r="I38" s="6">
        <v>0</v>
      </c>
      <c r="J38" s="6">
        <v>18000</v>
      </c>
    </row>
    <row r="39" spans="1:10">
      <c r="A39" t="s">
        <v>211</v>
      </c>
      <c r="B39" s="5">
        <v>45292</v>
      </c>
      <c r="C39" t="s">
        <v>173</v>
      </c>
      <c r="D39" t="s">
        <v>174</v>
      </c>
      <c r="E39" t="s">
        <v>120</v>
      </c>
      <c r="F39" t="s">
        <v>154</v>
      </c>
      <c r="G39" t="s">
        <v>214</v>
      </c>
      <c r="H39" s="6">
        <v>0</v>
      </c>
      <c r="I39" s="6">
        <v>18000</v>
      </c>
      <c r="J39" s="6">
        <v>-18000</v>
      </c>
    </row>
    <row r="40" spans="1:10">
      <c r="A40" t="s">
        <v>215</v>
      </c>
      <c r="B40" s="5">
        <v>45292</v>
      </c>
      <c r="C40" t="s">
        <v>148</v>
      </c>
      <c r="D40" t="s">
        <v>149</v>
      </c>
      <c r="E40" t="s">
        <v>150</v>
      </c>
      <c r="F40" t="s">
        <v>154</v>
      </c>
      <c r="G40" t="s">
        <v>216</v>
      </c>
      <c r="H40" s="6">
        <v>930104.38</v>
      </c>
      <c r="I40" s="6">
        <v>0</v>
      </c>
      <c r="J40" s="6">
        <v>930104.38</v>
      </c>
    </row>
    <row r="41" spans="1:10">
      <c r="A41" t="s">
        <v>215</v>
      </c>
      <c r="B41" s="5">
        <v>45292</v>
      </c>
      <c r="C41" t="s">
        <v>217</v>
      </c>
      <c r="D41" t="s">
        <v>218</v>
      </c>
      <c r="E41" t="s">
        <v>122</v>
      </c>
      <c r="F41" t="s">
        <v>154</v>
      </c>
      <c r="G41" t="s">
        <v>216</v>
      </c>
      <c r="H41" s="6">
        <v>0</v>
      </c>
      <c r="I41" s="6">
        <v>930104.38</v>
      </c>
      <c r="J41" s="6">
        <v>-930104.38</v>
      </c>
    </row>
    <row r="42" spans="1:10">
      <c r="A42" t="s">
        <v>219</v>
      </c>
      <c r="B42" s="5">
        <v>45292</v>
      </c>
      <c r="C42" t="s">
        <v>217</v>
      </c>
      <c r="D42" t="s">
        <v>218</v>
      </c>
      <c r="E42" t="s">
        <v>122</v>
      </c>
      <c r="F42" t="s">
        <v>154</v>
      </c>
      <c r="G42" t="s">
        <v>216</v>
      </c>
      <c r="H42" s="6">
        <v>79058.8723</v>
      </c>
      <c r="I42" s="6">
        <v>0</v>
      </c>
      <c r="J42" s="6">
        <v>79058.8723</v>
      </c>
    </row>
    <row r="43" spans="1:10">
      <c r="A43" t="s">
        <v>219</v>
      </c>
      <c r="B43" s="5">
        <v>45292</v>
      </c>
      <c r="C43" t="s">
        <v>152</v>
      </c>
      <c r="D43" t="s">
        <v>153</v>
      </c>
      <c r="E43" t="s">
        <v>150</v>
      </c>
      <c r="F43" t="s">
        <v>154</v>
      </c>
      <c r="G43" t="s">
        <v>216</v>
      </c>
      <c r="H43" s="6">
        <v>0</v>
      </c>
      <c r="I43" s="6">
        <v>79058.8723</v>
      </c>
      <c r="J43" s="6">
        <v>-79058.8723</v>
      </c>
    </row>
    <row r="44" spans="1:10">
      <c r="A44" t="s">
        <v>220</v>
      </c>
      <c r="B44" s="5">
        <v>45292</v>
      </c>
      <c r="C44" t="s">
        <v>217</v>
      </c>
      <c r="D44" t="s">
        <v>218</v>
      </c>
      <c r="E44" t="s">
        <v>122</v>
      </c>
      <c r="F44" t="s">
        <v>154</v>
      </c>
      <c r="G44" t="s">
        <v>216</v>
      </c>
      <c r="H44" s="6">
        <v>615320</v>
      </c>
      <c r="I44" s="6">
        <v>0</v>
      </c>
      <c r="J44" s="6">
        <v>615320</v>
      </c>
    </row>
    <row r="45" spans="1:10">
      <c r="A45" t="s">
        <v>220</v>
      </c>
      <c r="B45" s="5">
        <v>45292</v>
      </c>
      <c r="C45" t="s">
        <v>164</v>
      </c>
      <c r="D45" t="s">
        <v>36</v>
      </c>
      <c r="E45" t="s">
        <v>150</v>
      </c>
      <c r="F45" t="s">
        <v>154</v>
      </c>
      <c r="G45" t="s">
        <v>216</v>
      </c>
      <c r="H45" s="6">
        <v>0</v>
      </c>
      <c r="I45" s="6">
        <v>615320</v>
      </c>
      <c r="J45" s="6">
        <v>-615320</v>
      </c>
    </row>
    <row r="46" spans="1:10">
      <c r="A46" t="s">
        <v>221</v>
      </c>
      <c r="B46" s="5">
        <v>45292</v>
      </c>
      <c r="C46" t="s">
        <v>217</v>
      </c>
      <c r="D46" t="s">
        <v>218</v>
      </c>
      <c r="E46" t="s">
        <v>122</v>
      </c>
      <c r="F46" t="s">
        <v>154</v>
      </c>
      <c r="G46" t="s">
        <v>216</v>
      </c>
      <c r="H46" s="6">
        <v>95000</v>
      </c>
      <c r="I46" s="6">
        <v>0</v>
      </c>
      <c r="J46" s="6">
        <v>95000</v>
      </c>
    </row>
    <row r="47" spans="1:10">
      <c r="A47" t="s">
        <v>221</v>
      </c>
      <c r="B47" s="5">
        <v>45292</v>
      </c>
      <c r="C47" t="s">
        <v>167</v>
      </c>
      <c r="D47" t="s">
        <v>51</v>
      </c>
      <c r="E47" t="s">
        <v>150</v>
      </c>
      <c r="F47" t="s">
        <v>154</v>
      </c>
      <c r="G47" t="s">
        <v>216</v>
      </c>
      <c r="H47" s="6">
        <v>0</v>
      </c>
      <c r="I47" s="6">
        <v>95000</v>
      </c>
      <c r="J47" s="6">
        <v>-95000</v>
      </c>
    </row>
    <row r="48" spans="1:10">
      <c r="A48" t="s">
        <v>222</v>
      </c>
      <c r="B48" s="5">
        <v>45292</v>
      </c>
      <c r="C48" t="s">
        <v>217</v>
      </c>
      <c r="D48" t="s">
        <v>218</v>
      </c>
      <c r="E48" t="s">
        <v>122</v>
      </c>
      <c r="F48" t="s">
        <v>154</v>
      </c>
      <c r="G48" t="s">
        <v>216</v>
      </c>
      <c r="H48" s="6">
        <v>33483.76</v>
      </c>
      <c r="I48" s="6">
        <v>0</v>
      </c>
      <c r="J48" s="6">
        <v>33483.76</v>
      </c>
    </row>
    <row r="49" spans="1:10">
      <c r="A49" t="s">
        <v>222</v>
      </c>
      <c r="B49" s="5">
        <v>45292</v>
      </c>
      <c r="C49" t="s">
        <v>176</v>
      </c>
      <c r="D49" t="s">
        <v>52</v>
      </c>
      <c r="E49" t="s">
        <v>150</v>
      </c>
      <c r="F49" t="s">
        <v>154</v>
      </c>
      <c r="G49" t="s">
        <v>216</v>
      </c>
      <c r="H49" s="6">
        <v>0</v>
      </c>
      <c r="I49" s="6">
        <v>33483.76</v>
      </c>
      <c r="J49" s="6">
        <v>-33483.76</v>
      </c>
    </row>
    <row r="50" spans="1:10">
      <c r="A50" t="s">
        <v>223</v>
      </c>
      <c r="B50" s="5">
        <v>45292</v>
      </c>
      <c r="C50" t="s">
        <v>217</v>
      </c>
      <c r="D50" t="s">
        <v>218</v>
      </c>
      <c r="E50" t="s">
        <v>122</v>
      </c>
      <c r="F50" t="s">
        <v>154</v>
      </c>
      <c r="G50" t="s">
        <v>216</v>
      </c>
      <c r="H50" s="6">
        <v>32000</v>
      </c>
      <c r="I50" s="6">
        <v>0</v>
      </c>
      <c r="J50" s="6">
        <v>32000</v>
      </c>
    </row>
    <row r="51" spans="1:10">
      <c r="A51" t="s">
        <v>223</v>
      </c>
      <c r="B51" s="5">
        <v>45292</v>
      </c>
      <c r="C51" t="s">
        <v>179</v>
      </c>
      <c r="D51" t="s">
        <v>54</v>
      </c>
      <c r="E51" t="s">
        <v>150</v>
      </c>
      <c r="F51" t="s">
        <v>154</v>
      </c>
      <c r="G51" t="s">
        <v>216</v>
      </c>
      <c r="H51" s="6">
        <v>0</v>
      </c>
      <c r="I51" s="6">
        <v>32000</v>
      </c>
      <c r="J51" s="6">
        <v>-32000</v>
      </c>
    </row>
    <row r="52" spans="1:10">
      <c r="A52" t="s">
        <v>224</v>
      </c>
      <c r="B52" s="5">
        <v>45292</v>
      </c>
      <c r="C52" t="s">
        <v>217</v>
      </c>
      <c r="D52" t="s">
        <v>218</v>
      </c>
      <c r="E52" t="s">
        <v>122</v>
      </c>
      <c r="F52" t="s">
        <v>154</v>
      </c>
      <c r="G52" t="s">
        <v>216</v>
      </c>
      <c r="H52" s="6">
        <v>18000</v>
      </c>
      <c r="I52" s="6">
        <v>0</v>
      </c>
      <c r="J52" s="6">
        <v>18000</v>
      </c>
    </row>
    <row r="53" spans="1:10">
      <c r="A53" t="s">
        <v>224</v>
      </c>
      <c r="B53" s="5">
        <v>45292</v>
      </c>
      <c r="C53" t="s">
        <v>181</v>
      </c>
      <c r="D53" t="s">
        <v>56</v>
      </c>
      <c r="E53" t="s">
        <v>150</v>
      </c>
      <c r="F53" t="s">
        <v>154</v>
      </c>
      <c r="G53" t="s">
        <v>216</v>
      </c>
      <c r="H53" s="6">
        <v>0</v>
      </c>
      <c r="I53" s="6">
        <v>18000</v>
      </c>
      <c r="J53" s="6">
        <v>-18000</v>
      </c>
    </row>
    <row r="54" spans="1:10">
      <c r="A54" t="s">
        <v>225</v>
      </c>
      <c r="B54" s="5">
        <v>45292</v>
      </c>
      <c r="C54" t="s">
        <v>217</v>
      </c>
      <c r="D54" t="s">
        <v>218</v>
      </c>
      <c r="E54" t="s">
        <v>122</v>
      </c>
      <c r="F54" t="s">
        <v>154</v>
      </c>
      <c r="G54" t="s">
        <v>216</v>
      </c>
      <c r="H54" s="6">
        <v>20462.3</v>
      </c>
      <c r="I54" s="6">
        <v>0</v>
      </c>
      <c r="J54" s="6">
        <v>20462.3</v>
      </c>
    </row>
    <row r="55" spans="1:10">
      <c r="A55" t="s">
        <v>225</v>
      </c>
      <c r="B55" s="5">
        <v>45292</v>
      </c>
      <c r="C55" t="s">
        <v>183</v>
      </c>
      <c r="D55" t="s">
        <v>59</v>
      </c>
      <c r="E55" t="s">
        <v>150</v>
      </c>
      <c r="F55" t="s">
        <v>154</v>
      </c>
      <c r="G55" t="s">
        <v>216</v>
      </c>
      <c r="H55" s="6">
        <v>0</v>
      </c>
      <c r="I55" s="6">
        <v>20462.3</v>
      </c>
      <c r="J55" s="6">
        <v>-20462.3</v>
      </c>
    </row>
    <row r="56" spans="1:10">
      <c r="A56" t="s">
        <v>226</v>
      </c>
      <c r="B56" s="5">
        <v>45292</v>
      </c>
      <c r="C56" t="s">
        <v>217</v>
      </c>
      <c r="D56" t="s">
        <v>218</v>
      </c>
      <c r="E56" t="s">
        <v>122</v>
      </c>
      <c r="F56" t="s">
        <v>154</v>
      </c>
      <c r="G56" t="s">
        <v>216</v>
      </c>
      <c r="H56" s="6">
        <v>15000</v>
      </c>
      <c r="I56" s="6">
        <v>0</v>
      </c>
      <c r="J56" s="6">
        <v>15000</v>
      </c>
    </row>
    <row r="57" spans="1:10">
      <c r="A57" t="s">
        <v>226</v>
      </c>
      <c r="B57" s="5">
        <v>45292</v>
      </c>
      <c r="C57" t="s">
        <v>185</v>
      </c>
      <c r="D57" t="s">
        <v>186</v>
      </c>
      <c r="E57" t="s">
        <v>150</v>
      </c>
      <c r="F57" t="s">
        <v>154</v>
      </c>
      <c r="G57" t="s">
        <v>216</v>
      </c>
      <c r="H57" s="6">
        <v>0</v>
      </c>
      <c r="I57" s="6">
        <v>15000</v>
      </c>
      <c r="J57" s="6">
        <v>-15000</v>
      </c>
    </row>
    <row r="58" spans="1:10">
      <c r="A58" t="s">
        <v>227</v>
      </c>
      <c r="B58" s="5">
        <v>45292</v>
      </c>
      <c r="C58" t="s">
        <v>217</v>
      </c>
      <c r="D58" t="s">
        <v>218</v>
      </c>
      <c r="E58" t="s">
        <v>122</v>
      </c>
      <c r="F58" t="s">
        <v>154</v>
      </c>
      <c r="G58" t="s">
        <v>216</v>
      </c>
      <c r="H58" s="6">
        <v>9600</v>
      </c>
      <c r="I58" s="6">
        <v>0</v>
      </c>
      <c r="J58" s="6">
        <v>9600</v>
      </c>
    </row>
    <row r="59" spans="1:10">
      <c r="A59" t="s">
        <v>227</v>
      </c>
      <c r="B59" s="5">
        <v>45292</v>
      </c>
      <c r="C59" t="s">
        <v>191</v>
      </c>
      <c r="D59" t="s">
        <v>104</v>
      </c>
      <c r="E59" t="s">
        <v>150</v>
      </c>
      <c r="F59" t="s">
        <v>154</v>
      </c>
      <c r="G59" t="s">
        <v>216</v>
      </c>
      <c r="H59" s="6">
        <v>0</v>
      </c>
      <c r="I59" s="6">
        <v>9600</v>
      </c>
      <c r="J59" s="6">
        <v>-9600</v>
      </c>
    </row>
    <row r="60" spans="1:10">
      <c r="A60" t="s">
        <v>228</v>
      </c>
      <c r="B60" s="5">
        <v>45292</v>
      </c>
      <c r="C60" t="s">
        <v>217</v>
      </c>
      <c r="D60" t="s">
        <v>218</v>
      </c>
      <c r="E60" t="s">
        <v>122</v>
      </c>
      <c r="F60" t="s">
        <v>154</v>
      </c>
      <c r="G60" t="s">
        <v>216</v>
      </c>
      <c r="H60" s="6">
        <v>4141.012217999987</v>
      </c>
      <c r="I60" s="6">
        <v>0</v>
      </c>
      <c r="J60" s="6">
        <v>4141.012217999987</v>
      </c>
    </row>
    <row r="61" spans="1:10">
      <c r="A61" t="s">
        <v>228</v>
      </c>
      <c r="B61" s="5">
        <v>45292</v>
      </c>
      <c r="C61" t="s">
        <v>194</v>
      </c>
      <c r="D61" t="s">
        <v>195</v>
      </c>
      <c r="E61" t="s">
        <v>150</v>
      </c>
      <c r="F61" t="s">
        <v>154</v>
      </c>
      <c r="G61" t="s">
        <v>216</v>
      </c>
      <c r="H61" s="6">
        <v>0</v>
      </c>
      <c r="I61" s="6">
        <v>4141.012217999987</v>
      </c>
      <c r="J61" s="6">
        <v>-4141.012217999987</v>
      </c>
    </row>
    <row r="62" spans="1:10">
      <c r="A62" t="s">
        <v>229</v>
      </c>
      <c r="B62" s="5">
        <v>45323</v>
      </c>
      <c r="C62" t="s">
        <v>146</v>
      </c>
      <c r="D62" t="s">
        <v>86</v>
      </c>
      <c r="E62" t="s">
        <v>120</v>
      </c>
      <c r="F62" t="s">
        <v>52</v>
      </c>
      <c r="G62" t="s">
        <v>147</v>
      </c>
      <c r="H62" s="6">
        <v>973056.48</v>
      </c>
      <c r="I62" s="6">
        <v>0</v>
      </c>
      <c r="J62" s="6">
        <v>973056.48</v>
      </c>
    </row>
    <row r="63" spans="1:10">
      <c r="A63" t="s">
        <v>229</v>
      </c>
      <c r="B63" s="5">
        <v>45323</v>
      </c>
      <c r="C63" t="s">
        <v>148</v>
      </c>
      <c r="D63" t="s">
        <v>149</v>
      </c>
      <c r="E63" t="s">
        <v>150</v>
      </c>
      <c r="F63" t="s">
        <v>52</v>
      </c>
      <c r="G63" t="s">
        <v>147</v>
      </c>
      <c r="H63" s="6">
        <v>0</v>
      </c>
      <c r="I63" s="6">
        <v>973056.48</v>
      </c>
      <c r="J63" s="6">
        <v>-973056.48</v>
      </c>
    </row>
    <row r="64" spans="1:10">
      <c r="A64" t="s">
        <v>230</v>
      </c>
      <c r="B64" s="5">
        <v>45323</v>
      </c>
      <c r="C64" t="s">
        <v>152</v>
      </c>
      <c r="D64" t="s">
        <v>153</v>
      </c>
      <c r="E64" t="s">
        <v>150</v>
      </c>
      <c r="F64" t="s">
        <v>154</v>
      </c>
      <c r="G64" t="s">
        <v>155</v>
      </c>
      <c r="H64" s="6">
        <v>82709.8008</v>
      </c>
      <c r="I64" s="6">
        <v>0</v>
      </c>
      <c r="J64" s="6">
        <v>82709.8008</v>
      </c>
    </row>
    <row r="65" spans="1:10">
      <c r="A65" t="s">
        <v>230</v>
      </c>
      <c r="B65" s="5">
        <v>45323</v>
      </c>
      <c r="C65" t="s">
        <v>156</v>
      </c>
      <c r="D65" t="s">
        <v>157</v>
      </c>
      <c r="E65" t="s">
        <v>121</v>
      </c>
      <c r="F65" t="s">
        <v>154</v>
      </c>
      <c r="G65" t="s">
        <v>155</v>
      </c>
      <c r="H65" s="6">
        <v>0</v>
      </c>
      <c r="I65" s="6">
        <v>82709.8008</v>
      </c>
      <c r="J65" s="6">
        <v>-82709.8008</v>
      </c>
    </row>
    <row r="66" spans="1:10">
      <c r="A66" t="s">
        <v>231</v>
      </c>
      <c r="B66" s="5">
        <v>45323</v>
      </c>
      <c r="C66" t="s">
        <v>159</v>
      </c>
      <c r="D66" t="s">
        <v>160</v>
      </c>
      <c r="E66" t="s">
        <v>120</v>
      </c>
      <c r="F66" t="s">
        <v>58</v>
      </c>
      <c r="G66" t="s">
        <v>161</v>
      </c>
      <c r="H66" s="6">
        <v>685721.3333333334</v>
      </c>
      <c r="I66" s="6">
        <v>0</v>
      </c>
      <c r="J66" s="6">
        <v>685721.3333333334</v>
      </c>
    </row>
    <row r="67" spans="1:10">
      <c r="A67" t="s">
        <v>231</v>
      </c>
      <c r="B67" s="5">
        <v>45323</v>
      </c>
      <c r="C67" t="s">
        <v>162</v>
      </c>
      <c r="D67" t="s">
        <v>88</v>
      </c>
      <c r="E67" t="s">
        <v>121</v>
      </c>
      <c r="F67" t="s">
        <v>58</v>
      </c>
      <c r="G67" t="s">
        <v>161</v>
      </c>
      <c r="H67" s="6">
        <v>0</v>
      </c>
      <c r="I67" s="6">
        <v>685721.3333333334</v>
      </c>
      <c r="J67" s="6">
        <v>-685721.3333333334</v>
      </c>
    </row>
    <row r="68" spans="1:10">
      <c r="A68" t="s">
        <v>232</v>
      </c>
      <c r="B68" s="5">
        <v>45323</v>
      </c>
      <c r="C68" t="s">
        <v>164</v>
      </c>
      <c r="D68" t="s">
        <v>36</v>
      </c>
      <c r="E68" t="s">
        <v>150</v>
      </c>
      <c r="F68" t="s">
        <v>58</v>
      </c>
      <c r="G68" t="s">
        <v>165</v>
      </c>
      <c r="H68" s="6">
        <v>643110</v>
      </c>
      <c r="I68" s="6">
        <v>0</v>
      </c>
      <c r="J68" s="6">
        <v>643110</v>
      </c>
    </row>
    <row r="69" spans="1:10">
      <c r="A69" t="s">
        <v>232</v>
      </c>
      <c r="B69" s="5">
        <v>45323</v>
      </c>
      <c r="C69" t="s">
        <v>159</v>
      </c>
      <c r="D69" t="s">
        <v>160</v>
      </c>
      <c r="E69" t="s">
        <v>120</v>
      </c>
      <c r="F69" t="s">
        <v>58</v>
      </c>
      <c r="G69" t="s">
        <v>165</v>
      </c>
      <c r="H69" s="6">
        <v>0</v>
      </c>
      <c r="I69" s="6">
        <v>643110</v>
      </c>
      <c r="J69" s="6">
        <v>-643110</v>
      </c>
    </row>
    <row r="70" spans="1:10">
      <c r="A70" t="s">
        <v>233</v>
      </c>
      <c r="B70" s="5">
        <v>45323</v>
      </c>
      <c r="C70" t="s">
        <v>167</v>
      </c>
      <c r="D70" t="s">
        <v>51</v>
      </c>
      <c r="E70" t="s">
        <v>150</v>
      </c>
      <c r="F70" t="s">
        <v>51</v>
      </c>
      <c r="G70" t="s">
        <v>168</v>
      </c>
      <c r="H70" s="6">
        <v>95000</v>
      </c>
      <c r="I70" s="6">
        <v>0</v>
      </c>
      <c r="J70" s="6">
        <v>95000</v>
      </c>
    </row>
    <row r="71" spans="1:10">
      <c r="A71" t="s">
        <v>233</v>
      </c>
      <c r="B71" s="5">
        <v>45323</v>
      </c>
      <c r="C71" t="s">
        <v>169</v>
      </c>
      <c r="D71" t="s">
        <v>170</v>
      </c>
      <c r="E71" t="s">
        <v>121</v>
      </c>
      <c r="F71" t="s">
        <v>51</v>
      </c>
      <c r="G71" t="s">
        <v>168</v>
      </c>
      <c r="H71" s="6">
        <v>0</v>
      </c>
      <c r="I71" s="6">
        <v>95000</v>
      </c>
      <c r="J71" s="6">
        <v>-95000</v>
      </c>
    </row>
    <row r="72" spans="1:10">
      <c r="A72" t="s">
        <v>234</v>
      </c>
      <c r="B72" s="5">
        <v>45323</v>
      </c>
      <c r="C72" t="s">
        <v>169</v>
      </c>
      <c r="D72" t="s">
        <v>170</v>
      </c>
      <c r="E72" t="s">
        <v>121</v>
      </c>
      <c r="F72" t="s">
        <v>51</v>
      </c>
      <c r="G72" t="s">
        <v>172</v>
      </c>
      <c r="H72" s="6">
        <v>95000</v>
      </c>
      <c r="I72" s="6">
        <v>0</v>
      </c>
      <c r="J72" s="6">
        <v>95000</v>
      </c>
    </row>
    <row r="73" spans="1:10">
      <c r="A73" t="s">
        <v>234</v>
      </c>
      <c r="B73" s="5">
        <v>45323</v>
      </c>
      <c r="C73" t="s">
        <v>173</v>
      </c>
      <c r="D73" t="s">
        <v>174</v>
      </c>
      <c r="E73" t="s">
        <v>120</v>
      </c>
      <c r="F73" t="s">
        <v>51</v>
      </c>
      <c r="G73" t="s">
        <v>172</v>
      </c>
      <c r="H73" s="6">
        <v>0</v>
      </c>
      <c r="I73" s="6">
        <v>95000</v>
      </c>
      <c r="J73" s="6">
        <v>-95000</v>
      </c>
    </row>
    <row r="74" spans="1:10">
      <c r="A74" t="s">
        <v>235</v>
      </c>
      <c r="B74" s="5">
        <v>45323</v>
      </c>
      <c r="C74" t="s">
        <v>176</v>
      </c>
      <c r="D74" t="s">
        <v>52</v>
      </c>
      <c r="E74" t="s">
        <v>150</v>
      </c>
      <c r="F74" t="s">
        <v>52</v>
      </c>
      <c r="G74" t="s">
        <v>177</v>
      </c>
      <c r="H74" s="6">
        <v>35030.03</v>
      </c>
      <c r="I74" s="6">
        <v>0</v>
      </c>
      <c r="J74" s="6">
        <v>35030.03</v>
      </c>
    </row>
    <row r="75" spans="1:10">
      <c r="A75" t="s">
        <v>235</v>
      </c>
      <c r="B75" s="5">
        <v>45323</v>
      </c>
      <c r="C75" t="s">
        <v>173</v>
      </c>
      <c r="D75" t="s">
        <v>174</v>
      </c>
      <c r="E75" t="s">
        <v>120</v>
      </c>
      <c r="F75" t="s">
        <v>52</v>
      </c>
      <c r="G75" t="s">
        <v>177</v>
      </c>
      <c r="H75" s="6">
        <v>0</v>
      </c>
      <c r="I75" s="6">
        <v>35030.03</v>
      </c>
      <c r="J75" s="6">
        <v>-35030.03</v>
      </c>
    </row>
    <row r="76" spans="1:10">
      <c r="A76" t="s">
        <v>236</v>
      </c>
      <c r="B76" s="5">
        <v>45323</v>
      </c>
      <c r="C76" t="s">
        <v>179</v>
      </c>
      <c r="D76" t="s">
        <v>54</v>
      </c>
      <c r="E76" t="s">
        <v>150</v>
      </c>
      <c r="F76" t="s">
        <v>54</v>
      </c>
      <c r="G76" t="s">
        <v>177</v>
      </c>
      <c r="H76" s="6">
        <v>32000</v>
      </c>
      <c r="I76" s="6">
        <v>0</v>
      </c>
      <c r="J76" s="6">
        <v>32000</v>
      </c>
    </row>
    <row r="77" spans="1:10">
      <c r="A77" t="s">
        <v>236</v>
      </c>
      <c r="B77" s="5">
        <v>45323</v>
      </c>
      <c r="C77" t="s">
        <v>173</v>
      </c>
      <c r="D77" t="s">
        <v>174</v>
      </c>
      <c r="E77" t="s">
        <v>120</v>
      </c>
      <c r="F77" t="s">
        <v>54</v>
      </c>
      <c r="G77" t="s">
        <v>177</v>
      </c>
      <c r="H77" s="6">
        <v>0</v>
      </c>
      <c r="I77" s="6">
        <v>32000</v>
      </c>
      <c r="J77" s="6">
        <v>-32000</v>
      </c>
    </row>
    <row r="78" spans="1:10">
      <c r="A78" t="s">
        <v>237</v>
      </c>
      <c r="B78" s="5">
        <v>45323</v>
      </c>
      <c r="C78" t="s">
        <v>181</v>
      </c>
      <c r="D78" t="s">
        <v>56</v>
      </c>
      <c r="E78" t="s">
        <v>150</v>
      </c>
      <c r="F78" t="s">
        <v>56</v>
      </c>
      <c r="G78" t="s">
        <v>177</v>
      </c>
      <c r="H78" s="6">
        <v>18000</v>
      </c>
      <c r="I78" s="6">
        <v>0</v>
      </c>
      <c r="J78" s="6">
        <v>18000</v>
      </c>
    </row>
    <row r="79" spans="1:10">
      <c r="A79" t="s">
        <v>237</v>
      </c>
      <c r="B79" s="5">
        <v>45323</v>
      </c>
      <c r="C79" t="s">
        <v>173</v>
      </c>
      <c r="D79" t="s">
        <v>174</v>
      </c>
      <c r="E79" t="s">
        <v>120</v>
      </c>
      <c r="F79" t="s">
        <v>56</v>
      </c>
      <c r="G79" t="s">
        <v>177</v>
      </c>
      <c r="H79" s="6">
        <v>0</v>
      </c>
      <c r="I79" s="6">
        <v>18000</v>
      </c>
      <c r="J79" s="6">
        <v>-18000</v>
      </c>
    </row>
    <row r="80" spans="1:10">
      <c r="A80" t="s">
        <v>238</v>
      </c>
      <c r="B80" s="5">
        <v>45323</v>
      </c>
      <c r="C80" t="s">
        <v>183</v>
      </c>
      <c r="D80" t="s">
        <v>59</v>
      </c>
      <c r="E80" t="s">
        <v>150</v>
      </c>
      <c r="F80" t="s">
        <v>66</v>
      </c>
      <c r="G80" t="s">
        <v>177</v>
      </c>
      <c r="H80" s="6">
        <v>21407.24</v>
      </c>
      <c r="I80" s="6">
        <v>0</v>
      </c>
      <c r="J80" s="6">
        <v>21407.24</v>
      </c>
    </row>
    <row r="81" spans="1:10">
      <c r="A81" t="s">
        <v>238</v>
      </c>
      <c r="B81" s="5">
        <v>45323</v>
      </c>
      <c r="C81" t="s">
        <v>173</v>
      </c>
      <c r="D81" t="s">
        <v>174</v>
      </c>
      <c r="E81" t="s">
        <v>120</v>
      </c>
      <c r="F81" t="s">
        <v>66</v>
      </c>
      <c r="G81" t="s">
        <v>177</v>
      </c>
      <c r="H81" s="6">
        <v>0</v>
      </c>
      <c r="I81" s="6">
        <v>21407.24</v>
      </c>
      <c r="J81" s="6">
        <v>-21407.24</v>
      </c>
    </row>
    <row r="82" spans="1:10">
      <c r="A82" t="s">
        <v>239</v>
      </c>
      <c r="B82" s="5">
        <v>45323</v>
      </c>
      <c r="C82" t="s">
        <v>185</v>
      </c>
      <c r="D82" t="s">
        <v>186</v>
      </c>
      <c r="E82" t="s">
        <v>150</v>
      </c>
      <c r="F82" t="s">
        <v>154</v>
      </c>
      <c r="G82" t="s">
        <v>187</v>
      </c>
      <c r="H82" s="6">
        <v>15180</v>
      </c>
      <c r="I82" s="6">
        <v>0</v>
      </c>
      <c r="J82" s="6">
        <v>15180</v>
      </c>
    </row>
    <row r="83" spans="1:10">
      <c r="A83" t="s">
        <v>239</v>
      </c>
      <c r="B83" s="5">
        <v>45323</v>
      </c>
      <c r="C83" t="s">
        <v>188</v>
      </c>
      <c r="D83" t="s">
        <v>189</v>
      </c>
      <c r="E83" t="s">
        <v>120</v>
      </c>
      <c r="F83" t="s">
        <v>154</v>
      </c>
      <c r="G83" t="s">
        <v>187</v>
      </c>
      <c r="H83" s="6">
        <v>0</v>
      </c>
      <c r="I83" s="6">
        <v>15180</v>
      </c>
      <c r="J83" s="6">
        <v>-15180</v>
      </c>
    </row>
    <row r="84" spans="1:10">
      <c r="A84" t="s">
        <v>240</v>
      </c>
      <c r="B84" s="5">
        <v>45323</v>
      </c>
      <c r="C84" t="s">
        <v>191</v>
      </c>
      <c r="D84" t="s">
        <v>104</v>
      </c>
      <c r="E84" t="s">
        <v>150</v>
      </c>
      <c r="F84" t="s">
        <v>154</v>
      </c>
      <c r="G84" t="s">
        <v>192</v>
      </c>
      <c r="H84" s="6">
        <v>9384</v>
      </c>
      <c r="I84" s="6">
        <v>0</v>
      </c>
      <c r="J84" s="6">
        <v>9384</v>
      </c>
    </row>
    <row r="85" spans="1:10">
      <c r="A85" t="s">
        <v>240</v>
      </c>
      <c r="B85" s="5">
        <v>45323</v>
      </c>
      <c r="C85" t="s">
        <v>173</v>
      </c>
      <c r="D85" t="s">
        <v>174</v>
      </c>
      <c r="E85" t="s">
        <v>120</v>
      </c>
      <c r="F85" t="s">
        <v>154</v>
      </c>
      <c r="G85" t="s">
        <v>192</v>
      </c>
      <c r="H85" s="6">
        <v>0</v>
      </c>
      <c r="I85" s="6">
        <v>9384</v>
      </c>
      <c r="J85" s="6">
        <v>-9384</v>
      </c>
    </row>
    <row r="86" spans="1:10">
      <c r="A86" t="s">
        <v>241</v>
      </c>
      <c r="B86" s="5">
        <v>45323</v>
      </c>
      <c r="C86" t="s">
        <v>194</v>
      </c>
      <c r="D86" t="s">
        <v>195</v>
      </c>
      <c r="E86" t="s">
        <v>150</v>
      </c>
      <c r="F86" t="s">
        <v>154</v>
      </c>
      <c r="G86" t="s">
        <v>196</v>
      </c>
      <c r="H86" s="6">
        <v>7220.039128000009</v>
      </c>
      <c r="I86" s="6">
        <v>0</v>
      </c>
      <c r="J86" s="6">
        <v>7220.039128000009</v>
      </c>
    </row>
    <row r="87" spans="1:10">
      <c r="A87" t="s">
        <v>241</v>
      </c>
      <c r="B87" s="5">
        <v>45323</v>
      </c>
      <c r="C87" t="s">
        <v>197</v>
      </c>
      <c r="D87" t="s">
        <v>198</v>
      </c>
      <c r="E87" t="s">
        <v>121</v>
      </c>
      <c r="F87" t="s">
        <v>154</v>
      </c>
      <c r="G87" t="s">
        <v>196</v>
      </c>
      <c r="H87" s="6">
        <v>0</v>
      </c>
      <c r="I87" s="6">
        <v>7220.039128000009</v>
      </c>
      <c r="J87" s="6">
        <v>-7220.039128000009</v>
      </c>
    </row>
    <row r="88" spans="1:10">
      <c r="A88" t="s">
        <v>242</v>
      </c>
      <c r="B88" s="5">
        <v>45323</v>
      </c>
      <c r="C88" t="s">
        <v>173</v>
      </c>
      <c r="D88" t="s">
        <v>174</v>
      </c>
      <c r="E88" t="s">
        <v>120</v>
      </c>
      <c r="F88" t="s">
        <v>154</v>
      </c>
      <c r="G88" t="s">
        <v>200</v>
      </c>
      <c r="H88" s="6">
        <v>915787.0133333332</v>
      </c>
      <c r="I88" s="6">
        <v>0</v>
      </c>
      <c r="J88" s="6">
        <v>915787.0133333332</v>
      </c>
    </row>
    <row r="89" spans="1:10">
      <c r="A89" t="s">
        <v>242</v>
      </c>
      <c r="B89" s="5">
        <v>45323</v>
      </c>
      <c r="C89" t="s">
        <v>146</v>
      </c>
      <c r="D89" t="s">
        <v>86</v>
      </c>
      <c r="E89" t="s">
        <v>120</v>
      </c>
      <c r="F89" t="s">
        <v>154</v>
      </c>
      <c r="G89" t="s">
        <v>200</v>
      </c>
      <c r="H89" s="6">
        <v>0</v>
      </c>
      <c r="I89" s="6">
        <v>915787.0133333332</v>
      </c>
      <c r="J89" s="6">
        <v>-915787.0133333332</v>
      </c>
    </row>
    <row r="90" spans="1:10">
      <c r="A90" t="s">
        <v>243</v>
      </c>
      <c r="B90" s="5">
        <v>45323</v>
      </c>
      <c r="C90" t="s">
        <v>162</v>
      </c>
      <c r="D90" t="s">
        <v>88</v>
      </c>
      <c r="E90" t="s">
        <v>121</v>
      </c>
      <c r="F90" t="s">
        <v>154</v>
      </c>
      <c r="G90" t="s">
        <v>202</v>
      </c>
      <c r="H90" s="6">
        <v>653299.6666666667</v>
      </c>
      <c r="I90" s="6">
        <v>0</v>
      </c>
      <c r="J90" s="6">
        <v>653299.6666666667</v>
      </c>
    </row>
    <row r="91" spans="1:10">
      <c r="A91" t="s">
        <v>243</v>
      </c>
      <c r="B91" s="5">
        <v>45323</v>
      </c>
      <c r="C91" t="s">
        <v>173</v>
      </c>
      <c r="D91" t="s">
        <v>174</v>
      </c>
      <c r="E91" t="s">
        <v>120</v>
      </c>
      <c r="F91" t="s">
        <v>154</v>
      </c>
      <c r="G91" t="s">
        <v>202</v>
      </c>
      <c r="H91" s="6">
        <v>0</v>
      </c>
      <c r="I91" s="6">
        <v>653299.6666666667</v>
      </c>
      <c r="J91" s="6">
        <v>-653299.6666666667</v>
      </c>
    </row>
    <row r="92" spans="1:10">
      <c r="A92" t="s">
        <v>244</v>
      </c>
      <c r="B92" s="5">
        <v>45323</v>
      </c>
      <c r="C92" t="s">
        <v>156</v>
      </c>
      <c r="D92" t="s">
        <v>157</v>
      </c>
      <c r="E92" t="s">
        <v>121</v>
      </c>
      <c r="F92" t="s">
        <v>154</v>
      </c>
      <c r="G92" t="s">
        <v>204</v>
      </c>
      <c r="H92" s="6">
        <v>79058.87230000002</v>
      </c>
      <c r="I92" s="6">
        <v>0</v>
      </c>
      <c r="J92" s="6">
        <v>79058.87230000002</v>
      </c>
    </row>
    <row r="93" spans="1:10">
      <c r="A93" t="s">
        <v>244</v>
      </c>
      <c r="B93" s="5">
        <v>45323</v>
      </c>
      <c r="C93" t="s">
        <v>173</v>
      </c>
      <c r="D93" t="s">
        <v>174</v>
      </c>
      <c r="E93" t="s">
        <v>120</v>
      </c>
      <c r="F93" t="s">
        <v>154</v>
      </c>
      <c r="G93" t="s">
        <v>204</v>
      </c>
      <c r="H93" s="6">
        <v>0</v>
      </c>
      <c r="I93" s="6">
        <v>79058.87230000002</v>
      </c>
      <c r="J93" s="6">
        <v>-79058.87230000002</v>
      </c>
    </row>
    <row r="94" spans="1:10">
      <c r="A94" t="s">
        <v>245</v>
      </c>
      <c r="B94" s="5">
        <v>45323</v>
      </c>
      <c r="C94" t="s">
        <v>197</v>
      </c>
      <c r="D94" t="s">
        <v>198</v>
      </c>
      <c r="E94" t="s">
        <v>121</v>
      </c>
      <c r="F94" t="s">
        <v>154</v>
      </c>
      <c r="G94" t="s">
        <v>206</v>
      </c>
      <c r="H94" s="6">
        <v>4141.012217999988</v>
      </c>
      <c r="I94" s="6">
        <v>0</v>
      </c>
      <c r="J94" s="6">
        <v>4141.012217999988</v>
      </c>
    </row>
    <row r="95" spans="1:10">
      <c r="A95" t="s">
        <v>245</v>
      </c>
      <c r="B95" s="5">
        <v>45323</v>
      </c>
      <c r="C95" t="s">
        <v>173</v>
      </c>
      <c r="D95" t="s">
        <v>174</v>
      </c>
      <c r="E95" t="s">
        <v>120</v>
      </c>
      <c r="F95" t="s">
        <v>154</v>
      </c>
      <c r="G95" t="s">
        <v>206</v>
      </c>
      <c r="H95" s="6">
        <v>0</v>
      </c>
      <c r="I95" s="6">
        <v>4141.012217999988</v>
      </c>
      <c r="J95" s="6">
        <v>-4141.012217999988</v>
      </c>
    </row>
    <row r="96" spans="1:10">
      <c r="A96" t="s">
        <v>246</v>
      </c>
      <c r="B96" s="5">
        <v>45323</v>
      </c>
      <c r="C96" t="s">
        <v>208</v>
      </c>
      <c r="D96" t="s">
        <v>209</v>
      </c>
      <c r="E96" t="s">
        <v>120</v>
      </c>
      <c r="F96" t="s">
        <v>154</v>
      </c>
      <c r="G96" t="s">
        <v>210</v>
      </c>
      <c r="H96" s="6">
        <v>18000</v>
      </c>
      <c r="I96" s="6">
        <v>0</v>
      </c>
      <c r="J96" s="6">
        <v>18000</v>
      </c>
    </row>
    <row r="97" spans="1:10">
      <c r="A97" t="s">
        <v>246</v>
      </c>
      <c r="B97" s="5">
        <v>45323</v>
      </c>
      <c r="C97" t="s">
        <v>173</v>
      </c>
      <c r="D97" t="s">
        <v>174</v>
      </c>
      <c r="E97" t="s">
        <v>120</v>
      </c>
      <c r="F97" t="s">
        <v>154</v>
      </c>
      <c r="G97" t="s">
        <v>210</v>
      </c>
      <c r="H97" s="6">
        <v>0</v>
      </c>
      <c r="I97" s="6">
        <v>18000</v>
      </c>
      <c r="J97" s="6">
        <v>-18000</v>
      </c>
    </row>
    <row r="98" spans="1:10">
      <c r="A98" t="s">
        <v>247</v>
      </c>
      <c r="B98" s="5">
        <v>45323</v>
      </c>
      <c r="C98" t="s">
        <v>212</v>
      </c>
      <c r="D98" t="s">
        <v>213</v>
      </c>
      <c r="E98" t="s">
        <v>121</v>
      </c>
      <c r="F98" t="s">
        <v>154</v>
      </c>
      <c r="G98" t="s">
        <v>214</v>
      </c>
      <c r="H98" s="6">
        <v>18000</v>
      </c>
      <c r="I98" s="6">
        <v>0</v>
      </c>
      <c r="J98" s="6">
        <v>18000</v>
      </c>
    </row>
    <row r="99" spans="1:10">
      <c r="A99" t="s">
        <v>247</v>
      </c>
      <c r="B99" s="5">
        <v>45323</v>
      </c>
      <c r="C99" t="s">
        <v>173</v>
      </c>
      <c r="D99" t="s">
        <v>174</v>
      </c>
      <c r="E99" t="s">
        <v>120</v>
      </c>
      <c r="F99" t="s">
        <v>154</v>
      </c>
      <c r="G99" t="s">
        <v>214</v>
      </c>
      <c r="H99" s="6">
        <v>0</v>
      </c>
      <c r="I99" s="6">
        <v>18000</v>
      </c>
      <c r="J99" s="6">
        <v>-18000</v>
      </c>
    </row>
    <row r="100" spans="1:10">
      <c r="A100" t="s">
        <v>248</v>
      </c>
      <c r="B100" s="5">
        <v>45323</v>
      </c>
      <c r="C100" t="s">
        <v>148</v>
      </c>
      <c r="D100" t="s">
        <v>149</v>
      </c>
      <c r="E100" t="s">
        <v>150</v>
      </c>
      <c r="F100" t="s">
        <v>154</v>
      </c>
      <c r="G100" t="s">
        <v>216</v>
      </c>
      <c r="H100" s="6">
        <v>973056.48</v>
      </c>
      <c r="I100" s="6">
        <v>0</v>
      </c>
      <c r="J100" s="6">
        <v>973056.48</v>
      </c>
    </row>
    <row r="101" spans="1:10">
      <c r="A101" t="s">
        <v>248</v>
      </c>
      <c r="B101" s="5">
        <v>45323</v>
      </c>
      <c r="C101" t="s">
        <v>217</v>
      </c>
      <c r="D101" t="s">
        <v>218</v>
      </c>
      <c r="E101" t="s">
        <v>122</v>
      </c>
      <c r="F101" t="s">
        <v>154</v>
      </c>
      <c r="G101" t="s">
        <v>216</v>
      </c>
      <c r="H101" s="6">
        <v>0</v>
      </c>
      <c r="I101" s="6">
        <v>973056.48</v>
      </c>
      <c r="J101" s="6">
        <v>-973056.48</v>
      </c>
    </row>
    <row r="102" spans="1:10">
      <c r="A102" t="s">
        <v>249</v>
      </c>
      <c r="B102" s="5">
        <v>45323</v>
      </c>
      <c r="C102" t="s">
        <v>217</v>
      </c>
      <c r="D102" t="s">
        <v>218</v>
      </c>
      <c r="E102" t="s">
        <v>122</v>
      </c>
      <c r="F102" t="s">
        <v>154</v>
      </c>
      <c r="G102" t="s">
        <v>216</v>
      </c>
      <c r="H102" s="6">
        <v>82709.8008</v>
      </c>
      <c r="I102" s="6">
        <v>0</v>
      </c>
      <c r="J102" s="6">
        <v>82709.8008</v>
      </c>
    </row>
    <row r="103" spans="1:10">
      <c r="A103" t="s">
        <v>249</v>
      </c>
      <c r="B103" s="5">
        <v>45323</v>
      </c>
      <c r="C103" t="s">
        <v>152</v>
      </c>
      <c r="D103" t="s">
        <v>153</v>
      </c>
      <c r="E103" t="s">
        <v>150</v>
      </c>
      <c r="F103" t="s">
        <v>154</v>
      </c>
      <c r="G103" t="s">
        <v>216</v>
      </c>
      <c r="H103" s="6">
        <v>0</v>
      </c>
      <c r="I103" s="6">
        <v>82709.8008</v>
      </c>
      <c r="J103" s="6">
        <v>-82709.8008</v>
      </c>
    </row>
    <row r="104" spans="1:10">
      <c r="A104" t="s">
        <v>250</v>
      </c>
      <c r="B104" s="5">
        <v>45323</v>
      </c>
      <c r="C104" t="s">
        <v>217</v>
      </c>
      <c r="D104" t="s">
        <v>218</v>
      </c>
      <c r="E104" t="s">
        <v>122</v>
      </c>
      <c r="F104" t="s">
        <v>154</v>
      </c>
      <c r="G104" t="s">
        <v>216</v>
      </c>
      <c r="H104" s="6">
        <v>643110</v>
      </c>
      <c r="I104" s="6">
        <v>0</v>
      </c>
      <c r="J104" s="6">
        <v>643110</v>
      </c>
    </row>
    <row r="105" spans="1:10">
      <c r="A105" t="s">
        <v>250</v>
      </c>
      <c r="B105" s="5">
        <v>45323</v>
      </c>
      <c r="C105" t="s">
        <v>164</v>
      </c>
      <c r="D105" t="s">
        <v>36</v>
      </c>
      <c r="E105" t="s">
        <v>150</v>
      </c>
      <c r="F105" t="s">
        <v>154</v>
      </c>
      <c r="G105" t="s">
        <v>216</v>
      </c>
      <c r="H105" s="6">
        <v>0</v>
      </c>
      <c r="I105" s="6">
        <v>643110</v>
      </c>
      <c r="J105" s="6">
        <v>-643110</v>
      </c>
    </row>
    <row r="106" spans="1:10">
      <c r="A106" t="s">
        <v>251</v>
      </c>
      <c r="B106" s="5">
        <v>45323</v>
      </c>
      <c r="C106" t="s">
        <v>217</v>
      </c>
      <c r="D106" t="s">
        <v>218</v>
      </c>
      <c r="E106" t="s">
        <v>122</v>
      </c>
      <c r="F106" t="s">
        <v>154</v>
      </c>
      <c r="G106" t="s">
        <v>216</v>
      </c>
      <c r="H106" s="6">
        <v>95000</v>
      </c>
      <c r="I106" s="6">
        <v>0</v>
      </c>
      <c r="J106" s="6">
        <v>95000</v>
      </c>
    </row>
    <row r="107" spans="1:10">
      <c r="A107" t="s">
        <v>251</v>
      </c>
      <c r="B107" s="5">
        <v>45323</v>
      </c>
      <c r="C107" t="s">
        <v>167</v>
      </c>
      <c r="D107" t="s">
        <v>51</v>
      </c>
      <c r="E107" t="s">
        <v>150</v>
      </c>
      <c r="F107" t="s">
        <v>154</v>
      </c>
      <c r="G107" t="s">
        <v>216</v>
      </c>
      <c r="H107" s="6">
        <v>0</v>
      </c>
      <c r="I107" s="6">
        <v>95000</v>
      </c>
      <c r="J107" s="6">
        <v>-95000</v>
      </c>
    </row>
    <row r="108" spans="1:10">
      <c r="A108" t="s">
        <v>252</v>
      </c>
      <c r="B108" s="5">
        <v>45323</v>
      </c>
      <c r="C108" t="s">
        <v>217</v>
      </c>
      <c r="D108" t="s">
        <v>218</v>
      </c>
      <c r="E108" t="s">
        <v>122</v>
      </c>
      <c r="F108" t="s">
        <v>154</v>
      </c>
      <c r="G108" t="s">
        <v>216</v>
      </c>
      <c r="H108" s="6">
        <v>35030.03</v>
      </c>
      <c r="I108" s="6">
        <v>0</v>
      </c>
      <c r="J108" s="6">
        <v>35030.03</v>
      </c>
    </row>
    <row r="109" spans="1:10">
      <c r="A109" t="s">
        <v>252</v>
      </c>
      <c r="B109" s="5">
        <v>45323</v>
      </c>
      <c r="C109" t="s">
        <v>176</v>
      </c>
      <c r="D109" t="s">
        <v>52</v>
      </c>
      <c r="E109" t="s">
        <v>150</v>
      </c>
      <c r="F109" t="s">
        <v>154</v>
      </c>
      <c r="G109" t="s">
        <v>216</v>
      </c>
      <c r="H109" s="6">
        <v>0</v>
      </c>
      <c r="I109" s="6">
        <v>35030.03</v>
      </c>
      <c r="J109" s="6">
        <v>-35030.03</v>
      </c>
    </row>
    <row r="110" spans="1:10">
      <c r="A110" t="s">
        <v>253</v>
      </c>
      <c r="B110" s="5">
        <v>45323</v>
      </c>
      <c r="C110" t="s">
        <v>217</v>
      </c>
      <c r="D110" t="s">
        <v>218</v>
      </c>
      <c r="E110" t="s">
        <v>122</v>
      </c>
      <c r="F110" t="s">
        <v>154</v>
      </c>
      <c r="G110" t="s">
        <v>216</v>
      </c>
      <c r="H110" s="6">
        <v>32000</v>
      </c>
      <c r="I110" s="6">
        <v>0</v>
      </c>
      <c r="J110" s="6">
        <v>32000</v>
      </c>
    </row>
    <row r="111" spans="1:10">
      <c r="A111" t="s">
        <v>253</v>
      </c>
      <c r="B111" s="5">
        <v>45323</v>
      </c>
      <c r="C111" t="s">
        <v>179</v>
      </c>
      <c r="D111" t="s">
        <v>54</v>
      </c>
      <c r="E111" t="s">
        <v>150</v>
      </c>
      <c r="F111" t="s">
        <v>154</v>
      </c>
      <c r="G111" t="s">
        <v>216</v>
      </c>
      <c r="H111" s="6">
        <v>0</v>
      </c>
      <c r="I111" s="6">
        <v>32000</v>
      </c>
      <c r="J111" s="6">
        <v>-32000</v>
      </c>
    </row>
    <row r="112" spans="1:10">
      <c r="A112" t="s">
        <v>254</v>
      </c>
      <c r="B112" s="5">
        <v>45323</v>
      </c>
      <c r="C112" t="s">
        <v>217</v>
      </c>
      <c r="D112" t="s">
        <v>218</v>
      </c>
      <c r="E112" t="s">
        <v>122</v>
      </c>
      <c r="F112" t="s">
        <v>154</v>
      </c>
      <c r="G112" t="s">
        <v>216</v>
      </c>
      <c r="H112" s="6">
        <v>18000</v>
      </c>
      <c r="I112" s="6">
        <v>0</v>
      </c>
      <c r="J112" s="6">
        <v>18000</v>
      </c>
    </row>
    <row r="113" spans="1:10">
      <c r="A113" t="s">
        <v>254</v>
      </c>
      <c r="B113" s="5">
        <v>45323</v>
      </c>
      <c r="C113" t="s">
        <v>181</v>
      </c>
      <c r="D113" t="s">
        <v>56</v>
      </c>
      <c r="E113" t="s">
        <v>150</v>
      </c>
      <c r="F113" t="s">
        <v>154</v>
      </c>
      <c r="G113" t="s">
        <v>216</v>
      </c>
      <c r="H113" s="6">
        <v>0</v>
      </c>
      <c r="I113" s="6">
        <v>18000</v>
      </c>
      <c r="J113" s="6">
        <v>-18000</v>
      </c>
    </row>
    <row r="114" spans="1:10">
      <c r="A114" t="s">
        <v>255</v>
      </c>
      <c r="B114" s="5">
        <v>45323</v>
      </c>
      <c r="C114" t="s">
        <v>217</v>
      </c>
      <c r="D114" t="s">
        <v>218</v>
      </c>
      <c r="E114" t="s">
        <v>122</v>
      </c>
      <c r="F114" t="s">
        <v>154</v>
      </c>
      <c r="G114" t="s">
        <v>216</v>
      </c>
      <c r="H114" s="6">
        <v>21407.24</v>
      </c>
      <c r="I114" s="6">
        <v>0</v>
      </c>
      <c r="J114" s="6">
        <v>21407.24</v>
      </c>
    </row>
    <row r="115" spans="1:10">
      <c r="A115" t="s">
        <v>255</v>
      </c>
      <c r="B115" s="5">
        <v>45323</v>
      </c>
      <c r="C115" t="s">
        <v>183</v>
      </c>
      <c r="D115" t="s">
        <v>59</v>
      </c>
      <c r="E115" t="s">
        <v>150</v>
      </c>
      <c r="F115" t="s">
        <v>154</v>
      </c>
      <c r="G115" t="s">
        <v>216</v>
      </c>
      <c r="H115" s="6">
        <v>0</v>
      </c>
      <c r="I115" s="6">
        <v>21407.24</v>
      </c>
      <c r="J115" s="6">
        <v>-21407.24</v>
      </c>
    </row>
    <row r="116" spans="1:10">
      <c r="A116" t="s">
        <v>256</v>
      </c>
      <c r="B116" s="5">
        <v>45323</v>
      </c>
      <c r="C116" t="s">
        <v>217</v>
      </c>
      <c r="D116" t="s">
        <v>218</v>
      </c>
      <c r="E116" t="s">
        <v>122</v>
      </c>
      <c r="F116" t="s">
        <v>154</v>
      </c>
      <c r="G116" t="s">
        <v>216</v>
      </c>
      <c r="H116" s="6">
        <v>15180</v>
      </c>
      <c r="I116" s="6">
        <v>0</v>
      </c>
      <c r="J116" s="6">
        <v>15180</v>
      </c>
    </row>
    <row r="117" spans="1:10">
      <c r="A117" t="s">
        <v>256</v>
      </c>
      <c r="B117" s="5">
        <v>45323</v>
      </c>
      <c r="C117" t="s">
        <v>185</v>
      </c>
      <c r="D117" t="s">
        <v>186</v>
      </c>
      <c r="E117" t="s">
        <v>150</v>
      </c>
      <c r="F117" t="s">
        <v>154</v>
      </c>
      <c r="G117" t="s">
        <v>216</v>
      </c>
      <c r="H117" s="6">
        <v>0</v>
      </c>
      <c r="I117" s="6">
        <v>15180</v>
      </c>
      <c r="J117" s="6">
        <v>-15180</v>
      </c>
    </row>
    <row r="118" spans="1:10">
      <c r="A118" t="s">
        <v>257</v>
      </c>
      <c r="B118" s="5">
        <v>45323</v>
      </c>
      <c r="C118" t="s">
        <v>217</v>
      </c>
      <c r="D118" t="s">
        <v>218</v>
      </c>
      <c r="E118" t="s">
        <v>122</v>
      </c>
      <c r="F118" t="s">
        <v>154</v>
      </c>
      <c r="G118" t="s">
        <v>216</v>
      </c>
      <c r="H118" s="6">
        <v>9384</v>
      </c>
      <c r="I118" s="6">
        <v>0</v>
      </c>
      <c r="J118" s="6">
        <v>9384</v>
      </c>
    </row>
    <row r="119" spans="1:10">
      <c r="A119" t="s">
        <v>257</v>
      </c>
      <c r="B119" s="5">
        <v>45323</v>
      </c>
      <c r="C119" t="s">
        <v>191</v>
      </c>
      <c r="D119" t="s">
        <v>104</v>
      </c>
      <c r="E119" t="s">
        <v>150</v>
      </c>
      <c r="F119" t="s">
        <v>154</v>
      </c>
      <c r="G119" t="s">
        <v>216</v>
      </c>
      <c r="H119" s="6">
        <v>0</v>
      </c>
      <c r="I119" s="6">
        <v>9384</v>
      </c>
      <c r="J119" s="6">
        <v>-9384</v>
      </c>
    </row>
    <row r="120" spans="1:10">
      <c r="A120" t="s">
        <v>258</v>
      </c>
      <c r="B120" s="5">
        <v>45323</v>
      </c>
      <c r="C120" t="s">
        <v>217</v>
      </c>
      <c r="D120" t="s">
        <v>218</v>
      </c>
      <c r="E120" t="s">
        <v>122</v>
      </c>
      <c r="F120" t="s">
        <v>154</v>
      </c>
      <c r="G120" t="s">
        <v>216</v>
      </c>
      <c r="H120" s="6">
        <v>7220.039128000009</v>
      </c>
      <c r="I120" s="6">
        <v>0</v>
      </c>
      <c r="J120" s="6">
        <v>7220.039128000009</v>
      </c>
    </row>
    <row r="121" spans="1:10">
      <c r="A121" t="s">
        <v>258</v>
      </c>
      <c r="B121" s="5">
        <v>45323</v>
      </c>
      <c r="C121" t="s">
        <v>194</v>
      </c>
      <c r="D121" t="s">
        <v>195</v>
      </c>
      <c r="E121" t="s">
        <v>150</v>
      </c>
      <c r="F121" t="s">
        <v>154</v>
      </c>
      <c r="G121" t="s">
        <v>216</v>
      </c>
      <c r="H121" s="6">
        <v>0</v>
      </c>
      <c r="I121" s="6">
        <v>7220.039128000009</v>
      </c>
      <c r="J121" s="6">
        <v>-7220.039128000009</v>
      </c>
    </row>
    <row r="122" spans="1:10">
      <c r="A122" t="s">
        <v>259</v>
      </c>
      <c r="B122" s="5">
        <v>45352</v>
      </c>
      <c r="C122" t="s">
        <v>146</v>
      </c>
      <c r="D122" t="s">
        <v>86</v>
      </c>
      <c r="E122" t="s">
        <v>120</v>
      </c>
      <c r="F122" t="s">
        <v>52</v>
      </c>
      <c r="G122" t="s">
        <v>147</v>
      </c>
      <c r="H122" s="6">
        <v>1139151.54</v>
      </c>
      <c r="I122" s="6">
        <v>0</v>
      </c>
      <c r="J122" s="6">
        <v>1139151.54</v>
      </c>
    </row>
    <row r="123" spans="1:10">
      <c r="A123" t="s">
        <v>259</v>
      </c>
      <c r="B123" s="5">
        <v>45352</v>
      </c>
      <c r="C123" t="s">
        <v>148</v>
      </c>
      <c r="D123" t="s">
        <v>149</v>
      </c>
      <c r="E123" t="s">
        <v>150</v>
      </c>
      <c r="F123" t="s">
        <v>52</v>
      </c>
      <c r="G123" t="s">
        <v>147</v>
      </c>
      <c r="H123" s="6">
        <v>0</v>
      </c>
      <c r="I123" s="6">
        <v>1139151.54</v>
      </c>
      <c r="J123" s="6">
        <v>-1139151.54</v>
      </c>
    </row>
    <row r="124" spans="1:10">
      <c r="A124" t="s">
        <v>260</v>
      </c>
      <c r="B124" s="5">
        <v>45352</v>
      </c>
      <c r="C124" t="s">
        <v>152</v>
      </c>
      <c r="D124" t="s">
        <v>153</v>
      </c>
      <c r="E124" t="s">
        <v>150</v>
      </c>
      <c r="F124" t="s">
        <v>154</v>
      </c>
      <c r="G124" t="s">
        <v>155</v>
      </c>
      <c r="H124" s="6">
        <v>96827.8809</v>
      </c>
      <c r="I124" s="6">
        <v>0</v>
      </c>
      <c r="J124" s="6">
        <v>96827.8809</v>
      </c>
    </row>
    <row r="125" spans="1:10">
      <c r="A125" t="s">
        <v>260</v>
      </c>
      <c r="B125" s="5">
        <v>45352</v>
      </c>
      <c r="C125" t="s">
        <v>156</v>
      </c>
      <c r="D125" t="s">
        <v>157</v>
      </c>
      <c r="E125" t="s">
        <v>121</v>
      </c>
      <c r="F125" t="s">
        <v>154</v>
      </c>
      <c r="G125" t="s">
        <v>155</v>
      </c>
      <c r="H125" s="6">
        <v>0</v>
      </c>
      <c r="I125" s="6">
        <v>96827.8809</v>
      </c>
      <c r="J125" s="6">
        <v>-96827.8809</v>
      </c>
    </row>
    <row r="126" spans="1:10">
      <c r="A126" t="s">
        <v>261</v>
      </c>
      <c r="B126" s="5">
        <v>45352</v>
      </c>
      <c r="C126" t="s">
        <v>159</v>
      </c>
      <c r="D126" t="s">
        <v>160</v>
      </c>
      <c r="E126" t="s">
        <v>120</v>
      </c>
      <c r="F126" t="s">
        <v>58</v>
      </c>
      <c r="G126" t="s">
        <v>161</v>
      </c>
      <c r="H126" s="6">
        <v>921067.3333333333</v>
      </c>
      <c r="I126" s="6">
        <v>0</v>
      </c>
      <c r="J126" s="6">
        <v>921067.3333333333</v>
      </c>
    </row>
    <row r="127" spans="1:10">
      <c r="A127" t="s">
        <v>261</v>
      </c>
      <c r="B127" s="5">
        <v>45352</v>
      </c>
      <c r="C127" t="s">
        <v>162</v>
      </c>
      <c r="D127" t="s">
        <v>88</v>
      </c>
      <c r="E127" t="s">
        <v>121</v>
      </c>
      <c r="F127" t="s">
        <v>58</v>
      </c>
      <c r="G127" t="s">
        <v>161</v>
      </c>
      <c r="H127" s="6">
        <v>0</v>
      </c>
      <c r="I127" s="6">
        <v>921067.3333333333</v>
      </c>
      <c r="J127" s="6">
        <v>-921067.3333333333</v>
      </c>
    </row>
    <row r="128" spans="1:10">
      <c r="A128" t="s">
        <v>262</v>
      </c>
      <c r="B128" s="5">
        <v>45352</v>
      </c>
      <c r="C128" t="s">
        <v>164</v>
      </c>
      <c r="D128" t="s">
        <v>36</v>
      </c>
      <c r="E128" t="s">
        <v>150</v>
      </c>
      <c r="F128" t="s">
        <v>58</v>
      </c>
      <c r="G128" t="s">
        <v>165</v>
      </c>
      <c r="H128" s="6">
        <v>752830</v>
      </c>
      <c r="I128" s="6">
        <v>0</v>
      </c>
      <c r="J128" s="6">
        <v>752830</v>
      </c>
    </row>
    <row r="129" spans="1:10">
      <c r="A129" t="s">
        <v>262</v>
      </c>
      <c r="B129" s="5">
        <v>45352</v>
      </c>
      <c r="C129" t="s">
        <v>159</v>
      </c>
      <c r="D129" t="s">
        <v>160</v>
      </c>
      <c r="E129" t="s">
        <v>120</v>
      </c>
      <c r="F129" t="s">
        <v>58</v>
      </c>
      <c r="G129" t="s">
        <v>165</v>
      </c>
      <c r="H129" s="6">
        <v>0</v>
      </c>
      <c r="I129" s="6">
        <v>752830</v>
      </c>
      <c r="J129" s="6">
        <v>-752830</v>
      </c>
    </row>
    <row r="130" spans="1:10">
      <c r="A130" t="s">
        <v>263</v>
      </c>
      <c r="B130" s="5">
        <v>45352</v>
      </c>
      <c r="C130" t="s">
        <v>167</v>
      </c>
      <c r="D130" t="s">
        <v>51</v>
      </c>
      <c r="E130" t="s">
        <v>150</v>
      </c>
      <c r="F130" t="s">
        <v>51</v>
      </c>
      <c r="G130" t="s">
        <v>168</v>
      </c>
      <c r="H130" s="6">
        <v>95000</v>
      </c>
      <c r="I130" s="6">
        <v>0</v>
      </c>
      <c r="J130" s="6">
        <v>95000</v>
      </c>
    </row>
    <row r="131" spans="1:10">
      <c r="A131" t="s">
        <v>263</v>
      </c>
      <c r="B131" s="5">
        <v>45352</v>
      </c>
      <c r="C131" t="s">
        <v>169</v>
      </c>
      <c r="D131" t="s">
        <v>170</v>
      </c>
      <c r="E131" t="s">
        <v>121</v>
      </c>
      <c r="F131" t="s">
        <v>51</v>
      </c>
      <c r="G131" t="s">
        <v>168</v>
      </c>
      <c r="H131" s="6">
        <v>0</v>
      </c>
      <c r="I131" s="6">
        <v>95000</v>
      </c>
      <c r="J131" s="6">
        <v>-95000</v>
      </c>
    </row>
    <row r="132" spans="1:10">
      <c r="A132" t="s">
        <v>264</v>
      </c>
      <c r="B132" s="5">
        <v>45352</v>
      </c>
      <c r="C132" t="s">
        <v>169</v>
      </c>
      <c r="D132" t="s">
        <v>170</v>
      </c>
      <c r="E132" t="s">
        <v>121</v>
      </c>
      <c r="F132" t="s">
        <v>51</v>
      </c>
      <c r="G132" t="s">
        <v>172</v>
      </c>
      <c r="H132" s="6">
        <v>95000</v>
      </c>
      <c r="I132" s="6">
        <v>0</v>
      </c>
      <c r="J132" s="6">
        <v>95000</v>
      </c>
    </row>
    <row r="133" spans="1:10">
      <c r="A133" t="s">
        <v>264</v>
      </c>
      <c r="B133" s="5">
        <v>45352</v>
      </c>
      <c r="C133" t="s">
        <v>173</v>
      </c>
      <c r="D133" t="s">
        <v>174</v>
      </c>
      <c r="E133" t="s">
        <v>120</v>
      </c>
      <c r="F133" t="s">
        <v>51</v>
      </c>
      <c r="G133" t="s">
        <v>172</v>
      </c>
      <c r="H133" s="6">
        <v>0</v>
      </c>
      <c r="I133" s="6">
        <v>95000</v>
      </c>
      <c r="J133" s="6">
        <v>-95000</v>
      </c>
    </row>
    <row r="134" spans="1:10">
      <c r="A134" t="s">
        <v>265</v>
      </c>
      <c r="B134" s="5">
        <v>45352</v>
      </c>
      <c r="C134" t="s">
        <v>176</v>
      </c>
      <c r="D134" t="s">
        <v>52</v>
      </c>
      <c r="E134" t="s">
        <v>150</v>
      </c>
      <c r="F134" t="s">
        <v>52</v>
      </c>
      <c r="G134" t="s">
        <v>177</v>
      </c>
      <c r="H134" s="6">
        <v>41009.46</v>
      </c>
      <c r="I134" s="6">
        <v>0</v>
      </c>
      <c r="J134" s="6">
        <v>41009.46</v>
      </c>
    </row>
    <row r="135" spans="1:10">
      <c r="A135" t="s">
        <v>265</v>
      </c>
      <c r="B135" s="5">
        <v>45352</v>
      </c>
      <c r="C135" t="s">
        <v>173</v>
      </c>
      <c r="D135" t="s">
        <v>174</v>
      </c>
      <c r="E135" t="s">
        <v>120</v>
      </c>
      <c r="F135" t="s">
        <v>52</v>
      </c>
      <c r="G135" t="s">
        <v>177</v>
      </c>
      <c r="H135" s="6">
        <v>0</v>
      </c>
      <c r="I135" s="6">
        <v>41009.46</v>
      </c>
      <c r="J135" s="6">
        <v>-41009.46</v>
      </c>
    </row>
    <row r="136" spans="1:10">
      <c r="A136" t="s">
        <v>266</v>
      </c>
      <c r="B136" s="5">
        <v>45352</v>
      </c>
      <c r="C136" t="s">
        <v>179</v>
      </c>
      <c r="D136" t="s">
        <v>54</v>
      </c>
      <c r="E136" t="s">
        <v>150</v>
      </c>
      <c r="F136" t="s">
        <v>54</v>
      </c>
      <c r="G136" t="s">
        <v>177</v>
      </c>
      <c r="H136" s="6">
        <v>32000</v>
      </c>
      <c r="I136" s="6">
        <v>0</v>
      </c>
      <c r="J136" s="6">
        <v>32000</v>
      </c>
    </row>
    <row r="137" spans="1:10">
      <c r="A137" t="s">
        <v>266</v>
      </c>
      <c r="B137" s="5">
        <v>45352</v>
      </c>
      <c r="C137" t="s">
        <v>173</v>
      </c>
      <c r="D137" t="s">
        <v>174</v>
      </c>
      <c r="E137" t="s">
        <v>120</v>
      </c>
      <c r="F137" t="s">
        <v>54</v>
      </c>
      <c r="G137" t="s">
        <v>177</v>
      </c>
      <c r="H137" s="6">
        <v>0</v>
      </c>
      <c r="I137" s="6">
        <v>32000</v>
      </c>
      <c r="J137" s="6">
        <v>-32000</v>
      </c>
    </row>
    <row r="138" spans="1:10">
      <c r="A138" t="s">
        <v>267</v>
      </c>
      <c r="B138" s="5">
        <v>45352</v>
      </c>
      <c r="C138" t="s">
        <v>181</v>
      </c>
      <c r="D138" t="s">
        <v>56</v>
      </c>
      <c r="E138" t="s">
        <v>150</v>
      </c>
      <c r="F138" t="s">
        <v>56</v>
      </c>
      <c r="G138" t="s">
        <v>177</v>
      </c>
      <c r="H138" s="6">
        <v>18000</v>
      </c>
      <c r="I138" s="6">
        <v>0</v>
      </c>
      <c r="J138" s="6">
        <v>18000</v>
      </c>
    </row>
    <row r="139" spans="1:10">
      <c r="A139" t="s">
        <v>267</v>
      </c>
      <c r="B139" s="5">
        <v>45352</v>
      </c>
      <c r="C139" t="s">
        <v>173</v>
      </c>
      <c r="D139" t="s">
        <v>174</v>
      </c>
      <c r="E139" t="s">
        <v>120</v>
      </c>
      <c r="F139" t="s">
        <v>56</v>
      </c>
      <c r="G139" t="s">
        <v>177</v>
      </c>
      <c r="H139" s="6">
        <v>0</v>
      </c>
      <c r="I139" s="6">
        <v>18000</v>
      </c>
      <c r="J139" s="6">
        <v>-18000</v>
      </c>
    </row>
    <row r="140" spans="1:10">
      <c r="A140" t="s">
        <v>268</v>
      </c>
      <c r="B140" s="5">
        <v>45352</v>
      </c>
      <c r="C140" t="s">
        <v>183</v>
      </c>
      <c r="D140" t="s">
        <v>59</v>
      </c>
      <c r="E140" t="s">
        <v>150</v>
      </c>
      <c r="F140" t="s">
        <v>66</v>
      </c>
      <c r="G140" t="s">
        <v>177</v>
      </c>
      <c r="H140" s="6">
        <v>25061.33</v>
      </c>
      <c r="I140" s="6">
        <v>0</v>
      </c>
      <c r="J140" s="6">
        <v>25061.33</v>
      </c>
    </row>
    <row r="141" spans="1:10">
      <c r="A141" t="s">
        <v>268</v>
      </c>
      <c r="B141" s="5">
        <v>45352</v>
      </c>
      <c r="C141" t="s">
        <v>173</v>
      </c>
      <c r="D141" t="s">
        <v>174</v>
      </c>
      <c r="E141" t="s">
        <v>120</v>
      </c>
      <c r="F141" t="s">
        <v>66</v>
      </c>
      <c r="G141" t="s">
        <v>177</v>
      </c>
      <c r="H141" s="6">
        <v>0</v>
      </c>
      <c r="I141" s="6">
        <v>25061.33</v>
      </c>
      <c r="J141" s="6">
        <v>-25061.33</v>
      </c>
    </row>
    <row r="142" spans="1:10">
      <c r="A142" t="s">
        <v>269</v>
      </c>
      <c r="B142" s="5">
        <v>45352</v>
      </c>
      <c r="C142" t="s">
        <v>185</v>
      </c>
      <c r="D142" t="s">
        <v>186</v>
      </c>
      <c r="E142" t="s">
        <v>150</v>
      </c>
      <c r="F142" t="s">
        <v>154</v>
      </c>
      <c r="G142" t="s">
        <v>187</v>
      </c>
      <c r="H142" s="6">
        <v>15360</v>
      </c>
      <c r="I142" s="6">
        <v>0</v>
      </c>
      <c r="J142" s="6">
        <v>15360</v>
      </c>
    </row>
    <row r="143" spans="1:10">
      <c r="A143" t="s">
        <v>269</v>
      </c>
      <c r="B143" s="5">
        <v>45352</v>
      </c>
      <c r="C143" t="s">
        <v>188</v>
      </c>
      <c r="D143" t="s">
        <v>189</v>
      </c>
      <c r="E143" t="s">
        <v>120</v>
      </c>
      <c r="F143" t="s">
        <v>154</v>
      </c>
      <c r="G143" t="s">
        <v>187</v>
      </c>
      <c r="H143" s="6">
        <v>0</v>
      </c>
      <c r="I143" s="6">
        <v>15360</v>
      </c>
      <c r="J143" s="6">
        <v>-15360</v>
      </c>
    </row>
    <row r="144" spans="1:10">
      <c r="A144" t="s">
        <v>270</v>
      </c>
      <c r="B144" s="5">
        <v>45352</v>
      </c>
      <c r="C144" t="s">
        <v>191</v>
      </c>
      <c r="D144" t="s">
        <v>104</v>
      </c>
      <c r="E144" t="s">
        <v>150</v>
      </c>
      <c r="F144" t="s">
        <v>154</v>
      </c>
      <c r="G144" t="s">
        <v>192</v>
      </c>
      <c r="H144" s="6">
        <v>9168</v>
      </c>
      <c r="I144" s="6">
        <v>0</v>
      </c>
      <c r="J144" s="6">
        <v>9168</v>
      </c>
    </row>
    <row r="145" spans="1:10">
      <c r="A145" t="s">
        <v>270</v>
      </c>
      <c r="B145" s="5">
        <v>45352</v>
      </c>
      <c r="C145" t="s">
        <v>173</v>
      </c>
      <c r="D145" t="s">
        <v>174</v>
      </c>
      <c r="E145" t="s">
        <v>120</v>
      </c>
      <c r="F145" t="s">
        <v>154</v>
      </c>
      <c r="G145" t="s">
        <v>192</v>
      </c>
      <c r="H145" s="6">
        <v>0</v>
      </c>
      <c r="I145" s="6">
        <v>9168</v>
      </c>
      <c r="J145" s="6">
        <v>-9168</v>
      </c>
    </row>
    <row r="146" spans="1:10">
      <c r="A146" t="s">
        <v>271</v>
      </c>
      <c r="B146" s="5">
        <v>45352</v>
      </c>
      <c r="C146" t="s">
        <v>194</v>
      </c>
      <c r="D146" t="s">
        <v>195</v>
      </c>
      <c r="E146" t="s">
        <v>150</v>
      </c>
      <c r="F146" t="s">
        <v>154</v>
      </c>
      <c r="G146" t="s">
        <v>196</v>
      </c>
      <c r="H146" s="6">
        <v>18324.25549400002</v>
      </c>
      <c r="I146" s="6">
        <v>0</v>
      </c>
      <c r="J146" s="6">
        <v>18324.25549400002</v>
      </c>
    </row>
    <row r="147" spans="1:10">
      <c r="A147" t="s">
        <v>271</v>
      </c>
      <c r="B147" s="5">
        <v>45352</v>
      </c>
      <c r="C147" t="s">
        <v>197</v>
      </c>
      <c r="D147" t="s">
        <v>198</v>
      </c>
      <c r="E147" t="s">
        <v>121</v>
      </c>
      <c r="F147" t="s">
        <v>154</v>
      </c>
      <c r="G147" t="s">
        <v>196</v>
      </c>
      <c r="H147" s="6">
        <v>0</v>
      </c>
      <c r="I147" s="6">
        <v>18324.25549400002</v>
      </c>
      <c r="J147" s="6">
        <v>-18324.25549400002</v>
      </c>
    </row>
    <row r="148" spans="1:10">
      <c r="A148" t="s">
        <v>272</v>
      </c>
      <c r="B148" s="5">
        <v>45352</v>
      </c>
      <c r="C148" t="s">
        <v>173</v>
      </c>
      <c r="D148" t="s">
        <v>174</v>
      </c>
      <c r="E148" t="s">
        <v>120</v>
      </c>
      <c r="F148" t="s">
        <v>154</v>
      </c>
      <c r="G148" t="s">
        <v>200</v>
      </c>
      <c r="H148" s="6">
        <v>917691.4600000002</v>
      </c>
      <c r="I148" s="6">
        <v>0</v>
      </c>
      <c r="J148" s="6">
        <v>917691.4600000002</v>
      </c>
    </row>
    <row r="149" spans="1:10">
      <c r="A149" t="s">
        <v>272</v>
      </c>
      <c r="B149" s="5">
        <v>45352</v>
      </c>
      <c r="C149" t="s">
        <v>146</v>
      </c>
      <c r="D149" t="s">
        <v>86</v>
      </c>
      <c r="E149" t="s">
        <v>120</v>
      </c>
      <c r="F149" t="s">
        <v>154</v>
      </c>
      <c r="G149" t="s">
        <v>200</v>
      </c>
      <c r="H149" s="6">
        <v>0</v>
      </c>
      <c r="I149" s="6">
        <v>917691.4600000002</v>
      </c>
      <c r="J149" s="6">
        <v>-917691.4600000002</v>
      </c>
    </row>
    <row r="150" spans="1:10">
      <c r="A150" t="s">
        <v>273</v>
      </c>
      <c r="B150" s="5">
        <v>45352</v>
      </c>
      <c r="C150" t="s">
        <v>162</v>
      </c>
      <c r="D150" t="s">
        <v>88</v>
      </c>
      <c r="E150" t="s">
        <v>121</v>
      </c>
      <c r="F150" t="s">
        <v>154</v>
      </c>
      <c r="G150" t="s">
        <v>202</v>
      </c>
      <c r="H150" s="6">
        <v>793060.6666666666</v>
      </c>
      <c r="I150" s="6">
        <v>0</v>
      </c>
      <c r="J150" s="6">
        <v>793060.6666666666</v>
      </c>
    </row>
    <row r="151" spans="1:10">
      <c r="A151" t="s">
        <v>273</v>
      </c>
      <c r="B151" s="5">
        <v>45352</v>
      </c>
      <c r="C151" t="s">
        <v>173</v>
      </c>
      <c r="D151" t="s">
        <v>174</v>
      </c>
      <c r="E151" t="s">
        <v>120</v>
      </c>
      <c r="F151" t="s">
        <v>154</v>
      </c>
      <c r="G151" t="s">
        <v>202</v>
      </c>
      <c r="H151" s="6">
        <v>0</v>
      </c>
      <c r="I151" s="6">
        <v>793060.6666666666</v>
      </c>
      <c r="J151" s="6">
        <v>-793060.6666666666</v>
      </c>
    </row>
    <row r="152" spans="1:10">
      <c r="A152" t="s">
        <v>274</v>
      </c>
      <c r="B152" s="5">
        <v>45352</v>
      </c>
      <c r="C152" t="s">
        <v>156</v>
      </c>
      <c r="D152" t="s">
        <v>157</v>
      </c>
      <c r="E152" t="s">
        <v>121</v>
      </c>
      <c r="F152" t="s">
        <v>154</v>
      </c>
      <c r="G152" t="s">
        <v>204</v>
      </c>
      <c r="H152" s="6">
        <v>82709.80080000001</v>
      </c>
      <c r="I152" s="6">
        <v>0</v>
      </c>
      <c r="J152" s="6">
        <v>82709.80080000001</v>
      </c>
    </row>
    <row r="153" spans="1:10">
      <c r="A153" t="s">
        <v>274</v>
      </c>
      <c r="B153" s="5">
        <v>45352</v>
      </c>
      <c r="C153" t="s">
        <v>173</v>
      </c>
      <c r="D153" t="s">
        <v>174</v>
      </c>
      <c r="E153" t="s">
        <v>120</v>
      </c>
      <c r="F153" t="s">
        <v>154</v>
      </c>
      <c r="G153" t="s">
        <v>204</v>
      </c>
      <c r="H153" s="6">
        <v>0</v>
      </c>
      <c r="I153" s="6">
        <v>82709.80080000001</v>
      </c>
      <c r="J153" s="6">
        <v>-82709.80080000001</v>
      </c>
    </row>
    <row r="154" spans="1:10">
      <c r="A154" t="s">
        <v>275</v>
      </c>
      <c r="B154" s="5">
        <v>45352</v>
      </c>
      <c r="C154" t="s">
        <v>197</v>
      </c>
      <c r="D154" t="s">
        <v>198</v>
      </c>
      <c r="E154" t="s">
        <v>121</v>
      </c>
      <c r="F154" t="s">
        <v>154</v>
      </c>
      <c r="G154" t="s">
        <v>206</v>
      </c>
      <c r="H154" s="6">
        <v>7220.039128000008</v>
      </c>
      <c r="I154" s="6">
        <v>0</v>
      </c>
      <c r="J154" s="6">
        <v>7220.039128000008</v>
      </c>
    </row>
    <row r="155" spans="1:10">
      <c r="A155" t="s">
        <v>275</v>
      </c>
      <c r="B155" s="5">
        <v>45352</v>
      </c>
      <c r="C155" t="s">
        <v>173</v>
      </c>
      <c r="D155" t="s">
        <v>174</v>
      </c>
      <c r="E155" t="s">
        <v>120</v>
      </c>
      <c r="F155" t="s">
        <v>154</v>
      </c>
      <c r="G155" t="s">
        <v>206</v>
      </c>
      <c r="H155" s="6">
        <v>0</v>
      </c>
      <c r="I155" s="6">
        <v>7220.039128000008</v>
      </c>
      <c r="J155" s="6">
        <v>-7220.039128000008</v>
      </c>
    </row>
    <row r="156" spans="1:10">
      <c r="A156" t="s">
        <v>276</v>
      </c>
      <c r="B156" s="5">
        <v>45352</v>
      </c>
      <c r="C156" t="s">
        <v>208</v>
      </c>
      <c r="D156" t="s">
        <v>209</v>
      </c>
      <c r="E156" t="s">
        <v>120</v>
      </c>
      <c r="F156" t="s">
        <v>154</v>
      </c>
      <c r="G156" t="s">
        <v>210</v>
      </c>
      <c r="H156" s="6">
        <v>90000</v>
      </c>
      <c r="I156" s="6">
        <v>0</v>
      </c>
      <c r="J156" s="6">
        <v>90000</v>
      </c>
    </row>
    <row r="157" spans="1:10">
      <c r="A157" t="s">
        <v>276</v>
      </c>
      <c r="B157" s="5">
        <v>45352</v>
      </c>
      <c r="C157" t="s">
        <v>173</v>
      </c>
      <c r="D157" t="s">
        <v>174</v>
      </c>
      <c r="E157" t="s">
        <v>120</v>
      </c>
      <c r="F157" t="s">
        <v>154</v>
      </c>
      <c r="G157" t="s">
        <v>210</v>
      </c>
      <c r="H157" s="6">
        <v>0</v>
      </c>
      <c r="I157" s="6">
        <v>90000</v>
      </c>
      <c r="J157" s="6">
        <v>-90000</v>
      </c>
    </row>
    <row r="158" spans="1:10">
      <c r="A158" t="s">
        <v>277</v>
      </c>
      <c r="B158" s="5">
        <v>45352</v>
      </c>
      <c r="C158" t="s">
        <v>212</v>
      </c>
      <c r="D158" t="s">
        <v>213</v>
      </c>
      <c r="E158" t="s">
        <v>121</v>
      </c>
      <c r="F158" t="s">
        <v>154</v>
      </c>
      <c r="G158" t="s">
        <v>214</v>
      </c>
      <c r="H158" s="6">
        <v>18000</v>
      </c>
      <c r="I158" s="6">
        <v>0</v>
      </c>
      <c r="J158" s="6">
        <v>18000</v>
      </c>
    </row>
    <row r="159" spans="1:10">
      <c r="A159" t="s">
        <v>277</v>
      </c>
      <c r="B159" s="5">
        <v>45352</v>
      </c>
      <c r="C159" t="s">
        <v>173</v>
      </c>
      <c r="D159" t="s">
        <v>174</v>
      </c>
      <c r="E159" t="s">
        <v>120</v>
      </c>
      <c r="F159" t="s">
        <v>154</v>
      </c>
      <c r="G159" t="s">
        <v>214</v>
      </c>
      <c r="H159" s="6">
        <v>0</v>
      </c>
      <c r="I159" s="6">
        <v>18000</v>
      </c>
      <c r="J159" s="6">
        <v>-18000</v>
      </c>
    </row>
    <row r="160" spans="1:10">
      <c r="A160" t="s">
        <v>278</v>
      </c>
      <c r="B160" s="5">
        <v>45352</v>
      </c>
      <c r="C160" t="s">
        <v>148</v>
      </c>
      <c r="D160" t="s">
        <v>149</v>
      </c>
      <c r="E160" t="s">
        <v>150</v>
      </c>
      <c r="F160" t="s">
        <v>154</v>
      </c>
      <c r="G160" t="s">
        <v>216</v>
      </c>
      <c r="H160" s="6">
        <v>1139151.54</v>
      </c>
      <c r="I160" s="6">
        <v>0</v>
      </c>
      <c r="J160" s="6">
        <v>1139151.54</v>
      </c>
    </row>
    <row r="161" spans="1:10">
      <c r="A161" t="s">
        <v>278</v>
      </c>
      <c r="B161" s="5">
        <v>45352</v>
      </c>
      <c r="C161" t="s">
        <v>217</v>
      </c>
      <c r="D161" t="s">
        <v>218</v>
      </c>
      <c r="E161" t="s">
        <v>122</v>
      </c>
      <c r="F161" t="s">
        <v>154</v>
      </c>
      <c r="G161" t="s">
        <v>216</v>
      </c>
      <c r="H161" s="6">
        <v>0</v>
      </c>
      <c r="I161" s="6">
        <v>1139151.54</v>
      </c>
      <c r="J161" s="6">
        <v>-1139151.54</v>
      </c>
    </row>
    <row r="162" spans="1:10">
      <c r="A162" t="s">
        <v>279</v>
      </c>
      <c r="B162" s="5">
        <v>45352</v>
      </c>
      <c r="C162" t="s">
        <v>217</v>
      </c>
      <c r="D162" t="s">
        <v>218</v>
      </c>
      <c r="E162" t="s">
        <v>122</v>
      </c>
      <c r="F162" t="s">
        <v>154</v>
      </c>
      <c r="G162" t="s">
        <v>216</v>
      </c>
      <c r="H162" s="6">
        <v>96827.8809</v>
      </c>
      <c r="I162" s="6">
        <v>0</v>
      </c>
      <c r="J162" s="6">
        <v>96827.8809</v>
      </c>
    </row>
    <row r="163" spans="1:10">
      <c r="A163" t="s">
        <v>279</v>
      </c>
      <c r="B163" s="5">
        <v>45352</v>
      </c>
      <c r="C163" t="s">
        <v>152</v>
      </c>
      <c r="D163" t="s">
        <v>153</v>
      </c>
      <c r="E163" t="s">
        <v>150</v>
      </c>
      <c r="F163" t="s">
        <v>154</v>
      </c>
      <c r="G163" t="s">
        <v>216</v>
      </c>
      <c r="H163" s="6">
        <v>0</v>
      </c>
      <c r="I163" s="6">
        <v>96827.8809</v>
      </c>
      <c r="J163" s="6">
        <v>-96827.8809</v>
      </c>
    </row>
    <row r="164" spans="1:10">
      <c r="A164" t="s">
        <v>280</v>
      </c>
      <c r="B164" s="5">
        <v>45352</v>
      </c>
      <c r="C164" t="s">
        <v>217</v>
      </c>
      <c r="D164" t="s">
        <v>218</v>
      </c>
      <c r="E164" t="s">
        <v>122</v>
      </c>
      <c r="F164" t="s">
        <v>154</v>
      </c>
      <c r="G164" t="s">
        <v>216</v>
      </c>
      <c r="H164" s="6">
        <v>752830</v>
      </c>
      <c r="I164" s="6">
        <v>0</v>
      </c>
      <c r="J164" s="6">
        <v>752830</v>
      </c>
    </row>
    <row r="165" spans="1:10">
      <c r="A165" t="s">
        <v>280</v>
      </c>
      <c r="B165" s="5">
        <v>45352</v>
      </c>
      <c r="C165" t="s">
        <v>164</v>
      </c>
      <c r="D165" t="s">
        <v>36</v>
      </c>
      <c r="E165" t="s">
        <v>150</v>
      </c>
      <c r="F165" t="s">
        <v>154</v>
      </c>
      <c r="G165" t="s">
        <v>216</v>
      </c>
      <c r="H165" s="6">
        <v>0</v>
      </c>
      <c r="I165" s="6">
        <v>752830</v>
      </c>
      <c r="J165" s="6">
        <v>-752830</v>
      </c>
    </row>
    <row r="166" spans="1:10">
      <c r="A166" t="s">
        <v>281</v>
      </c>
      <c r="B166" s="5">
        <v>45352</v>
      </c>
      <c r="C166" t="s">
        <v>217</v>
      </c>
      <c r="D166" t="s">
        <v>218</v>
      </c>
      <c r="E166" t="s">
        <v>122</v>
      </c>
      <c r="F166" t="s">
        <v>154</v>
      </c>
      <c r="G166" t="s">
        <v>216</v>
      </c>
      <c r="H166" s="6">
        <v>95000</v>
      </c>
      <c r="I166" s="6">
        <v>0</v>
      </c>
      <c r="J166" s="6">
        <v>95000</v>
      </c>
    </row>
    <row r="167" spans="1:10">
      <c r="A167" t="s">
        <v>281</v>
      </c>
      <c r="B167" s="5">
        <v>45352</v>
      </c>
      <c r="C167" t="s">
        <v>167</v>
      </c>
      <c r="D167" t="s">
        <v>51</v>
      </c>
      <c r="E167" t="s">
        <v>150</v>
      </c>
      <c r="F167" t="s">
        <v>154</v>
      </c>
      <c r="G167" t="s">
        <v>216</v>
      </c>
      <c r="H167" s="6">
        <v>0</v>
      </c>
      <c r="I167" s="6">
        <v>95000</v>
      </c>
      <c r="J167" s="6">
        <v>-95000</v>
      </c>
    </row>
    <row r="168" spans="1:10">
      <c r="A168" t="s">
        <v>282</v>
      </c>
      <c r="B168" s="5">
        <v>45352</v>
      </c>
      <c r="C168" t="s">
        <v>217</v>
      </c>
      <c r="D168" t="s">
        <v>218</v>
      </c>
      <c r="E168" t="s">
        <v>122</v>
      </c>
      <c r="F168" t="s">
        <v>154</v>
      </c>
      <c r="G168" t="s">
        <v>216</v>
      </c>
      <c r="H168" s="6">
        <v>41009.46</v>
      </c>
      <c r="I168" s="6">
        <v>0</v>
      </c>
      <c r="J168" s="6">
        <v>41009.46</v>
      </c>
    </row>
    <row r="169" spans="1:10">
      <c r="A169" t="s">
        <v>282</v>
      </c>
      <c r="B169" s="5">
        <v>45352</v>
      </c>
      <c r="C169" t="s">
        <v>176</v>
      </c>
      <c r="D169" t="s">
        <v>52</v>
      </c>
      <c r="E169" t="s">
        <v>150</v>
      </c>
      <c r="F169" t="s">
        <v>154</v>
      </c>
      <c r="G169" t="s">
        <v>216</v>
      </c>
      <c r="H169" s="6">
        <v>0</v>
      </c>
      <c r="I169" s="6">
        <v>41009.46</v>
      </c>
      <c r="J169" s="6">
        <v>-41009.46</v>
      </c>
    </row>
    <row r="170" spans="1:10">
      <c r="A170" t="s">
        <v>283</v>
      </c>
      <c r="B170" s="5">
        <v>45352</v>
      </c>
      <c r="C170" t="s">
        <v>217</v>
      </c>
      <c r="D170" t="s">
        <v>218</v>
      </c>
      <c r="E170" t="s">
        <v>122</v>
      </c>
      <c r="F170" t="s">
        <v>154</v>
      </c>
      <c r="G170" t="s">
        <v>216</v>
      </c>
      <c r="H170" s="6">
        <v>32000</v>
      </c>
      <c r="I170" s="6">
        <v>0</v>
      </c>
      <c r="J170" s="6">
        <v>32000</v>
      </c>
    </row>
    <row r="171" spans="1:10">
      <c r="A171" t="s">
        <v>283</v>
      </c>
      <c r="B171" s="5">
        <v>45352</v>
      </c>
      <c r="C171" t="s">
        <v>179</v>
      </c>
      <c r="D171" t="s">
        <v>54</v>
      </c>
      <c r="E171" t="s">
        <v>150</v>
      </c>
      <c r="F171" t="s">
        <v>154</v>
      </c>
      <c r="G171" t="s">
        <v>216</v>
      </c>
      <c r="H171" s="6">
        <v>0</v>
      </c>
      <c r="I171" s="6">
        <v>32000</v>
      </c>
      <c r="J171" s="6">
        <v>-32000</v>
      </c>
    </row>
    <row r="172" spans="1:10">
      <c r="A172" t="s">
        <v>284</v>
      </c>
      <c r="B172" s="5">
        <v>45352</v>
      </c>
      <c r="C172" t="s">
        <v>217</v>
      </c>
      <c r="D172" t="s">
        <v>218</v>
      </c>
      <c r="E172" t="s">
        <v>122</v>
      </c>
      <c r="F172" t="s">
        <v>154</v>
      </c>
      <c r="G172" t="s">
        <v>216</v>
      </c>
      <c r="H172" s="6">
        <v>18000</v>
      </c>
      <c r="I172" s="6">
        <v>0</v>
      </c>
      <c r="J172" s="6">
        <v>18000</v>
      </c>
    </row>
    <row r="173" spans="1:10">
      <c r="A173" t="s">
        <v>284</v>
      </c>
      <c r="B173" s="5">
        <v>45352</v>
      </c>
      <c r="C173" t="s">
        <v>181</v>
      </c>
      <c r="D173" t="s">
        <v>56</v>
      </c>
      <c r="E173" t="s">
        <v>150</v>
      </c>
      <c r="F173" t="s">
        <v>154</v>
      </c>
      <c r="G173" t="s">
        <v>216</v>
      </c>
      <c r="H173" s="6">
        <v>0</v>
      </c>
      <c r="I173" s="6">
        <v>18000</v>
      </c>
      <c r="J173" s="6">
        <v>-18000</v>
      </c>
    </row>
    <row r="174" spans="1:10">
      <c r="A174" t="s">
        <v>285</v>
      </c>
      <c r="B174" s="5">
        <v>45352</v>
      </c>
      <c r="C174" t="s">
        <v>217</v>
      </c>
      <c r="D174" t="s">
        <v>218</v>
      </c>
      <c r="E174" t="s">
        <v>122</v>
      </c>
      <c r="F174" t="s">
        <v>154</v>
      </c>
      <c r="G174" t="s">
        <v>216</v>
      </c>
      <c r="H174" s="6">
        <v>25061.33</v>
      </c>
      <c r="I174" s="6">
        <v>0</v>
      </c>
      <c r="J174" s="6">
        <v>25061.33</v>
      </c>
    </row>
    <row r="175" spans="1:10">
      <c r="A175" t="s">
        <v>285</v>
      </c>
      <c r="B175" s="5">
        <v>45352</v>
      </c>
      <c r="C175" t="s">
        <v>183</v>
      </c>
      <c r="D175" t="s">
        <v>59</v>
      </c>
      <c r="E175" t="s">
        <v>150</v>
      </c>
      <c r="F175" t="s">
        <v>154</v>
      </c>
      <c r="G175" t="s">
        <v>216</v>
      </c>
      <c r="H175" s="6">
        <v>0</v>
      </c>
      <c r="I175" s="6">
        <v>25061.33</v>
      </c>
      <c r="J175" s="6">
        <v>-25061.33</v>
      </c>
    </row>
    <row r="176" spans="1:10">
      <c r="A176" t="s">
        <v>286</v>
      </c>
      <c r="B176" s="5">
        <v>45352</v>
      </c>
      <c r="C176" t="s">
        <v>217</v>
      </c>
      <c r="D176" t="s">
        <v>218</v>
      </c>
      <c r="E176" t="s">
        <v>122</v>
      </c>
      <c r="F176" t="s">
        <v>154</v>
      </c>
      <c r="G176" t="s">
        <v>216</v>
      </c>
      <c r="H176" s="6">
        <v>15360</v>
      </c>
      <c r="I176" s="6">
        <v>0</v>
      </c>
      <c r="J176" s="6">
        <v>15360</v>
      </c>
    </row>
    <row r="177" spans="1:10">
      <c r="A177" t="s">
        <v>286</v>
      </c>
      <c r="B177" s="5">
        <v>45352</v>
      </c>
      <c r="C177" t="s">
        <v>185</v>
      </c>
      <c r="D177" t="s">
        <v>186</v>
      </c>
      <c r="E177" t="s">
        <v>150</v>
      </c>
      <c r="F177" t="s">
        <v>154</v>
      </c>
      <c r="G177" t="s">
        <v>216</v>
      </c>
      <c r="H177" s="6">
        <v>0</v>
      </c>
      <c r="I177" s="6">
        <v>15360</v>
      </c>
      <c r="J177" s="6">
        <v>-15360</v>
      </c>
    </row>
    <row r="178" spans="1:10">
      <c r="A178" t="s">
        <v>287</v>
      </c>
      <c r="B178" s="5">
        <v>45352</v>
      </c>
      <c r="C178" t="s">
        <v>217</v>
      </c>
      <c r="D178" t="s">
        <v>218</v>
      </c>
      <c r="E178" t="s">
        <v>122</v>
      </c>
      <c r="F178" t="s">
        <v>154</v>
      </c>
      <c r="G178" t="s">
        <v>216</v>
      </c>
      <c r="H178" s="6">
        <v>9168</v>
      </c>
      <c r="I178" s="6">
        <v>0</v>
      </c>
      <c r="J178" s="6">
        <v>9168</v>
      </c>
    </row>
    <row r="179" spans="1:10">
      <c r="A179" t="s">
        <v>287</v>
      </c>
      <c r="B179" s="5">
        <v>45352</v>
      </c>
      <c r="C179" t="s">
        <v>191</v>
      </c>
      <c r="D179" t="s">
        <v>104</v>
      </c>
      <c r="E179" t="s">
        <v>150</v>
      </c>
      <c r="F179" t="s">
        <v>154</v>
      </c>
      <c r="G179" t="s">
        <v>216</v>
      </c>
      <c r="H179" s="6">
        <v>0</v>
      </c>
      <c r="I179" s="6">
        <v>9168</v>
      </c>
      <c r="J179" s="6">
        <v>-9168</v>
      </c>
    </row>
    <row r="180" spans="1:10">
      <c r="A180" t="s">
        <v>288</v>
      </c>
      <c r="B180" s="5">
        <v>45352</v>
      </c>
      <c r="C180" t="s">
        <v>217</v>
      </c>
      <c r="D180" t="s">
        <v>218</v>
      </c>
      <c r="E180" t="s">
        <v>122</v>
      </c>
      <c r="F180" t="s">
        <v>154</v>
      </c>
      <c r="G180" t="s">
        <v>216</v>
      </c>
      <c r="H180" s="6">
        <v>18324.25549400002</v>
      </c>
      <c r="I180" s="6">
        <v>0</v>
      </c>
      <c r="J180" s="6">
        <v>18324.25549400002</v>
      </c>
    </row>
    <row r="181" spans="1:10">
      <c r="A181" t="s">
        <v>288</v>
      </c>
      <c r="B181" s="5">
        <v>45352</v>
      </c>
      <c r="C181" t="s">
        <v>194</v>
      </c>
      <c r="D181" t="s">
        <v>195</v>
      </c>
      <c r="E181" t="s">
        <v>150</v>
      </c>
      <c r="F181" t="s">
        <v>154</v>
      </c>
      <c r="G181" t="s">
        <v>216</v>
      </c>
      <c r="H181" s="6">
        <v>0</v>
      </c>
      <c r="I181" s="6">
        <v>18324.25549400002</v>
      </c>
      <c r="J181" s="6">
        <v>-18324.25549400002</v>
      </c>
    </row>
    <row r="182" spans="1:10">
      <c r="A182" t="s">
        <v>289</v>
      </c>
      <c r="B182" s="5">
        <v>45383</v>
      </c>
      <c r="C182" t="s">
        <v>146</v>
      </c>
      <c r="D182" t="s">
        <v>86</v>
      </c>
      <c r="E182" t="s">
        <v>120</v>
      </c>
      <c r="F182" t="s">
        <v>52</v>
      </c>
      <c r="G182" t="s">
        <v>147</v>
      </c>
      <c r="H182" s="6">
        <v>1139818.88</v>
      </c>
      <c r="I182" s="6">
        <v>0</v>
      </c>
      <c r="J182" s="6">
        <v>1139818.88</v>
      </c>
    </row>
    <row r="183" spans="1:10">
      <c r="A183" t="s">
        <v>289</v>
      </c>
      <c r="B183" s="5">
        <v>45383</v>
      </c>
      <c r="C183" t="s">
        <v>148</v>
      </c>
      <c r="D183" t="s">
        <v>149</v>
      </c>
      <c r="E183" t="s">
        <v>150</v>
      </c>
      <c r="F183" t="s">
        <v>52</v>
      </c>
      <c r="G183" t="s">
        <v>147</v>
      </c>
      <c r="H183" s="6">
        <v>0</v>
      </c>
      <c r="I183" s="6">
        <v>1139818.88</v>
      </c>
      <c r="J183" s="6">
        <v>-1139818.88</v>
      </c>
    </row>
    <row r="184" spans="1:10">
      <c r="A184" t="s">
        <v>290</v>
      </c>
      <c r="B184" s="5">
        <v>45383</v>
      </c>
      <c r="C184" t="s">
        <v>152</v>
      </c>
      <c r="D184" t="s">
        <v>153</v>
      </c>
      <c r="E184" t="s">
        <v>150</v>
      </c>
      <c r="F184" t="s">
        <v>154</v>
      </c>
      <c r="G184" t="s">
        <v>155</v>
      </c>
      <c r="H184" s="6">
        <v>96884.6048</v>
      </c>
      <c r="I184" s="6">
        <v>0</v>
      </c>
      <c r="J184" s="6">
        <v>96884.6048</v>
      </c>
    </row>
    <row r="185" spans="1:10">
      <c r="A185" t="s">
        <v>290</v>
      </c>
      <c r="B185" s="5">
        <v>45383</v>
      </c>
      <c r="C185" t="s">
        <v>156</v>
      </c>
      <c r="D185" t="s">
        <v>157</v>
      </c>
      <c r="E185" t="s">
        <v>121</v>
      </c>
      <c r="F185" t="s">
        <v>154</v>
      </c>
      <c r="G185" t="s">
        <v>155</v>
      </c>
      <c r="H185" s="6">
        <v>0</v>
      </c>
      <c r="I185" s="6">
        <v>96884.6048</v>
      </c>
      <c r="J185" s="6">
        <v>-96884.6048</v>
      </c>
    </row>
    <row r="186" spans="1:10">
      <c r="A186" t="s">
        <v>291</v>
      </c>
      <c r="B186" s="5">
        <v>45383</v>
      </c>
      <c r="C186" t="s">
        <v>159</v>
      </c>
      <c r="D186" t="s">
        <v>160</v>
      </c>
      <c r="E186" t="s">
        <v>120</v>
      </c>
      <c r="F186" t="s">
        <v>58</v>
      </c>
      <c r="G186" t="s">
        <v>161</v>
      </c>
      <c r="H186" s="6">
        <v>755642</v>
      </c>
      <c r="I186" s="6">
        <v>0</v>
      </c>
      <c r="J186" s="6">
        <v>755642</v>
      </c>
    </row>
    <row r="187" spans="1:10">
      <c r="A187" t="s">
        <v>291</v>
      </c>
      <c r="B187" s="5">
        <v>45383</v>
      </c>
      <c r="C187" t="s">
        <v>162</v>
      </c>
      <c r="D187" t="s">
        <v>88</v>
      </c>
      <c r="E187" t="s">
        <v>121</v>
      </c>
      <c r="F187" t="s">
        <v>58</v>
      </c>
      <c r="G187" t="s">
        <v>161</v>
      </c>
      <c r="H187" s="6">
        <v>0</v>
      </c>
      <c r="I187" s="6">
        <v>755642</v>
      </c>
      <c r="J187" s="6">
        <v>-755642</v>
      </c>
    </row>
    <row r="188" spans="1:10">
      <c r="A188" t="s">
        <v>292</v>
      </c>
      <c r="B188" s="5">
        <v>45383</v>
      </c>
      <c r="C188" t="s">
        <v>164</v>
      </c>
      <c r="D188" t="s">
        <v>36</v>
      </c>
      <c r="E188" t="s">
        <v>150</v>
      </c>
      <c r="F188" t="s">
        <v>58</v>
      </c>
      <c r="G188" t="s">
        <v>165</v>
      </c>
      <c r="H188" s="6">
        <v>753940</v>
      </c>
      <c r="I188" s="6">
        <v>0</v>
      </c>
      <c r="J188" s="6">
        <v>753940</v>
      </c>
    </row>
    <row r="189" spans="1:10">
      <c r="A189" t="s">
        <v>292</v>
      </c>
      <c r="B189" s="5">
        <v>45383</v>
      </c>
      <c r="C189" t="s">
        <v>159</v>
      </c>
      <c r="D189" t="s">
        <v>160</v>
      </c>
      <c r="E189" t="s">
        <v>120</v>
      </c>
      <c r="F189" t="s">
        <v>58</v>
      </c>
      <c r="G189" t="s">
        <v>165</v>
      </c>
      <c r="H189" s="6">
        <v>0</v>
      </c>
      <c r="I189" s="6">
        <v>753940</v>
      </c>
      <c r="J189" s="6">
        <v>-753940</v>
      </c>
    </row>
    <row r="190" spans="1:10">
      <c r="A190" t="s">
        <v>293</v>
      </c>
      <c r="B190" s="5">
        <v>45383</v>
      </c>
      <c r="C190" t="s">
        <v>167</v>
      </c>
      <c r="D190" t="s">
        <v>51</v>
      </c>
      <c r="E190" t="s">
        <v>150</v>
      </c>
      <c r="F190" t="s">
        <v>51</v>
      </c>
      <c r="G190" t="s">
        <v>168</v>
      </c>
      <c r="H190" s="6">
        <v>95000</v>
      </c>
      <c r="I190" s="6">
        <v>0</v>
      </c>
      <c r="J190" s="6">
        <v>95000</v>
      </c>
    </row>
    <row r="191" spans="1:10">
      <c r="A191" t="s">
        <v>293</v>
      </c>
      <c r="B191" s="5">
        <v>45383</v>
      </c>
      <c r="C191" t="s">
        <v>169</v>
      </c>
      <c r="D191" t="s">
        <v>170</v>
      </c>
      <c r="E191" t="s">
        <v>121</v>
      </c>
      <c r="F191" t="s">
        <v>51</v>
      </c>
      <c r="G191" t="s">
        <v>168</v>
      </c>
      <c r="H191" s="6">
        <v>0</v>
      </c>
      <c r="I191" s="6">
        <v>95000</v>
      </c>
      <c r="J191" s="6">
        <v>-95000</v>
      </c>
    </row>
    <row r="192" spans="1:10">
      <c r="A192" t="s">
        <v>294</v>
      </c>
      <c r="B192" s="5">
        <v>45383</v>
      </c>
      <c r="C192" t="s">
        <v>169</v>
      </c>
      <c r="D192" t="s">
        <v>170</v>
      </c>
      <c r="E192" t="s">
        <v>121</v>
      </c>
      <c r="F192" t="s">
        <v>51</v>
      </c>
      <c r="G192" t="s">
        <v>172</v>
      </c>
      <c r="H192" s="6">
        <v>95000</v>
      </c>
      <c r="I192" s="6">
        <v>0</v>
      </c>
      <c r="J192" s="6">
        <v>95000</v>
      </c>
    </row>
    <row r="193" spans="1:10">
      <c r="A193" t="s">
        <v>294</v>
      </c>
      <c r="B193" s="5">
        <v>45383</v>
      </c>
      <c r="C193" t="s">
        <v>173</v>
      </c>
      <c r="D193" t="s">
        <v>174</v>
      </c>
      <c r="E193" t="s">
        <v>120</v>
      </c>
      <c r="F193" t="s">
        <v>51</v>
      </c>
      <c r="G193" t="s">
        <v>172</v>
      </c>
      <c r="H193" s="6">
        <v>0</v>
      </c>
      <c r="I193" s="6">
        <v>95000</v>
      </c>
      <c r="J193" s="6">
        <v>-95000</v>
      </c>
    </row>
    <row r="194" spans="1:10">
      <c r="A194" t="s">
        <v>295</v>
      </c>
      <c r="B194" s="5">
        <v>45383</v>
      </c>
      <c r="C194" t="s">
        <v>176</v>
      </c>
      <c r="D194" t="s">
        <v>52</v>
      </c>
      <c r="E194" t="s">
        <v>150</v>
      </c>
      <c r="F194" t="s">
        <v>52</v>
      </c>
      <c r="G194" t="s">
        <v>177</v>
      </c>
      <c r="H194" s="6">
        <v>41033.48</v>
      </c>
      <c r="I194" s="6">
        <v>0</v>
      </c>
      <c r="J194" s="6">
        <v>41033.48</v>
      </c>
    </row>
    <row r="195" spans="1:10">
      <c r="A195" t="s">
        <v>295</v>
      </c>
      <c r="B195" s="5">
        <v>45383</v>
      </c>
      <c r="C195" t="s">
        <v>173</v>
      </c>
      <c r="D195" t="s">
        <v>174</v>
      </c>
      <c r="E195" t="s">
        <v>120</v>
      </c>
      <c r="F195" t="s">
        <v>52</v>
      </c>
      <c r="G195" t="s">
        <v>177</v>
      </c>
      <c r="H195" s="6">
        <v>0</v>
      </c>
      <c r="I195" s="6">
        <v>41033.48</v>
      </c>
      <c r="J195" s="6">
        <v>-41033.48</v>
      </c>
    </row>
    <row r="196" spans="1:10">
      <c r="A196" t="s">
        <v>296</v>
      </c>
      <c r="B196" s="5">
        <v>45383</v>
      </c>
      <c r="C196" t="s">
        <v>179</v>
      </c>
      <c r="D196" t="s">
        <v>54</v>
      </c>
      <c r="E196" t="s">
        <v>150</v>
      </c>
      <c r="F196" t="s">
        <v>54</v>
      </c>
      <c r="G196" t="s">
        <v>177</v>
      </c>
      <c r="H196" s="6">
        <v>32000</v>
      </c>
      <c r="I196" s="6">
        <v>0</v>
      </c>
      <c r="J196" s="6">
        <v>32000</v>
      </c>
    </row>
    <row r="197" spans="1:10">
      <c r="A197" t="s">
        <v>296</v>
      </c>
      <c r="B197" s="5">
        <v>45383</v>
      </c>
      <c r="C197" t="s">
        <v>173</v>
      </c>
      <c r="D197" t="s">
        <v>174</v>
      </c>
      <c r="E197" t="s">
        <v>120</v>
      </c>
      <c r="F197" t="s">
        <v>54</v>
      </c>
      <c r="G197" t="s">
        <v>177</v>
      </c>
      <c r="H197" s="6">
        <v>0</v>
      </c>
      <c r="I197" s="6">
        <v>32000</v>
      </c>
      <c r="J197" s="6">
        <v>-32000</v>
      </c>
    </row>
    <row r="198" spans="1:10">
      <c r="A198" t="s">
        <v>297</v>
      </c>
      <c r="B198" s="5">
        <v>45383</v>
      </c>
      <c r="C198" t="s">
        <v>181</v>
      </c>
      <c r="D198" t="s">
        <v>56</v>
      </c>
      <c r="E198" t="s">
        <v>150</v>
      </c>
      <c r="F198" t="s">
        <v>56</v>
      </c>
      <c r="G198" t="s">
        <v>177</v>
      </c>
      <c r="H198" s="6">
        <v>18000</v>
      </c>
      <c r="I198" s="6">
        <v>0</v>
      </c>
      <c r="J198" s="6">
        <v>18000</v>
      </c>
    </row>
    <row r="199" spans="1:10">
      <c r="A199" t="s">
        <v>297</v>
      </c>
      <c r="B199" s="5">
        <v>45383</v>
      </c>
      <c r="C199" t="s">
        <v>173</v>
      </c>
      <c r="D199" t="s">
        <v>174</v>
      </c>
      <c r="E199" t="s">
        <v>120</v>
      </c>
      <c r="F199" t="s">
        <v>56</v>
      </c>
      <c r="G199" t="s">
        <v>177</v>
      </c>
      <c r="H199" s="6">
        <v>0</v>
      </c>
      <c r="I199" s="6">
        <v>18000</v>
      </c>
      <c r="J199" s="6">
        <v>-18000</v>
      </c>
    </row>
    <row r="200" spans="1:10">
      <c r="A200" t="s">
        <v>298</v>
      </c>
      <c r="B200" s="5">
        <v>45383</v>
      </c>
      <c r="C200" t="s">
        <v>183</v>
      </c>
      <c r="D200" t="s">
        <v>59</v>
      </c>
      <c r="E200" t="s">
        <v>150</v>
      </c>
      <c r="F200" t="s">
        <v>66</v>
      </c>
      <c r="G200" t="s">
        <v>177</v>
      </c>
      <c r="H200" s="6">
        <v>25076.02</v>
      </c>
      <c r="I200" s="6">
        <v>0</v>
      </c>
      <c r="J200" s="6">
        <v>25076.02</v>
      </c>
    </row>
    <row r="201" spans="1:10">
      <c r="A201" t="s">
        <v>298</v>
      </c>
      <c r="B201" s="5">
        <v>45383</v>
      </c>
      <c r="C201" t="s">
        <v>173</v>
      </c>
      <c r="D201" t="s">
        <v>174</v>
      </c>
      <c r="E201" t="s">
        <v>120</v>
      </c>
      <c r="F201" t="s">
        <v>66</v>
      </c>
      <c r="G201" t="s">
        <v>177</v>
      </c>
      <c r="H201" s="6">
        <v>0</v>
      </c>
      <c r="I201" s="6">
        <v>25076.02</v>
      </c>
      <c r="J201" s="6">
        <v>-25076.02</v>
      </c>
    </row>
    <row r="202" spans="1:10">
      <c r="A202" t="s">
        <v>299</v>
      </c>
      <c r="B202" s="5">
        <v>45383</v>
      </c>
      <c r="C202" t="s">
        <v>185</v>
      </c>
      <c r="D202" t="s">
        <v>186</v>
      </c>
      <c r="E202" t="s">
        <v>150</v>
      </c>
      <c r="F202" t="s">
        <v>154</v>
      </c>
      <c r="G202" t="s">
        <v>187</v>
      </c>
      <c r="H202" s="6">
        <v>16260</v>
      </c>
      <c r="I202" s="6">
        <v>0</v>
      </c>
      <c r="J202" s="6">
        <v>16260</v>
      </c>
    </row>
    <row r="203" spans="1:10">
      <c r="A203" t="s">
        <v>299</v>
      </c>
      <c r="B203" s="5">
        <v>45383</v>
      </c>
      <c r="C203" t="s">
        <v>188</v>
      </c>
      <c r="D203" t="s">
        <v>189</v>
      </c>
      <c r="E203" t="s">
        <v>120</v>
      </c>
      <c r="F203" t="s">
        <v>154</v>
      </c>
      <c r="G203" t="s">
        <v>187</v>
      </c>
      <c r="H203" s="6">
        <v>0</v>
      </c>
      <c r="I203" s="6">
        <v>16260</v>
      </c>
      <c r="J203" s="6">
        <v>-16260</v>
      </c>
    </row>
    <row r="204" spans="1:10">
      <c r="A204" t="s">
        <v>300</v>
      </c>
      <c r="B204" s="5">
        <v>45383</v>
      </c>
      <c r="C204" t="s">
        <v>191</v>
      </c>
      <c r="D204" t="s">
        <v>104</v>
      </c>
      <c r="E204" t="s">
        <v>150</v>
      </c>
      <c r="F204" t="s">
        <v>154</v>
      </c>
      <c r="G204" t="s">
        <v>192</v>
      </c>
      <c r="H204" s="6">
        <v>8952</v>
      </c>
      <c r="I204" s="6">
        <v>0</v>
      </c>
      <c r="J204" s="6">
        <v>8952</v>
      </c>
    </row>
    <row r="205" spans="1:10">
      <c r="A205" t="s">
        <v>300</v>
      </c>
      <c r="B205" s="5">
        <v>45383</v>
      </c>
      <c r="C205" t="s">
        <v>173</v>
      </c>
      <c r="D205" t="s">
        <v>174</v>
      </c>
      <c r="E205" t="s">
        <v>120</v>
      </c>
      <c r="F205" t="s">
        <v>154</v>
      </c>
      <c r="G205" t="s">
        <v>192</v>
      </c>
      <c r="H205" s="6">
        <v>0</v>
      </c>
      <c r="I205" s="6">
        <v>8952</v>
      </c>
      <c r="J205" s="6">
        <v>-8952</v>
      </c>
    </row>
    <row r="206" spans="1:10">
      <c r="A206" t="s">
        <v>301</v>
      </c>
      <c r="B206" s="5">
        <v>45383</v>
      </c>
      <c r="C206" t="s">
        <v>194</v>
      </c>
      <c r="D206" t="s">
        <v>195</v>
      </c>
      <c r="E206" t="s">
        <v>150</v>
      </c>
      <c r="F206" t="s">
        <v>154</v>
      </c>
      <c r="G206" t="s">
        <v>196</v>
      </c>
      <c r="H206" s="6">
        <v>17908.74356799997</v>
      </c>
      <c r="I206" s="6">
        <v>0</v>
      </c>
      <c r="J206" s="6">
        <v>17908.74356799997</v>
      </c>
    </row>
    <row r="207" spans="1:10">
      <c r="A207" t="s">
        <v>301</v>
      </c>
      <c r="B207" s="5">
        <v>45383</v>
      </c>
      <c r="C207" t="s">
        <v>197</v>
      </c>
      <c r="D207" t="s">
        <v>198</v>
      </c>
      <c r="E207" t="s">
        <v>121</v>
      </c>
      <c r="F207" t="s">
        <v>154</v>
      </c>
      <c r="G207" t="s">
        <v>196</v>
      </c>
      <c r="H207" s="6">
        <v>0</v>
      </c>
      <c r="I207" s="6">
        <v>17908.74356799997</v>
      </c>
      <c r="J207" s="6">
        <v>-17908.74356799997</v>
      </c>
    </row>
    <row r="208" spans="1:10">
      <c r="A208" t="s">
        <v>302</v>
      </c>
      <c r="B208" s="5">
        <v>45383</v>
      </c>
      <c r="C208" t="s">
        <v>173</v>
      </c>
      <c r="D208" t="s">
        <v>174</v>
      </c>
      <c r="E208" t="s">
        <v>120</v>
      </c>
      <c r="F208" t="s">
        <v>154</v>
      </c>
      <c r="G208" t="s">
        <v>200</v>
      </c>
      <c r="H208" s="6">
        <v>1138929.093333333</v>
      </c>
      <c r="I208" s="6">
        <v>0</v>
      </c>
      <c r="J208" s="6">
        <v>1138929.093333333</v>
      </c>
    </row>
    <row r="209" spans="1:10">
      <c r="A209" t="s">
        <v>302</v>
      </c>
      <c r="B209" s="5">
        <v>45383</v>
      </c>
      <c r="C209" t="s">
        <v>146</v>
      </c>
      <c r="D209" t="s">
        <v>86</v>
      </c>
      <c r="E209" t="s">
        <v>120</v>
      </c>
      <c r="F209" t="s">
        <v>154</v>
      </c>
      <c r="G209" t="s">
        <v>200</v>
      </c>
      <c r="H209" s="6">
        <v>0</v>
      </c>
      <c r="I209" s="6">
        <v>1138929.093333333</v>
      </c>
      <c r="J209" s="6">
        <v>-1138929.093333333</v>
      </c>
    </row>
    <row r="210" spans="1:10">
      <c r="A210" t="s">
        <v>303</v>
      </c>
      <c r="B210" s="5">
        <v>45383</v>
      </c>
      <c r="C210" t="s">
        <v>162</v>
      </c>
      <c r="D210" t="s">
        <v>88</v>
      </c>
      <c r="E210" t="s">
        <v>121</v>
      </c>
      <c r="F210" t="s">
        <v>154</v>
      </c>
      <c r="G210" t="s">
        <v>202</v>
      </c>
      <c r="H210" s="6">
        <v>754346.9999999999</v>
      </c>
      <c r="I210" s="6">
        <v>0</v>
      </c>
      <c r="J210" s="6">
        <v>754346.9999999999</v>
      </c>
    </row>
    <row r="211" spans="1:10">
      <c r="A211" t="s">
        <v>303</v>
      </c>
      <c r="B211" s="5">
        <v>45383</v>
      </c>
      <c r="C211" t="s">
        <v>173</v>
      </c>
      <c r="D211" t="s">
        <v>174</v>
      </c>
      <c r="E211" t="s">
        <v>120</v>
      </c>
      <c r="F211" t="s">
        <v>154</v>
      </c>
      <c r="G211" t="s">
        <v>202</v>
      </c>
      <c r="H211" s="6">
        <v>0</v>
      </c>
      <c r="I211" s="6">
        <v>754346.9999999999</v>
      </c>
      <c r="J211" s="6">
        <v>-754346.9999999999</v>
      </c>
    </row>
    <row r="212" spans="1:10">
      <c r="A212" t="s">
        <v>304</v>
      </c>
      <c r="B212" s="5">
        <v>45383</v>
      </c>
      <c r="C212" t="s">
        <v>156</v>
      </c>
      <c r="D212" t="s">
        <v>157</v>
      </c>
      <c r="E212" t="s">
        <v>121</v>
      </c>
      <c r="F212" t="s">
        <v>154</v>
      </c>
      <c r="G212" t="s">
        <v>204</v>
      </c>
      <c r="H212" s="6">
        <v>96827.88090000002</v>
      </c>
      <c r="I212" s="6">
        <v>0</v>
      </c>
      <c r="J212" s="6">
        <v>96827.88090000002</v>
      </c>
    </row>
    <row r="213" spans="1:10">
      <c r="A213" t="s">
        <v>304</v>
      </c>
      <c r="B213" s="5">
        <v>45383</v>
      </c>
      <c r="C213" t="s">
        <v>173</v>
      </c>
      <c r="D213" t="s">
        <v>174</v>
      </c>
      <c r="E213" t="s">
        <v>120</v>
      </c>
      <c r="F213" t="s">
        <v>154</v>
      </c>
      <c r="G213" t="s">
        <v>204</v>
      </c>
      <c r="H213" s="6">
        <v>0</v>
      </c>
      <c r="I213" s="6">
        <v>96827.88090000002</v>
      </c>
      <c r="J213" s="6">
        <v>-96827.88090000002</v>
      </c>
    </row>
    <row r="214" spans="1:10">
      <c r="A214" t="s">
        <v>305</v>
      </c>
      <c r="B214" s="5">
        <v>45383</v>
      </c>
      <c r="C214" t="s">
        <v>197</v>
      </c>
      <c r="D214" t="s">
        <v>198</v>
      </c>
      <c r="E214" t="s">
        <v>121</v>
      </c>
      <c r="F214" t="s">
        <v>154</v>
      </c>
      <c r="G214" t="s">
        <v>206</v>
      </c>
      <c r="H214" s="6">
        <v>18324.25549400002</v>
      </c>
      <c r="I214" s="6">
        <v>0</v>
      </c>
      <c r="J214" s="6">
        <v>18324.25549400002</v>
      </c>
    </row>
    <row r="215" spans="1:10">
      <c r="A215" t="s">
        <v>305</v>
      </c>
      <c r="B215" s="5">
        <v>45383</v>
      </c>
      <c r="C215" t="s">
        <v>173</v>
      </c>
      <c r="D215" t="s">
        <v>174</v>
      </c>
      <c r="E215" t="s">
        <v>120</v>
      </c>
      <c r="F215" t="s">
        <v>154</v>
      </c>
      <c r="G215" t="s">
        <v>206</v>
      </c>
      <c r="H215" s="6">
        <v>0</v>
      </c>
      <c r="I215" s="6">
        <v>18324.25549400002</v>
      </c>
      <c r="J215" s="6">
        <v>-18324.25549400002</v>
      </c>
    </row>
    <row r="216" spans="1:10">
      <c r="A216" t="s">
        <v>306</v>
      </c>
      <c r="B216" s="5">
        <v>45383</v>
      </c>
      <c r="C216" t="s">
        <v>208</v>
      </c>
      <c r="D216" t="s">
        <v>209</v>
      </c>
      <c r="E216" t="s">
        <v>120</v>
      </c>
      <c r="F216" t="s">
        <v>154</v>
      </c>
      <c r="G216" t="s">
        <v>210</v>
      </c>
      <c r="H216" s="6">
        <v>18000</v>
      </c>
      <c r="I216" s="6">
        <v>0</v>
      </c>
      <c r="J216" s="6">
        <v>18000</v>
      </c>
    </row>
    <row r="217" spans="1:10">
      <c r="A217" t="s">
        <v>306</v>
      </c>
      <c r="B217" s="5">
        <v>45383</v>
      </c>
      <c r="C217" t="s">
        <v>173</v>
      </c>
      <c r="D217" t="s">
        <v>174</v>
      </c>
      <c r="E217" t="s">
        <v>120</v>
      </c>
      <c r="F217" t="s">
        <v>154</v>
      </c>
      <c r="G217" t="s">
        <v>210</v>
      </c>
      <c r="H217" s="6">
        <v>0</v>
      </c>
      <c r="I217" s="6">
        <v>18000</v>
      </c>
      <c r="J217" s="6">
        <v>-18000</v>
      </c>
    </row>
    <row r="218" spans="1:10">
      <c r="A218" t="s">
        <v>307</v>
      </c>
      <c r="B218" s="5">
        <v>45383</v>
      </c>
      <c r="C218" t="s">
        <v>212</v>
      </c>
      <c r="D218" t="s">
        <v>213</v>
      </c>
      <c r="E218" t="s">
        <v>121</v>
      </c>
      <c r="F218" t="s">
        <v>154</v>
      </c>
      <c r="G218" t="s">
        <v>214</v>
      </c>
      <c r="H218" s="6">
        <v>18000</v>
      </c>
      <c r="I218" s="6">
        <v>0</v>
      </c>
      <c r="J218" s="6">
        <v>18000</v>
      </c>
    </row>
    <row r="219" spans="1:10">
      <c r="A219" t="s">
        <v>307</v>
      </c>
      <c r="B219" s="5">
        <v>45383</v>
      </c>
      <c r="C219" t="s">
        <v>173</v>
      </c>
      <c r="D219" t="s">
        <v>174</v>
      </c>
      <c r="E219" t="s">
        <v>120</v>
      </c>
      <c r="F219" t="s">
        <v>154</v>
      </c>
      <c r="G219" t="s">
        <v>214</v>
      </c>
      <c r="H219" s="6">
        <v>0</v>
      </c>
      <c r="I219" s="6">
        <v>18000</v>
      </c>
      <c r="J219" s="6">
        <v>-18000</v>
      </c>
    </row>
    <row r="220" spans="1:10">
      <c r="A220" t="s">
        <v>308</v>
      </c>
      <c r="B220" s="5">
        <v>45383</v>
      </c>
      <c r="C220" t="s">
        <v>148</v>
      </c>
      <c r="D220" t="s">
        <v>149</v>
      </c>
      <c r="E220" t="s">
        <v>150</v>
      </c>
      <c r="F220" t="s">
        <v>154</v>
      </c>
      <c r="G220" t="s">
        <v>216</v>
      </c>
      <c r="H220" s="6">
        <v>1139818.88</v>
      </c>
      <c r="I220" s="6">
        <v>0</v>
      </c>
      <c r="J220" s="6">
        <v>1139818.88</v>
      </c>
    </row>
    <row r="221" spans="1:10">
      <c r="A221" t="s">
        <v>308</v>
      </c>
      <c r="B221" s="5">
        <v>45383</v>
      </c>
      <c r="C221" t="s">
        <v>217</v>
      </c>
      <c r="D221" t="s">
        <v>218</v>
      </c>
      <c r="E221" t="s">
        <v>122</v>
      </c>
      <c r="F221" t="s">
        <v>154</v>
      </c>
      <c r="G221" t="s">
        <v>216</v>
      </c>
      <c r="H221" s="6">
        <v>0</v>
      </c>
      <c r="I221" s="6">
        <v>1139818.88</v>
      </c>
      <c r="J221" s="6">
        <v>-1139818.88</v>
      </c>
    </row>
    <row r="222" spans="1:10">
      <c r="A222" t="s">
        <v>309</v>
      </c>
      <c r="B222" s="5">
        <v>45383</v>
      </c>
      <c r="C222" t="s">
        <v>217</v>
      </c>
      <c r="D222" t="s">
        <v>218</v>
      </c>
      <c r="E222" t="s">
        <v>122</v>
      </c>
      <c r="F222" t="s">
        <v>154</v>
      </c>
      <c r="G222" t="s">
        <v>216</v>
      </c>
      <c r="H222" s="6">
        <v>96884.6048</v>
      </c>
      <c r="I222" s="6">
        <v>0</v>
      </c>
      <c r="J222" s="6">
        <v>96884.6048</v>
      </c>
    </row>
    <row r="223" spans="1:10">
      <c r="A223" t="s">
        <v>309</v>
      </c>
      <c r="B223" s="5">
        <v>45383</v>
      </c>
      <c r="C223" t="s">
        <v>152</v>
      </c>
      <c r="D223" t="s">
        <v>153</v>
      </c>
      <c r="E223" t="s">
        <v>150</v>
      </c>
      <c r="F223" t="s">
        <v>154</v>
      </c>
      <c r="G223" t="s">
        <v>216</v>
      </c>
      <c r="H223" s="6">
        <v>0</v>
      </c>
      <c r="I223" s="6">
        <v>96884.6048</v>
      </c>
      <c r="J223" s="6">
        <v>-96884.6048</v>
      </c>
    </row>
    <row r="224" spans="1:10">
      <c r="A224" t="s">
        <v>310</v>
      </c>
      <c r="B224" s="5">
        <v>45383</v>
      </c>
      <c r="C224" t="s">
        <v>217</v>
      </c>
      <c r="D224" t="s">
        <v>218</v>
      </c>
      <c r="E224" t="s">
        <v>122</v>
      </c>
      <c r="F224" t="s">
        <v>154</v>
      </c>
      <c r="G224" t="s">
        <v>216</v>
      </c>
      <c r="H224" s="6">
        <v>753940</v>
      </c>
      <c r="I224" s="6">
        <v>0</v>
      </c>
      <c r="J224" s="6">
        <v>753940</v>
      </c>
    </row>
    <row r="225" spans="1:10">
      <c r="A225" t="s">
        <v>310</v>
      </c>
      <c r="B225" s="5">
        <v>45383</v>
      </c>
      <c r="C225" t="s">
        <v>164</v>
      </c>
      <c r="D225" t="s">
        <v>36</v>
      </c>
      <c r="E225" t="s">
        <v>150</v>
      </c>
      <c r="F225" t="s">
        <v>154</v>
      </c>
      <c r="G225" t="s">
        <v>216</v>
      </c>
      <c r="H225" s="6">
        <v>0</v>
      </c>
      <c r="I225" s="6">
        <v>753940</v>
      </c>
      <c r="J225" s="6">
        <v>-753940</v>
      </c>
    </row>
    <row r="226" spans="1:10">
      <c r="A226" t="s">
        <v>311</v>
      </c>
      <c r="B226" s="5">
        <v>45383</v>
      </c>
      <c r="C226" t="s">
        <v>217</v>
      </c>
      <c r="D226" t="s">
        <v>218</v>
      </c>
      <c r="E226" t="s">
        <v>122</v>
      </c>
      <c r="F226" t="s">
        <v>154</v>
      </c>
      <c r="G226" t="s">
        <v>216</v>
      </c>
      <c r="H226" s="6">
        <v>95000</v>
      </c>
      <c r="I226" s="6">
        <v>0</v>
      </c>
      <c r="J226" s="6">
        <v>95000</v>
      </c>
    </row>
    <row r="227" spans="1:10">
      <c r="A227" t="s">
        <v>311</v>
      </c>
      <c r="B227" s="5">
        <v>45383</v>
      </c>
      <c r="C227" t="s">
        <v>167</v>
      </c>
      <c r="D227" t="s">
        <v>51</v>
      </c>
      <c r="E227" t="s">
        <v>150</v>
      </c>
      <c r="F227" t="s">
        <v>154</v>
      </c>
      <c r="G227" t="s">
        <v>216</v>
      </c>
      <c r="H227" s="6">
        <v>0</v>
      </c>
      <c r="I227" s="6">
        <v>95000</v>
      </c>
      <c r="J227" s="6">
        <v>-95000</v>
      </c>
    </row>
    <row r="228" spans="1:10">
      <c r="A228" t="s">
        <v>312</v>
      </c>
      <c r="B228" s="5">
        <v>45383</v>
      </c>
      <c r="C228" t="s">
        <v>217</v>
      </c>
      <c r="D228" t="s">
        <v>218</v>
      </c>
      <c r="E228" t="s">
        <v>122</v>
      </c>
      <c r="F228" t="s">
        <v>154</v>
      </c>
      <c r="G228" t="s">
        <v>216</v>
      </c>
      <c r="H228" s="6">
        <v>41033.48</v>
      </c>
      <c r="I228" s="6">
        <v>0</v>
      </c>
      <c r="J228" s="6">
        <v>41033.48</v>
      </c>
    </row>
    <row r="229" spans="1:10">
      <c r="A229" t="s">
        <v>312</v>
      </c>
      <c r="B229" s="5">
        <v>45383</v>
      </c>
      <c r="C229" t="s">
        <v>176</v>
      </c>
      <c r="D229" t="s">
        <v>52</v>
      </c>
      <c r="E229" t="s">
        <v>150</v>
      </c>
      <c r="F229" t="s">
        <v>154</v>
      </c>
      <c r="G229" t="s">
        <v>216</v>
      </c>
      <c r="H229" s="6">
        <v>0</v>
      </c>
      <c r="I229" s="6">
        <v>41033.48</v>
      </c>
      <c r="J229" s="6">
        <v>-41033.48</v>
      </c>
    </row>
    <row r="230" spans="1:10">
      <c r="A230" t="s">
        <v>313</v>
      </c>
      <c r="B230" s="5">
        <v>45383</v>
      </c>
      <c r="C230" t="s">
        <v>217</v>
      </c>
      <c r="D230" t="s">
        <v>218</v>
      </c>
      <c r="E230" t="s">
        <v>122</v>
      </c>
      <c r="F230" t="s">
        <v>154</v>
      </c>
      <c r="G230" t="s">
        <v>216</v>
      </c>
      <c r="H230" s="6">
        <v>32000</v>
      </c>
      <c r="I230" s="6">
        <v>0</v>
      </c>
      <c r="J230" s="6">
        <v>32000</v>
      </c>
    </row>
    <row r="231" spans="1:10">
      <c r="A231" t="s">
        <v>313</v>
      </c>
      <c r="B231" s="5">
        <v>45383</v>
      </c>
      <c r="C231" t="s">
        <v>179</v>
      </c>
      <c r="D231" t="s">
        <v>54</v>
      </c>
      <c r="E231" t="s">
        <v>150</v>
      </c>
      <c r="F231" t="s">
        <v>154</v>
      </c>
      <c r="G231" t="s">
        <v>216</v>
      </c>
      <c r="H231" s="6">
        <v>0</v>
      </c>
      <c r="I231" s="6">
        <v>32000</v>
      </c>
      <c r="J231" s="6">
        <v>-32000</v>
      </c>
    </row>
    <row r="232" spans="1:10">
      <c r="A232" t="s">
        <v>314</v>
      </c>
      <c r="B232" s="5">
        <v>45383</v>
      </c>
      <c r="C232" t="s">
        <v>217</v>
      </c>
      <c r="D232" t="s">
        <v>218</v>
      </c>
      <c r="E232" t="s">
        <v>122</v>
      </c>
      <c r="F232" t="s">
        <v>154</v>
      </c>
      <c r="G232" t="s">
        <v>216</v>
      </c>
      <c r="H232" s="6">
        <v>18000</v>
      </c>
      <c r="I232" s="6">
        <v>0</v>
      </c>
      <c r="J232" s="6">
        <v>18000</v>
      </c>
    </row>
    <row r="233" spans="1:10">
      <c r="A233" t="s">
        <v>314</v>
      </c>
      <c r="B233" s="5">
        <v>45383</v>
      </c>
      <c r="C233" t="s">
        <v>181</v>
      </c>
      <c r="D233" t="s">
        <v>56</v>
      </c>
      <c r="E233" t="s">
        <v>150</v>
      </c>
      <c r="F233" t="s">
        <v>154</v>
      </c>
      <c r="G233" t="s">
        <v>216</v>
      </c>
      <c r="H233" s="6">
        <v>0</v>
      </c>
      <c r="I233" s="6">
        <v>18000</v>
      </c>
      <c r="J233" s="6">
        <v>-18000</v>
      </c>
    </row>
    <row r="234" spans="1:10">
      <c r="A234" t="s">
        <v>315</v>
      </c>
      <c r="B234" s="5">
        <v>45383</v>
      </c>
      <c r="C234" t="s">
        <v>217</v>
      </c>
      <c r="D234" t="s">
        <v>218</v>
      </c>
      <c r="E234" t="s">
        <v>122</v>
      </c>
      <c r="F234" t="s">
        <v>154</v>
      </c>
      <c r="G234" t="s">
        <v>216</v>
      </c>
      <c r="H234" s="6">
        <v>25076.02</v>
      </c>
      <c r="I234" s="6">
        <v>0</v>
      </c>
      <c r="J234" s="6">
        <v>25076.02</v>
      </c>
    </row>
    <row r="235" spans="1:10">
      <c r="A235" t="s">
        <v>315</v>
      </c>
      <c r="B235" s="5">
        <v>45383</v>
      </c>
      <c r="C235" t="s">
        <v>183</v>
      </c>
      <c r="D235" t="s">
        <v>59</v>
      </c>
      <c r="E235" t="s">
        <v>150</v>
      </c>
      <c r="F235" t="s">
        <v>154</v>
      </c>
      <c r="G235" t="s">
        <v>216</v>
      </c>
      <c r="H235" s="6">
        <v>0</v>
      </c>
      <c r="I235" s="6">
        <v>25076.02</v>
      </c>
      <c r="J235" s="6">
        <v>-25076.02</v>
      </c>
    </row>
    <row r="236" spans="1:10">
      <c r="A236" t="s">
        <v>316</v>
      </c>
      <c r="B236" s="5">
        <v>45383</v>
      </c>
      <c r="C236" t="s">
        <v>217</v>
      </c>
      <c r="D236" t="s">
        <v>218</v>
      </c>
      <c r="E236" t="s">
        <v>122</v>
      </c>
      <c r="F236" t="s">
        <v>154</v>
      </c>
      <c r="G236" t="s">
        <v>216</v>
      </c>
      <c r="H236" s="6">
        <v>16260</v>
      </c>
      <c r="I236" s="6">
        <v>0</v>
      </c>
      <c r="J236" s="6">
        <v>16260</v>
      </c>
    </row>
    <row r="237" spans="1:10">
      <c r="A237" t="s">
        <v>316</v>
      </c>
      <c r="B237" s="5">
        <v>45383</v>
      </c>
      <c r="C237" t="s">
        <v>185</v>
      </c>
      <c r="D237" t="s">
        <v>186</v>
      </c>
      <c r="E237" t="s">
        <v>150</v>
      </c>
      <c r="F237" t="s">
        <v>154</v>
      </c>
      <c r="G237" t="s">
        <v>216</v>
      </c>
      <c r="H237" s="6">
        <v>0</v>
      </c>
      <c r="I237" s="6">
        <v>16260</v>
      </c>
      <c r="J237" s="6">
        <v>-16260</v>
      </c>
    </row>
    <row r="238" spans="1:10">
      <c r="A238" t="s">
        <v>317</v>
      </c>
      <c r="B238" s="5">
        <v>45383</v>
      </c>
      <c r="C238" t="s">
        <v>217</v>
      </c>
      <c r="D238" t="s">
        <v>218</v>
      </c>
      <c r="E238" t="s">
        <v>122</v>
      </c>
      <c r="F238" t="s">
        <v>154</v>
      </c>
      <c r="G238" t="s">
        <v>216</v>
      </c>
      <c r="H238" s="6">
        <v>8952</v>
      </c>
      <c r="I238" s="6">
        <v>0</v>
      </c>
      <c r="J238" s="6">
        <v>8952</v>
      </c>
    </row>
    <row r="239" spans="1:10">
      <c r="A239" t="s">
        <v>317</v>
      </c>
      <c r="B239" s="5">
        <v>45383</v>
      </c>
      <c r="C239" t="s">
        <v>191</v>
      </c>
      <c r="D239" t="s">
        <v>104</v>
      </c>
      <c r="E239" t="s">
        <v>150</v>
      </c>
      <c r="F239" t="s">
        <v>154</v>
      </c>
      <c r="G239" t="s">
        <v>216</v>
      </c>
      <c r="H239" s="6">
        <v>0</v>
      </c>
      <c r="I239" s="6">
        <v>8952</v>
      </c>
      <c r="J239" s="6">
        <v>-8952</v>
      </c>
    </row>
    <row r="240" spans="1:10">
      <c r="A240" t="s">
        <v>318</v>
      </c>
      <c r="B240" s="5">
        <v>45383</v>
      </c>
      <c r="C240" t="s">
        <v>217</v>
      </c>
      <c r="D240" t="s">
        <v>218</v>
      </c>
      <c r="E240" t="s">
        <v>122</v>
      </c>
      <c r="F240" t="s">
        <v>154</v>
      </c>
      <c r="G240" t="s">
        <v>216</v>
      </c>
      <c r="H240" s="6">
        <v>17908.74356799997</v>
      </c>
      <c r="I240" s="6">
        <v>0</v>
      </c>
      <c r="J240" s="6">
        <v>17908.74356799997</v>
      </c>
    </row>
    <row r="241" spans="1:10">
      <c r="A241" t="s">
        <v>318</v>
      </c>
      <c r="B241" s="5">
        <v>45383</v>
      </c>
      <c r="C241" t="s">
        <v>194</v>
      </c>
      <c r="D241" t="s">
        <v>195</v>
      </c>
      <c r="E241" t="s">
        <v>150</v>
      </c>
      <c r="F241" t="s">
        <v>154</v>
      </c>
      <c r="G241" t="s">
        <v>216</v>
      </c>
      <c r="H241" s="6">
        <v>0</v>
      </c>
      <c r="I241" s="6">
        <v>17908.74356799997</v>
      </c>
      <c r="J241" s="6">
        <v>-17908.74356799997</v>
      </c>
    </row>
    <row r="242" spans="1:10">
      <c r="A242" t="s">
        <v>319</v>
      </c>
      <c r="B242" s="5">
        <v>45413</v>
      </c>
      <c r="C242" t="s">
        <v>146</v>
      </c>
      <c r="D242" t="s">
        <v>86</v>
      </c>
      <c r="E242" t="s">
        <v>120</v>
      </c>
      <c r="F242" t="s">
        <v>52</v>
      </c>
      <c r="G242" t="s">
        <v>147</v>
      </c>
      <c r="H242" s="6">
        <v>1186040.08</v>
      </c>
      <c r="I242" s="6">
        <v>0</v>
      </c>
      <c r="J242" s="6">
        <v>1186040.08</v>
      </c>
    </row>
    <row r="243" spans="1:10">
      <c r="A243" t="s">
        <v>319</v>
      </c>
      <c r="B243" s="5">
        <v>45413</v>
      </c>
      <c r="C243" t="s">
        <v>148</v>
      </c>
      <c r="D243" t="s">
        <v>149</v>
      </c>
      <c r="E243" t="s">
        <v>150</v>
      </c>
      <c r="F243" t="s">
        <v>52</v>
      </c>
      <c r="G243" t="s">
        <v>147</v>
      </c>
      <c r="H243" s="6">
        <v>0</v>
      </c>
      <c r="I243" s="6">
        <v>1186040.08</v>
      </c>
      <c r="J243" s="6">
        <v>-1186040.08</v>
      </c>
    </row>
    <row r="244" spans="1:10">
      <c r="A244" t="s">
        <v>320</v>
      </c>
      <c r="B244" s="5">
        <v>45413</v>
      </c>
      <c r="C244" t="s">
        <v>152</v>
      </c>
      <c r="D244" t="s">
        <v>153</v>
      </c>
      <c r="E244" t="s">
        <v>150</v>
      </c>
      <c r="F244" t="s">
        <v>154</v>
      </c>
      <c r="G244" t="s">
        <v>155</v>
      </c>
      <c r="H244" s="6">
        <v>100813.4068</v>
      </c>
      <c r="I244" s="6">
        <v>0</v>
      </c>
      <c r="J244" s="6">
        <v>100813.4068</v>
      </c>
    </row>
    <row r="245" spans="1:10">
      <c r="A245" t="s">
        <v>320</v>
      </c>
      <c r="B245" s="5">
        <v>45413</v>
      </c>
      <c r="C245" t="s">
        <v>156</v>
      </c>
      <c r="D245" t="s">
        <v>157</v>
      </c>
      <c r="E245" t="s">
        <v>121</v>
      </c>
      <c r="F245" t="s">
        <v>154</v>
      </c>
      <c r="G245" t="s">
        <v>155</v>
      </c>
      <c r="H245" s="6">
        <v>0</v>
      </c>
      <c r="I245" s="6">
        <v>100813.4068</v>
      </c>
      <c r="J245" s="6">
        <v>-100813.4068</v>
      </c>
    </row>
    <row r="246" spans="1:10">
      <c r="A246" t="s">
        <v>321</v>
      </c>
      <c r="B246" s="5">
        <v>45413</v>
      </c>
      <c r="C246" t="s">
        <v>159</v>
      </c>
      <c r="D246" t="s">
        <v>160</v>
      </c>
      <c r="E246" t="s">
        <v>120</v>
      </c>
      <c r="F246" t="s">
        <v>58</v>
      </c>
      <c r="G246" t="s">
        <v>161</v>
      </c>
      <c r="H246" s="6">
        <v>833182.6666666667</v>
      </c>
      <c r="I246" s="6">
        <v>0</v>
      </c>
      <c r="J246" s="6">
        <v>833182.6666666667</v>
      </c>
    </row>
    <row r="247" spans="1:10">
      <c r="A247" t="s">
        <v>321</v>
      </c>
      <c r="B247" s="5">
        <v>45413</v>
      </c>
      <c r="C247" t="s">
        <v>162</v>
      </c>
      <c r="D247" t="s">
        <v>88</v>
      </c>
      <c r="E247" t="s">
        <v>121</v>
      </c>
      <c r="F247" t="s">
        <v>58</v>
      </c>
      <c r="G247" t="s">
        <v>161</v>
      </c>
      <c r="H247" s="6">
        <v>0</v>
      </c>
      <c r="I247" s="6">
        <v>833182.6666666667</v>
      </c>
      <c r="J247" s="6">
        <v>-833182.6666666667</v>
      </c>
    </row>
    <row r="248" spans="1:10">
      <c r="A248" t="s">
        <v>322</v>
      </c>
      <c r="B248" s="5">
        <v>45413</v>
      </c>
      <c r="C248" t="s">
        <v>164</v>
      </c>
      <c r="D248" t="s">
        <v>36</v>
      </c>
      <c r="E248" t="s">
        <v>150</v>
      </c>
      <c r="F248" t="s">
        <v>58</v>
      </c>
      <c r="G248" t="s">
        <v>165</v>
      </c>
      <c r="H248" s="6">
        <v>785220</v>
      </c>
      <c r="I248" s="6">
        <v>0</v>
      </c>
      <c r="J248" s="6">
        <v>785220</v>
      </c>
    </row>
    <row r="249" spans="1:10">
      <c r="A249" t="s">
        <v>322</v>
      </c>
      <c r="B249" s="5">
        <v>45413</v>
      </c>
      <c r="C249" t="s">
        <v>159</v>
      </c>
      <c r="D249" t="s">
        <v>160</v>
      </c>
      <c r="E249" t="s">
        <v>120</v>
      </c>
      <c r="F249" t="s">
        <v>58</v>
      </c>
      <c r="G249" t="s">
        <v>165</v>
      </c>
      <c r="H249" s="6">
        <v>0</v>
      </c>
      <c r="I249" s="6">
        <v>785220</v>
      </c>
      <c r="J249" s="6">
        <v>-785220</v>
      </c>
    </row>
    <row r="250" spans="1:10">
      <c r="A250" t="s">
        <v>323</v>
      </c>
      <c r="B250" s="5">
        <v>45413</v>
      </c>
      <c r="C250" t="s">
        <v>167</v>
      </c>
      <c r="D250" t="s">
        <v>51</v>
      </c>
      <c r="E250" t="s">
        <v>150</v>
      </c>
      <c r="F250" t="s">
        <v>51</v>
      </c>
      <c r="G250" t="s">
        <v>168</v>
      </c>
      <c r="H250" s="6">
        <v>95000</v>
      </c>
      <c r="I250" s="6">
        <v>0</v>
      </c>
      <c r="J250" s="6">
        <v>95000</v>
      </c>
    </row>
    <row r="251" spans="1:10">
      <c r="A251" t="s">
        <v>323</v>
      </c>
      <c r="B251" s="5">
        <v>45413</v>
      </c>
      <c r="C251" t="s">
        <v>169</v>
      </c>
      <c r="D251" t="s">
        <v>170</v>
      </c>
      <c r="E251" t="s">
        <v>121</v>
      </c>
      <c r="F251" t="s">
        <v>51</v>
      </c>
      <c r="G251" t="s">
        <v>168</v>
      </c>
      <c r="H251" s="6">
        <v>0</v>
      </c>
      <c r="I251" s="6">
        <v>95000</v>
      </c>
      <c r="J251" s="6">
        <v>-95000</v>
      </c>
    </row>
    <row r="252" spans="1:10">
      <c r="A252" t="s">
        <v>324</v>
      </c>
      <c r="B252" s="5">
        <v>45413</v>
      </c>
      <c r="C252" t="s">
        <v>169</v>
      </c>
      <c r="D252" t="s">
        <v>170</v>
      </c>
      <c r="E252" t="s">
        <v>121</v>
      </c>
      <c r="F252" t="s">
        <v>51</v>
      </c>
      <c r="G252" t="s">
        <v>172</v>
      </c>
      <c r="H252" s="6">
        <v>95000</v>
      </c>
      <c r="I252" s="6">
        <v>0</v>
      </c>
      <c r="J252" s="6">
        <v>95000</v>
      </c>
    </row>
    <row r="253" spans="1:10">
      <c r="A253" t="s">
        <v>324</v>
      </c>
      <c r="B253" s="5">
        <v>45413</v>
      </c>
      <c r="C253" t="s">
        <v>173</v>
      </c>
      <c r="D253" t="s">
        <v>174</v>
      </c>
      <c r="E253" t="s">
        <v>120</v>
      </c>
      <c r="F253" t="s">
        <v>51</v>
      </c>
      <c r="G253" t="s">
        <v>172</v>
      </c>
      <c r="H253" s="6">
        <v>0</v>
      </c>
      <c r="I253" s="6">
        <v>95000</v>
      </c>
      <c r="J253" s="6">
        <v>-95000</v>
      </c>
    </row>
    <row r="254" spans="1:10">
      <c r="A254" t="s">
        <v>325</v>
      </c>
      <c r="B254" s="5">
        <v>45413</v>
      </c>
      <c r="C254" t="s">
        <v>176</v>
      </c>
      <c r="D254" t="s">
        <v>52</v>
      </c>
      <c r="E254" t="s">
        <v>150</v>
      </c>
      <c r="F254" t="s">
        <v>52</v>
      </c>
      <c r="G254" t="s">
        <v>177</v>
      </c>
      <c r="H254" s="6">
        <v>42697.44</v>
      </c>
      <c r="I254" s="6">
        <v>0</v>
      </c>
      <c r="J254" s="6">
        <v>42697.44</v>
      </c>
    </row>
    <row r="255" spans="1:10">
      <c r="A255" t="s">
        <v>325</v>
      </c>
      <c r="B255" s="5">
        <v>45413</v>
      </c>
      <c r="C255" t="s">
        <v>173</v>
      </c>
      <c r="D255" t="s">
        <v>174</v>
      </c>
      <c r="E255" t="s">
        <v>120</v>
      </c>
      <c r="F255" t="s">
        <v>52</v>
      </c>
      <c r="G255" t="s">
        <v>177</v>
      </c>
      <c r="H255" s="6">
        <v>0</v>
      </c>
      <c r="I255" s="6">
        <v>42697.44</v>
      </c>
      <c r="J255" s="6">
        <v>-42697.44</v>
      </c>
    </row>
    <row r="256" spans="1:10">
      <c r="A256" t="s">
        <v>326</v>
      </c>
      <c r="B256" s="5">
        <v>45413</v>
      </c>
      <c r="C256" t="s">
        <v>179</v>
      </c>
      <c r="D256" t="s">
        <v>54</v>
      </c>
      <c r="E256" t="s">
        <v>150</v>
      </c>
      <c r="F256" t="s">
        <v>54</v>
      </c>
      <c r="G256" t="s">
        <v>177</v>
      </c>
      <c r="H256" s="6">
        <v>32000</v>
      </c>
      <c r="I256" s="6">
        <v>0</v>
      </c>
      <c r="J256" s="6">
        <v>32000</v>
      </c>
    </row>
    <row r="257" spans="1:10">
      <c r="A257" t="s">
        <v>326</v>
      </c>
      <c r="B257" s="5">
        <v>45413</v>
      </c>
      <c r="C257" t="s">
        <v>173</v>
      </c>
      <c r="D257" t="s">
        <v>174</v>
      </c>
      <c r="E257" t="s">
        <v>120</v>
      </c>
      <c r="F257" t="s">
        <v>54</v>
      </c>
      <c r="G257" t="s">
        <v>177</v>
      </c>
      <c r="H257" s="6">
        <v>0</v>
      </c>
      <c r="I257" s="6">
        <v>32000</v>
      </c>
      <c r="J257" s="6">
        <v>-32000</v>
      </c>
    </row>
    <row r="258" spans="1:10">
      <c r="A258" t="s">
        <v>327</v>
      </c>
      <c r="B258" s="5">
        <v>45413</v>
      </c>
      <c r="C258" t="s">
        <v>181</v>
      </c>
      <c r="D258" t="s">
        <v>56</v>
      </c>
      <c r="E258" t="s">
        <v>150</v>
      </c>
      <c r="F258" t="s">
        <v>56</v>
      </c>
      <c r="G258" t="s">
        <v>177</v>
      </c>
      <c r="H258" s="6">
        <v>18000</v>
      </c>
      <c r="I258" s="6">
        <v>0</v>
      </c>
      <c r="J258" s="6">
        <v>18000</v>
      </c>
    </row>
    <row r="259" spans="1:10">
      <c r="A259" t="s">
        <v>327</v>
      </c>
      <c r="B259" s="5">
        <v>45413</v>
      </c>
      <c r="C259" t="s">
        <v>173</v>
      </c>
      <c r="D259" t="s">
        <v>174</v>
      </c>
      <c r="E259" t="s">
        <v>120</v>
      </c>
      <c r="F259" t="s">
        <v>56</v>
      </c>
      <c r="G259" t="s">
        <v>177</v>
      </c>
      <c r="H259" s="6">
        <v>0</v>
      </c>
      <c r="I259" s="6">
        <v>18000</v>
      </c>
      <c r="J259" s="6">
        <v>-18000</v>
      </c>
    </row>
    <row r="260" spans="1:10">
      <c r="A260" t="s">
        <v>328</v>
      </c>
      <c r="B260" s="5">
        <v>45413</v>
      </c>
      <c r="C260" t="s">
        <v>183</v>
      </c>
      <c r="D260" t="s">
        <v>59</v>
      </c>
      <c r="E260" t="s">
        <v>150</v>
      </c>
      <c r="F260" t="s">
        <v>66</v>
      </c>
      <c r="G260" t="s">
        <v>177</v>
      </c>
      <c r="H260" s="6">
        <v>26092.88</v>
      </c>
      <c r="I260" s="6">
        <v>0</v>
      </c>
      <c r="J260" s="6">
        <v>26092.88</v>
      </c>
    </row>
    <row r="261" spans="1:10">
      <c r="A261" t="s">
        <v>328</v>
      </c>
      <c r="B261" s="5">
        <v>45413</v>
      </c>
      <c r="C261" t="s">
        <v>173</v>
      </c>
      <c r="D261" t="s">
        <v>174</v>
      </c>
      <c r="E261" t="s">
        <v>120</v>
      </c>
      <c r="F261" t="s">
        <v>66</v>
      </c>
      <c r="G261" t="s">
        <v>177</v>
      </c>
      <c r="H261" s="6">
        <v>0</v>
      </c>
      <c r="I261" s="6">
        <v>26092.88</v>
      </c>
      <c r="J261" s="6">
        <v>-26092.88</v>
      </c>
    </row>
    <row r="262" spans="1:10">
      <c r="A262" t="s">
        <v>329</v>
      </c>
      <c r="B262" s="5">
        <v>45413</v>
      </c>
      <c r="C262" t="s">
        <v>185</v>
      </c>
      <c r="D262" t="s">
        <v>186</v>
      </c>
      <c r="E262" t="s">
        <v>150</v>
      </c>
      <c r="F262" t="s">
        <v>154</v>
      </c>
      <c r="G262" t="s">
        <v>187</v>
      </c>
      <c r="H262" s="6">
        <v>16440</v>
      </c>
      <c r="I262" s="6">
        <v>0</v>
      </c>
      <c r="J262" s="6">
        <v>16440</v>
      </c>
    </row>
    <row r="263" spans="1:10">
      <c r="A263" t="s">
        <v>329</v>
      </c>
      <c r="B263" s="5">
        <v>45413</v>
      </c>
      <c r="C263" t="s">
        <v>188</v>
      </c>
      <c r="D263" t="s">
        <v>189</v>
      </c>
      <c r="E263" t="s">
        <v>120</v>
      </c>
      <c r="F263" t="s">
        <v>154</v>
      </c>
      <c r="G263" t="s">
        <v>187</v>
      </c>
      <c r="H263" s="6">
        <v>0</v>
      </c>
      <c r="I263" s="6">
        <v>16440</v>
      </c>
      <c r="J263" s="6">
        <v>-16440</v>
      </c>
    </row>
    <row r="264" spans="1:10">
      <c r="A264" t="s">
        <v>330</v>
      </c>
      <c r="B264" s="5">
        <v>45413</v>
      </c>
      <c r="C264" t="s">
        <v>191</v>
      </c>
      <c r="D264" t="s">
        <v>104</v>
      </c>
      <c r="E264" t="s">
        <v>150</v>
      </c>
      <c r="F264" t="s">
        <v>154</v>
      </c>
      <c r="G264" t="s">
        <v>192</v>
      </c>
      <c r="H264" s="6">
        <v>8736</v>
      </c>
      <c r="I264" s="6">
        <v>0</v>
      </c>
      <c r="J264" s="6">
        <v>8736</v>
      </c>
    </row>
    <row r="265" spans="1:10">
      <c r="A265" t="s">
        <v>330</v>
      </c>
      <c r="B265" s="5">
        <v>45413</v>
      </c>
      <c r="C265" t="s">
        <v>173</v>
      </c>
      <c r="D265" t="s">
        <v>174</v>
      </c>
      <c r="E265" t="s">
        <v>120</v>
      </c>
      <c r="F265" t="s">
        <v>154</v>
      </c>
      <c r="G265" t="s">
        <v>192</v>
      </c>
      <c r="H265" s="6">
        <v>0</v>
      </c>
      <c r="I265" s="6">
        <v>8736</v>
      </c>
      <c r="J265" s="6">
        <v>-8736</v>
      </c>
    </row>
    <row r="266" spans="1:10">
      <c r="A266" t="s">
        <v>331</v>
      </c>
      <c r="B266" s="5">
        <v>45413</v>
      </c>
      <c r="C266" t="s">
        <v>194</v>
      </c>
      <c r="D266" t="s">
        <v>195</v>
      </c>
      <c r="E266" t="s">
        <v>150</v>
      </c>
      <c r="F266" t="s">
        <v>154</v>
      </c>
      <c r="G266" t="s">
        <v>196</v>
      </c>
      <c r="H266" s="6">
        <v>20753.72008800002</v>
      </c>
      <c r="I266" s="6">
        <v>0</v>
      </c>
      <c r="J266" s="6">
        <v>20753.72008800002</v>
      </c>
    </row>
    <row r="267" spans="1:10">
      <c r="A267" t="s">
        <v>331</v>
      </c>
      <c r="B267" s="5">
        <v>45413</v>
      </c>
      <c r="C267" t="s">
        <v>197</v>
      </c>
      <c r="D267" t="s">
        <v>198</v>
      </c>
      <c r="E267" t="s">
        <v>121</v>
      </c>
      <c r="F267" t="s">
        <v>154</v>
      </c>
      <c r="G267" t="s">
        <v>196</v>
      </c>
      <c r="H267" s="6">
        <v>0</v>
      </c>
      <c r="I267" s="6">
        <v>20753.72008800002</v>
      </c>
      <c r="J267" s="6">
        <v>-20753.72008800002</v>
      </c>
    </row>
    <row r="268" spans="1:10">
      <c r="A268" t="s">
        <v>332</v>
      </c>
      <c r="B268" s="5">
        <v>45413</v>
      </c>
      <c r="C268" t="s">
        <v>173</v>
      </c>
      <c r="D268" t="s">
        <v>174</v>
      </c>
      <c r="E268" t="s">
        <v>120</v>
      </c>
      <c r="F268" t="s">
        <v>154</v>
      </c>
      <c r="G268" t="s">
        <v>200</v>
      </c>
      <c r="H268" s="6">
        <v>1124411.813333333</v>
      </c>
      <c r="I268" s="6">
        <v>0</v>
      </c>
      <c r="J268" s="6">
        <v>1124411.813333333</v>
      </c>
    </row>
    <row r="269" spans="1:10">
      <c r="A269" t="s">
        <v>332</v>
      </c>
      <c r="B269" s="5">
        <v>45413</v>
      </c>
      <c r="C269" t="s">
        <v>146</v>
      </c>
      <c r="D269" t="s">
        <v>86</v>
      </c>
      <c r="E269" t="s">
        <v>120</v>
      </c>
      <c r="F269" t="s">
        <v>154</v>
      </c>
      <c r="G269" t="s">
        <v>200</v>
      </c>
      <c r="H269" s="6">
        <v>0</v>
      </c>
      <c r="I269" s="6">
        <v>1124411.813333333</v>
      </c>
      <c r="J269" s="6">
        <v>-1124411.813333333</v>
      </c>
    </row>
    <row r="270" spans="1:10">
      <c r="A270" t="s">
        <v>333</v>
      </c>
      <c r="B270" s="5">
        <v>45413</v>
      </c>
      <c r="C270" t="s">
        <v>162</v>
      </c>
      <c r="D270" t="s">
        <v>88</v>
      </c>
      <c r="E270" t="s">
        <v>121</v>
      </c>
      <c r="F270" t="s">
        <v>154</v>
      </c>
      <c r="G270" t="s">
        <v>202</v>
      </c>
      <c r="H270" s="6">
        <v>796689.3333333335</v>
      </c>
      <c r="I270" s="6">
        <v>0</v>
      </c>
      <c r="J270" s="6">
        <v>796689.3333333335</v>
      </c>
    </row>
    <row r="271" spans="1:10">
      <c r="A271" t="s">
        <v>333</v>
      </c>
      <c r="B271" s="5">
        <v>45413</v>
      </c>
      <c r="C271" t="s">
        <v>173</v>
      </c>
      <c r="D271" t="s">
        <v>174</v>
      </c>
      <c r="E271" t="s">
        <v>120</v>
      </c>
      <c r="F271" t="s">
        <v>154</v>
      </c>
      <c r="G271" t="s">
        <v>202</v>
      </c>
      <c r="H271" s="6">
        <v>0</v>
      </c>
      <c r="I271" s="6">
        <v>796689.3333333335</v>
      </c>
      <c r="J271" s="6">
        <v>-796689.3333333335</v>
      </c>
    </row>
    <row r="272" spans="1:10">
      <c r="A272" t="s">
        <v>334</v>
      </c>
      <c r="B272" s="5">
        <v>45413</v>
      </c>
      <c r="C272" t="s">
        <v>156</v>
      </c>
      <c r="D272" t="s">
        <v>157</v>
      </c>
      <c r="E272" t="s">
        <v>121</v>
      </c>
      <c r="F272" t="s">
        <v>154</v>
      </c>
      <c r="G272" t="s">
        <v>204</v>
      </c>
      <c r="H272" s="6">
        <v>96884.60480000002</v>
      </c>
      <c r="I272" s="6">
        <v>0</v>
      </c>
      <c r="J272" s="6">
        <v>96884.60480000002</v>
      </c>
    </row>
    <row r="273" spans="1:10">
      <c r="A273" t="s">
        <v>334</v>
      </c>
      <c r="B273" s="5">
        <v>45413</v>
      </c>
      <c r="C273" t="s">
        <v>173</v>
      </c>
      <c r="D273" t="s">
        <v>174</v>
      </c>
      <c r="E273" t="s">
        <v>120</v>
      </c>
      <c r="F273" t="s">
        <v>154</v>
      </c>
      <c r="G273" t="s">
        <v>204</v>
      </c>
      <c r="H273" s="6">
        <v>0</v>
      </c>
      <c r="I273" s="6">
        <v>96884.60480000002</v>
      </c>
      <c r="J273" s="6">
        <v>-96884.60480000002</v>
      </c>
    </row>
    <row r="274" spans="1:10">
      <c r="A274" t="s">
        <v>335</v>
      </c>
      <c r="B274" s="5">
        <v>45413</v>
      </c>
      <c r="C274" t="s">
        <v>197</v>
      </c>
      <c r="D274" t="s">
        <v>198</v>
      </c>
      <c r="E274" t="s">
        <v>121</v>
      </c>
      <c r="F274" t="s">
        <v>154</v>
      </c>
      <c r="G274" t="s">
        <v>206</v>
      </c>
      <c r="H274" s="6">
        <v>17908.74356799997</v>
      </c>
      <c r="I274" s="6">
        <v>0</v>
      </c>
      <c r="J274" s="6">
        <v>17908.74356799997</v>
      </c>
    </row>
    <row r="275" spans="1:10">
      <c r="A275" t="s">
        <v>335</v>
      </c>
      <c r="B275" s="5">
        <v>45413</v>
      </c>
      <c r="C275" t="s">
        <v>173</v>
      </c>
      <c r="D275" t="s">
        <v>174</v>
      </c>
      <c r="E275" t="s">
        <v>120</v>
      </c>
      <c r="F275" t="s">
        <v>154</v>
      </c>
      <c r="G275" t="s">
        <v>206</v>
      </c>
      <c r="H275" s="6">
        <v>0</v>
      </c>
      <c r="I275" s="6">
        <v>17908.74356799997</v>
      </c>
      <c r="J275" s="6">
        <v>-17908.74356799997</v>
      </c>
    </row>
    <row r="276" spans="1:10">
      <c r="A276" t="s">
        <v>336</v>
      </c>
      <c r="B276" s="5">
        <v>45413</v>
      </c>
      <c r="C276" t="s">
        <v>208</v>
      </c>
      <c r="D276" t="s">
        <v>209</v>
      </c>
      <c r="E276" t="s">
        <v>120</v>
      </c>
      <c r="F276" t="s">
        <v>154</v>
      </c>
      <c r="G276" t="s">
        <v>210</v>
      </c>
      <c r="H276" s="6">
        <v>18000</v>
      </c>
      <c r="I276" s="6">
        <v>0</v>
      </c>
      <c r="J276" s="6">
        <v>18000</v>
      </c>
    </row>
    <row r="277" spans="1:10">
      <c r="A277" t="s">
        <v>336</v>
      </c>
      <c r="B277" s="5">
        <v>45413</v>
      </c>
      <c r="C277" t="s">
        <v>173</v>
      </c>
      <c r="D277" t="s">
        <v>174</v>
      </c>
      <c r="E277" t="s">
        <v>120</v>
      </c>
      <c r="F277" t="s">
        <v>154</v>
      </c>
      <c r="G277" t="s">
        <v>210</v>
      </c>
      <c r="H277" s="6">
        <v>0</v>
      </c>
      <c r="I277" s="6">
        <v>18000</v>
      </c>
      <c r="J277" s="6">
        <v>-18000</v>
      </c>
    </row>
    <row r="278" spans="1:10">
      <c r="A278" t="s">
        <v>337</v>
      </c>
      <c r="B278" s="5">
        <v>45413</v>
      </c>
      <c r="C278" t="s">
        <v>212</v>
      </c>
      <c r="D278" t="s">
        <v>213</v>
      </c>
      <c r="E278" t="s">
        <v>121</v>
      </c>
      <c r="F278" t="s">
        <v>154</v>
      </c>
      <c r="G278" t="s">
        <v>214</v>
      </c>
      <c r="H278" s="6">
        <v>18000</v>
      </c>
      <c r="I278" s="6">
        <v>0</v>
      </c>
      <c r="J278" s="6">
        <v>18000</v>
      </c>
    </row>
    <row r="279" spans="1:10">
      <c r="A279" t="s">
        <v>337</v>
      </c>
      <c r="B279" s="5">
        <v>45413</v>
      </c>
      <c r="C279" t="s">
        <v>173</v>
      </c>
      <c r="D279" t="s">
        <v>174</v>
      </c>
      <c r="E279" t="s">
        <v>120</v>
      </c>
      <c r="F279" t="s">
        <v>154</v>
      </c>
      <c r="G279" t="s">
        <v>214</v>
      </c>
      <c r="H279" s="6">
        <v>0</v>
      </c>
      <c r="I279" s="6">
        <v>18000</v>
      </c>
      <c r="J279" s="6">
        <v>-18000</v>
      </c>
    </row>
    <row r="280" spans="1:10">
      <c r="A280" t="s">
        <v>338</v>
      </c>
      <c r="B280" s="5">
        <v>45413</v>
      </c>
      <c r="C280" t="s">
        <v>148</v>
      </c>
      <c r="D280" t="s">
        <v>149</v>
      </c>
      <c r="E280" t="s">
        <v>150</v>
      </c>
      <c r="F280" t="s">
        <v>154</v>
      </c>
      <c r="G280" t="s">
        <v>216</v>
      </c>
      <c r="H280" s="6">
        <v>1186040.08</v>
      </c>
      <c r="I280" s="6">
        <v>0</v>
      </c>
      <c r="J280" s="6">
        <v>1186040.08</v>
      </c>
    </row>
    <row r="281" spans="1:10">
      <c r="A281" t="s">
        <v>338</v>
      </c>
      <c r="B281" s="5">
        <v>45413</v>
      </c>
      <c r="C281" t="s">
        <v>217</v>
      </c>
      <c r="D281" t="s">
        <v>218</v>
      </c>
      <c r="E281" t="s">
        <v>122</v>
      </c>
      <c r="F281" t="s">
        <v>154</v>
      </c>
      <c r="G281" t="s">
        <v>216</v>
      </c>
      <c r="H281" s="6">
        <v>0</v>
      </c>
      <c r="I281" s="6">
        <v>1186040.08</v>
      </c>
      <c r="J281" s="6">
        <v>-1186040.08</v>
      </c>
    </row>
    <row r="282" spans="1:10">
      <c r="A282" t="s">
        <v>339</v>
      </c>
      <c r="B282" s="5">
        <v>45413</v>
      </c>
      <c r="C282" t="s">
        <v>217</v>
      </c>
      <c r="D282" t="s">
        <v>218</v>
      </c>
      <c r="E282" t="s">
        <v>122</v>
      </c>
      <c r="F282" t="s">
        <v>154</v>
      </c>
      <c r="G282" t="s">
        <v>216</v>
      </c>
      <c r="H282" s="6">
        <v>100813.4068</v>
      </c>
      <c r="I282" s="6">
        <v>0</v>
      </c>
      <c r="J282" s="6">
        <v>100813.4068</v>
      </c>
    </row>
    <row r="283" spans="1:10">
      <c r="A283" t="s">
        <v>339</v>
      </c>
      <c r="B283" s="5">
        <v>45413</v>
      </c>
      <c r="C283" t="s">
        <v>152</v>
      </c>
      <c r="D283" t="s">
        <v>153</v>
      </c>
      <c r="E283" t="s">
        <v>150</v>
      </c>
      <c r="F283" t="s">
        <v>154</v>
      </c>
      <c r="G283" t="s">
        <v>216</v>
      </c>
      <c r="H283" s="6">
        <v>0</v>
      </c>
      <c r="I283" s="6">
        <v>100813.4068</v>
      </c>
      <c r="J283" s="6">
        <v>-100813.4068</v>
      </c>
    </row>
    <row r="284" spans="1:10">
      <c r="A284" t="s">
        <v>340</v>
      </c>
      <c r="B284" s="5">
        <v>45413</v>
      </c>
      <c r="C284" t="s">
        <v>217</v>
      </c>
      <c r="D284" t="s">
        <v>218</v>
      </c>
      <c r="E284" t="s">
        <v>122</v>
      </c>
      <c r="F284" t="s">
        <v>154</v>
      </c>
      <c r="G284" t="s">
        <v>216</v>
      </c>
      <c r="H284" s="6">
        <v>785220</v>
      </c>
      <c r="I284" s="6">
        <v>0</v>
      </c>
      <c r="J284" s="6">
        <v>785220</v>
      </c>
    </row>
    <row r="285" spans="1:10">
      <c r="A285" t="s">
        <v>340</v>
      </c>
      <c r="B285" s="5">
        <v>45413</v>
      </c>
      <c r="C285" t="s">
        <v>164</v>
      </c>
      <c r="D285" t="s">
        <v>36</v>
      </c>
      <c r="E285" t="s">
        <v>150</v>
      </c>
      <c r="F285" t="s">
        <v>154</v>
      </c>
      <c r="G285" t="s">
        <v>216</v>
      </c>
      <c r="H285" s="6">
        <v>0</v>
      </c>
      <c r="I285" s="6">
        <v>785220</v>
      </c>
      <c r="J285" s="6">
        <v>-785220</v>
      </c>
    </row>
    <row r="286" spans="1:10">
      <c r="A286" t="s">
        <v>341</v>
      </c>
      <c r="B286" s="5">
        <v>45413</v>
      </c>
      <c r="C286" t="s">
        <v>217</v>
      </c>
      <c r="D286" t="s">
        <v>218</v>
      </c>
      <c r="E286" t="s">
        <v>122</v>
      </c>
      <c r="F286" t="s">
        <v>154</v>
      </c>
      <c r="G286" t="s">
        <v>216</v>
      </c>
      <c r="H286" s="6">
        <v>95000</v>
      </c>
      <c r="I286" s="6">
        <v>0</v>
      </c>
      <c r="J286" s="6">
        <v>95000</v>
      </c>
    </row>
    <row r="287" spans="1:10">
      <c r="A287" t="s">
        <v>341</v>
      </c>
      <c r="B287" s="5">
        <v>45413</v>
      </c>
      <c r="C287" t="s">
        <v>167</v>
      </c>
      <c r="D287" t="s">
        <v>51</v>
      </c>
      <c r="E287" t="s">
        <v>150</v>
      </c>
      <c r="F287" t="s">
        <v>154</v>
      </c>
      <c r="G287" t="s">
        <v>216</v>
      </c>
      <c r="H287" s="6">
        <v>0</v>
      </c>
      <c r="I287" s="6">
        <v>95000</v>
      </c>
      <c r="J287" s="6">
        <v>-95000</v>
      </c>
    </row>
    <row r="288" spans="1:10">
      <c r="A288" t="s">
        <v>342</v>
      </c>
      <c r="B288" s="5">
        <v>45413</v>
      </c>
      <c r="C288" t="s">
        <v>217</v>
      </c>
      <c r="D288" t="s">
        <v>218</v>
      </c>
      <c r="E288" t="s">
        <v>122</v>
      </c>
      <c r="F288" t="s">
        <v>154</v>
      </c>
      <c r="G288" t="s">
        <v>216</v>
      </c>
      <c r="H288" s="6">
        <v>42697.44</v>
      </c>
      <c r="I288" s="6">
        <v>0</v>
      </c>
      <c r="J288" s="6">
        <v>42697.44</v>
      </c>
    </row>
    <row r="289" spans="1:10">
      <c r="A289" t="s">
        <v>342</v>
      </c>
      <c r="B289" s="5">
        <v>45413</v>
      </c>
      <c r="C289" t="s">
        <v>176</v>
      </c>
      <c r="D289" t="s">
        <v>52</v>
      </c>
      <c r="E289" t="s">
        <v>150</v>
      </c>
      <c r="F289" t="s">
        <v>154</v>
      </c>
      <c r="G289" t="s">
        <v>216</v>
      </c>
      <c r="H289" s="6">
        <v>0</v>
      </c>
      <c r="I289" s="6">
        <v>42697.44</v>
      </c>
      <c r="J289" s="6">
        <v>-42697.44</v>
      </c>
    </row>
    <row r="290" spans="1:10">
      <c r="A290" t="s">
        <v>343</v>
      </c>
      <c r="B290" s="5">
        <v>45413</v>
      </c>
      <c r="C290" t="s">
        <v>217</v>
      </c>
      <c r="D290" t="s">
        <v>218</v>
      </c>
      <c r="E290" t="s">
        <v>122</v>
      </c>
      <c r="F290" t="s">
        <v>154</v>
      </c>
      <c r="G290" t="s">
        <v>216</v>
      </c>
      <c r="H290" s="6">
        <v>32000</v>
      </c>
      <c r="I290" s="6">
        <v>0</v>
      </c>
      <c r="J290" s="6">
        <v>32000</v>
      </c>
    </row>
    <row r="291" spans="1:10">
      <c r="A291" t="s">
        <v>343</v>
      </c>
      <c r="B291" s="5">
        <v>45413</v>
      </c>
      <c r="C291" t="s">
        <v>179</v>
      </c>
      <c r="D291" t="s">
        <v>54</v>
      </c>
      <c r="E291" t="s">
        <v>150</v>
      </c>
      <c r="F291" t="s">
        <v>154</v>
      </c>
      <c r="G291" t="s">
        <v>216</v>
      </c>
      <c r="H291" s="6">
        <v>0</v>
      </c>
      <c r="I291" s="6">
        <v>32000</v>
      </c>
      <c r="J291" s="6">
        <v>-32000</v>
      </c>
    </row>
    <row r="292" spans="1:10">
      <c r="A292" t="s">
        <v>344</v>
      </c>
      <c r="B292" s="5">
        <v>45413</v>
      </c>
      <c r="C292" t="s">
        <v>217</v>
      </c>
      <c r="D292" t="s">
        <v>218</v>
      </c>
      <c r="E292" t="s">
        <v>122</v>
      </c>
      <c r="F292" t="s">
        <v>154</v>
      </c>
      <c r="G292" t="s">
        <v>216</v>
      </c>
      <c r="H292" s="6">
        <v>18000</v>
      </c>
      <c r="I292" s="6">
        <v>0</v>
      </c>
      <c r="J292" s="6">
        <v>18000</v>
      </c>
    </row>
    <row r="293" spans="1:10">
      <c r="A293" t="s">
        <v>344</v>
      </c>
      <c r="B293" s="5">
        <v>45413</v>
      </c>
      <c r="C293" t="s">
        <v>181</v>
      </c>
      <c r="D293" t="s">
        <v>56</v>
      </c>
      <c r="E293" t="s">
        <v>150</v>
      </c>
      <c r="F293" t="s">
        <v>154</v>
      </c>
      <c r="G293" t="s">
        <v>216</v>
      </c>
      <c r="H293" s="6">
        <v>0</v>
      </c>
      <c r="I293" s="6">
        <v>18000</v>
      </c>
      <c r="J293" s="6">
        <v>-18000</v>
      </c>
    </row>
    <row r="294" spans="1:10">
      <c r="A294" t="s">
        <v>345</v>
      </c>
      <c r="B294" s="5">
        <v>45413</v>
      </c>
      <c r="C294" t="s">
        <v>217</v>
      </c>
      <c r="D294" t="s">
        <v>218</v>
      </c>
      <c r="E294" t="s">
        <v>122</v>
      </c>
      <c r="F294" t="s">
        <v>154</v>
      </c>
      <c r="G294" t="s">
        <v>216</v>
      </c>
      <c r="H294" s="6">
        <v>26092.88</v>
      </c>
      <c r="I294" s="6">
        <v>0</v>
      </c>
      <c r="J294" s="6">
        <v>26092.88</v>
      </c>
    </row>
    <row r="295" spans="1:10">
      <c r="A295" t="s">
        <v>345</v>
      </c>
      <c r="B295" s="5">
        <v>45413</v>
      </c>
      <c r="C295" t="s">
        <v>183</v>
      </c>
      <c r="D295" t="s">
        <v>59</v>
      </c>
      <c r="E295" t="s">
        <v>150</v>
      </c>
      <c r="F295" t="s">
        <v>154</v>
      </c>
      <c r="G295" t="s">
        <v>216</v>
      </c>
      <c r="H295" s="6">
        <v>0</v>
      </c>
      <c r="I295" s="6">
        <v>26092.88</v>
      </c>
      <c r="J295" s="6">
        <v>-26092.88</v>
      </c>
    </row>
    <row r="296" spans="1:10">
      <c r="A296" t="s">
        <v>346</v>
      </c>
      <c r="B296" s="5">
        <v>45413</v>
      </c>
      <c r="C296" t="s">
        <v>217</v>
      </c>
      <c r="D296" t="s">
        <v>218</v>
      </c>
      <c r="E296" t="s">
        <v>122</v>
      </c>
      <c r="F296" t="s">
        <v>154</v>
      </c>
      <c r="G296" t="s">
        <v>216</v>
      </c>
      <c r="H296" s="6">
        <v>16440</v>
      </c>
      <c r="I296" s="6">
        <v>0</v>
      </c>
      <c r="J296" s="6">
        <v>16440</v>
      </c>
    </row>
    <row r="297" spans="1:10">
      <c r="A297" t="s">
        <v>346</v>
      </c>
      <c r="B297" s="5">
        <v>45413</v>
      </c>
      <c r="C297" t="s">
        <v>185</v>
      </c>
      <c r="D297" t="s">
        <v>186</v>
      </c>
      <c r="E297" t="s">
        <v>150</v>
      </c>
      <c r="F297" t="s">
        <v>154</v>
      </c>
      <c r="G297" t="s">
        <v>216</v>
      </c>
      <c r="H297" s="6">
        <v>0</v>
      </c>
      <c r="I297" s="6">
        <v>16440</v>
      </c>
      <c r="J297" s="6">
        <v>-16440</v>
      </c>
    </row>
    <row r="298" spans="1:10">
      <c r="A298" t="s">
        <v>347</v>
      </c>
      <c r="B298" s="5">
        <v>45413</v>
      </c>
      <c r="C298" t="s">
        <v>217</v>
      </c>
      <c r="D298" t="s">
        <v>218</v>
      </c>
      <c r="E298" t="s">
        <v>122</v>
      </c>
      <c r="F298" t="s">
        <v>154</v>
      </c>
      <c r="G298" t="s">
        <v>216</v>
      </c>
      <c r="H298" s="6">
        <v>8736</v>
      </c>
      <c r="I298" s="6">
        <v>0</v>
      </c>
      <c r="J298" s="6">
        <v>8736</v>
      </c>
    </row>
    <row r="299" spans="1:10">
      <c r="A299" t="s">
        <v>347</v>
      </c>
      <c r="B299" s="5">
        <v>45413</v>
      </c>
      <c r="C299" t="s">
        <v>191</v>
      </c>
      <c r="D299" t="s">
        <v>104</v>
      </c>
      <c r="E299" t="s">
        <v>150</v>
      </c>
      <c r="F299" t="s">
        <v>154</v>
      </c>
      <c r="G299" t="s">
        <v>216</v>
      </c>
      <c r="H299" s="6">
        <v>0</v>
      </c>
      <c r="I299" s="6">
        <v>8736</v>
      </c>
      <c r="J299" s="6">
        <v>-8736</v>
      </c>
    </row>
    <row r="300" spans="1:10">
      <c r="A300" t="s">
        <v>348</v>
      </c>
      <c r="B300" s="5">
        <v>45413</v>
      </c>
      <c r="C300" t="s">
        <v>217</v>
      </c>
      <c r="D300" t="s">
        <v>218</v>
      </c>
      <c r="E300" t="s">
        <v>122</v>
      </c>
      <c r="F300" t="s">
        <v>154</v>
      </c>
      <c r="G300" t="s">
        <v>216</v>
      </c>
      <c r="H300" s="6">
        <v>20753.72008800002</v>
      </c>
      <c r="I300" s="6">
        <v>0</v>
      </c>
      <c r="J300" s="6">
        <v>20753.72008800002</v>
      </c>
    </row>
    <row r="301" spans="1:10">
      <c r="A301" t="s">
        <v>348</v>
      </c>
      <c r="B301" s="5">
        <v>45413</v>
      </c>
      <c r="C301" t="s">
        <v>194</v>
      </c>
      <c r="D301" t="s">
        <v>195</v>
      </c>
      <c r="E301" t="s">
        <v>150</v>
      </c>
      <c r="F301" t="s">
        <v>154</v>
      </c>
      <c r="G301" t="s">
        <v>216</v>
      </c>
      <c r="H301" s="6">
        <v>0</v>
      </c>
      <c r="I301" s="6">
        <v>20753.72008800002</v>
      </c>
      <c r="J301" s="6">
        <v>-20753.72008800002</v>
      </c>
    </row>
    <row r="302" spans="1:10">
      <c r="A302" t="s">
        <v>349</v>
      </c>
      <c r="B302" s="5">
        <v>45444</v>
      </c>
      <c r="C302" t="s">
        <v>146</v>
      </c>
      <c r="D302" t="s">
        <v>86</v>
      </c>
      <c r="E302" t="s">
        <v>120</v>
      </c>
      <c r="F302" t="s">
        <v>52</v>
      </c>
      <c r="G302" t="s">
        <v>147</v>
      </c>
      <c r="H302" s="6">
        <v>1228190.6</v>
      </c>
      <c r="I302" s="6">
        <v>0</v>
      </c>
      <c r="J302" s="6">
        <v>1228190.6</v>
      </c>
    </row>
    <row r="303" spans="1:10">
      <c r="A303" t="s">
        <v>349</v>
      </c>
      <c r="B303" s="5">
        <v>45444</v>
      </c>
      <c r="C303" t="s">
        <v>148</v>
      </c>
      <c r="D303" t="s">
        <v>149</v>
      </c>
      <c r="E303" t="s">
        <v>150</v>
      </c>
      <c r="F303" t="s">
        <v>52</v>
      </c>
      <c r="G303" t="s">
        <v>147</v>
      </c>
      <c r="H303" s="6">
        <v>0</v>
      </c>
      <c r="I303" s="6">
        <v>1228190.6</v>
      </c>
      <c r="J303" s="6">
        <v>-1228190.6</v>
      </c>
    </row>
    <row r="304" spans="1:10">
      <c r="A304" t="s">
        <v>350</v>
      </c>
      <c r="B304" s="5">
        <v>45444</v>
      </c>
      <c r="C304" t="s">
        <v>152</v>
      </c>
      <c r="D304" t="s">
        <v>153</v>
      </c>
      <c r="E304" t="s">
        <v>150</v>
      </c>
      <c r="F304" t="s">
        <v>154</v>
      </c>
      <c r="G304" t="s">
        <v>155</v>
      </c>
      <c r="H304" s="6">
        <v>104396.201</v>
      </c>
      <c r="I304" s="6">
        <v>0</v>
      </c>
      <c r="J304" s="6">
        <v>104396.201</v>
      </c>
    </row>
    <row r="305" spans="1:10">
      <c r="A305" t="s">
        <v>350</v>
      </c>
      <c r="B305" s="5">
        <v>45444</v>
      </c>
      <c r="C305" t="s">
        <v>156</v>
      </c>
      <c r="D305" t="s">
        <v>157</v>
      </c>
      <c r="E305" t="s">
        <v>121</v>
      </c>
      <c r="F305" t="s">
        <v>154</v>
      </c>
      <c r="G305" t="s">
        <v>155</v>
      </c>
      <c r="H305" s="6">
        <v>0</v>
      </c>
      <c r="I305" s="6">
        <v>104396.201</v>
      </c>
      <c r="J305" s="6">
        <v>-104396.201</v>
      </c>
    </row>
    <row r="306" spans="1:10">
      <c r="A306" t="s">
        <v>351</v>
      </c>
      <c r="B306" s="5">
        <v>45444</v>
      </c>
      <c r="C306" t="s">
        <v>159</v>
      </c>
      <c r="D306" t="s">
        <v>160</v>
      </c>
      <c r="E306" t="s">
        <v>120</v>
      </c>
      <c r="F306" t="s">
        <v>58</v>
      </c>
      <c r="G306" t="s">
        <v>161</v>
      </c>
      <c r="H306" s="6">
        <v>855444</v>
      </c>
      <c r="I306" s="6">
        <v>0</v>
      </c>
      <c r="J306" s="6">
        <v>855444</v>
      </c>
    </row>
    <row r="307" spans="1:10">
      <c r="A307" t="s">
        <v>351</v>
      </c>
      <c r="B307" s="5">
        <v>45444</v>
      </c>
      <c r="C307" t="s">
        <v>162</v>
      </c>
      <c r="D307" t="s">
        <v>88</v>
      </c>
      <c r="E307" t="s">
        <v>121</v>
      </c>
      <c r="F307" t="s">
        <v>58</v>
      </c>
      <c r="G307" t="s">
        <v>161</v>
      </c>
      <c r="H307" s="6">
        <v>0</v>
      </c>
      <c r="I307" s="6">
        <v>855444</v>
      </c>
      <c r="J307" s="6">
        <v>-855444</v>
      </c>
    </row>
    <row r="308" spans="1:10">
      <c r="A308" t="s">
        <v>352</v>
      </c>
      <c r="B308" s="5">
        <v>45444</v>
      </c>
      <c r="C308" t="s">
        <v>164</v>
      </c>
      <c r="D308" t="s">
        <v>36</v>
      </c>
      <c r="E308" t="s">
        <v>150</v>
      </c>
      <c r="F308" t="s">
        <v>58</v>
      </c>
      <c r="G308" t="s">
        <v>165</v>
      </c>
      <c r="H308" s="6">
        <v>812940</v>
      </c>
      <c r="I308" s="6">
        <v>0</v>
      </c>
      <c r="J308" s="6">
        <v>812940</v>
      </c>
    </row>
    <row r="309" spans="1:10">
      <c r="A309" t="s">
        <v>352</v>
      </c>
      <c r="B309" s="5">
        <v>45444</v>
      </c>
      <c r="C309" t="s">
        <v>159</v>
      </c>
      <c r="D309" t="s">
        <v>160</v>
      </c>
      <c r="E309" t="s">
        <v>120</v>
      </c>
      <c r="F309" t="s">
        <v>58</v>
      </c>
      <c r="G309" t="s">
        <v>165</v>
      </c>
      <c r="H309" s="6">
        <v>0</v>
      </c>
      <c r="I309" s="6">
        <v>812940</v>
      </c>
      <c r="J309" s="6">
        <v>-812940</v>
      </c>
    </row>
    <row r="310" spans="1:10">
      <c r="A310" t="s">
        <v>353</v>
      </c>
      <c r="B310" s="5">
        <v>45444</v>
      </c>
      <c r="C310" t="s">
        <v>167</v>
      </c>
      <c r="D310" t="s">
        <v>51</v>
      </c>
      <c r="E310" t="s">
        <v>150</v>
      </c>
      <c r="F310" t="s">
        <v>51</v>
      </c>
      <c r="G310" t="s">
        <v>168</v>
      </c>
      <c r="H310" s="6">
        <v>95000</v>
      </c>
      <c r="I310" s="6">
        <v>0</v>
      </c>
      <c r="J310" s="6">
        <v>95000</v>
      </c>
    </row>
    <row r="311" spans="1:10">
      <c r="A311" t="s">
        <v>353</v>
      </c>
      <c r="B311" s="5">
        <v>45444</v>
      </c>
      <c r="C311" t="s">
        <v>169</v>
      </c>
      <c r="D311" t="s">
        <v>170</v>
      </c>
      <c r="E311" t="s">
        <v>121</v>
      </c>
      <c r="F311" t="s">
        <v>51</v>
      </c>
      <c r="G311" t="s">
        <v>168</v>
      </c>
      <c r="H311" s="6">
        <v>0</v>
      </c>
      <c r="I311" s="6">
        <v>95000</v>
      </c>
      <c r="J311" s="6">
        <v>-95000</v>
      </c>
    </row>
    <row r="312" spans="1:10">
      <c r="A312" t="s">
        <v>354</v>
      </c>
      <c r="B312" s="5">
        <v>45444</v>
      </c>
      <c r="C312" t="s">
        <v>169</v>
      </c>
      <c r="D312" t="s">
        <v>170</v>
      </c>
      <c r="E312" t="s">
        <v>121</v>
      </c>
      <c r="F312" t="s">
        <v>51</v>
      </c>
      <c r="G312" t="s">
        <v>172</v>
      </c>
      <c r="H312" s="6">
        <v>95000</v>
      </c>
      <c r="I312" s="6">
        <v>0</v>
      </c>
      <c r="J312" s="6">
        <v>95000</v>
      </c>
    </row>
    <row r="313" spans="1:10">
      <c r="A313" t="s">
        <v>354</v>
      </c>
      <c r="B313" s="5">
        <v>45444</v>
      </c>
      <c r="C313" t="s">
        <v>173</v>
      </c>
      <c r="D313" t="s">
        <v>174</v>
      </c>
      <c r="E313" t="s">
        <v>120</v>
      </c>
      <c r="F313" t="s">
        <v>51</v>
      </c>
      <c r="G313" t="s">
        <v>172</v>
      </c>
      <c r="H313" s="6">
        <v>0</v>
      </c>
      <c r="I313" s="6">
        <v>95000</v>
      </c>
      <c r="J313" s="6">
        <v>-95000</v>
      </c>
    </row>
    <row r="314" spans="1:10">
      <c r="A314" t="s">
        <v>355</v>
      </c>
      <c r="B314" s="5">
        <v>45444</v>
      </c>
      <c r="C314" t="s">
        <v>176</v>
      </c>
      <c r="D314" t="s">
        <v>52</v>
      </c>
      <c r="E314" t="s">
        <v>150</v>
      </c>
      <c r="F314" t="s">
        <v>52</v>
      </c>
      <c r="G314" t="s">
        <v>177</v>
      </c>
      <c r="H314" s="6">
        <v>44214.86</v>
      </c>
      <c r="I314" s="6">
        <v>0</v>
      </c>
      <c r="J314" s="6">
        <v>44214.86</v>
      </c>
    </row>
    <row r="315" spans="1:10">
      <c r="A315" t="s">
        <v>355</v>
      </c>
      <c r="B315" s="5">
        <v>45444</v>
      </c>
      <c r="C315" t="s">
        <v>173</v>
      </c>
      <c r="D315" t="s">
        <v>174</v>
      </c>
      <c r="E315" t="s">
        <v>120</v>
      </c>
      <c r="F315" t="s">
        <v>52</v>
      </c>
      <c r="G315" t="s">
        <v>177</v>
      </c>
      <c r="H315" s="6">
        <v>0</v>
      </c>
      <c r="I315" s="6">
        <v>44214.86</v>
      </c>
      <c r="J315" s="6">
        <v>-44214.86</v>
      </c>
    </row>
    <row r="316" spans="1:10">
      <c r="A316" t="s">
        <v>356</v>
      </c>
      <c r="B316" s="5">
        <v>45444</v>
      </c>
      <c r="C316" t="s">
        <v>179</v>
      </c>
      <c r="D316" t="s">
        <v>54</v>
      </c>
      <c r="E316" t="s">
        <v>150</v>
      </c>
      <c r="F316" t="s">
        <v>54</v>
      </c>
      <c r="G316" t="s">
        <v>177</v>
      </c>
      <c r="H316" s="6">
        <v>32000</v>
      </c>
      <c r="I316" s="6">
        <v>0</v>
      </c>
      <c r="J316" s="6">
        <v>32000</v>
      </c>
    </row>
    <row r="317" spans="1:10">
      <c r="A317" t="s">
        <v>356</v>
      </c>
      <c r="B317" s="5">
        <v>45444</v>
      </c>
      <c r="C317" t="s">
        <v>173</v>
      </c>
      <c r="D317" t="s">
        <v>174</v>
      </c>
      <c r="E317" t="s">
        <v>120</v>
      </c>
      <c r="F317" t="s">
        <v>54</v>
      </c>
      <c r="G317" t="s">
        <v>177</v>
      </c>
      <c r="H317" s="6">
        <v>0</v>
      </c>
      <c r="I317" s="6">
        <v>32000</v>
      </c>
      <c r="J317" s="6">
        <v>-32000</v>
      </c>
    </row>
    <row r="318" spans="1:10">
      <c r="A318" t="s">
        <v>357</v>
      </c>
      <c r="B318" s="5">
        <v>45444</v>
      </c>
      <c r="C318" t="s">
        <v>181</v>
      </c>
      <c r="D318" t="s">
        <v>56</v>
      </c>
      <c r="E318" t="s">
        <v>150</v>
      </c>
      <c r="F318" t="s">
        <v>56</v>
      </c>
      <c r="G318" t="s">
        <v>177</v>
      </c>
      <c r="H318" s="6">
        <v>18000</v>
      </c>
      <c r="I318" s="6">
        <v>0</v>
      </c>
      <c r="J318" s="6">
        <v>18000</v>
      </c>
    </row>
    <row r="319" spans="1:10">
      <c r="A319" t="s">
        <v>357</v>
      </c>
      <c r="B319" s="5">
        <v>45444</v>
      </c>
      <c r="C319" t="s">
        <v>173</v>
      </c>
      <c r="D319" t="s">
        <v>174</v>
      </c>
      <c r="E319" t="s">
        <v>120</v>
      </c>
      <c r="F319" t="s">
        <v>56</v>
      </c>
      <c r="G319" t="s">
        <v>177</v>
      </c>
      <c r="H319" s="6">
        <v>0</v>
      </c>
      <c r="I319" s="6">
        <v>18000</v>
      </c>
      <c r="J319" s="6">
        <v>-18000</v>
      </c>
    </row>
    <row r="320" spans="1:10">
      <c r="A320" t="s">
        <v>358</v>
      </c>
      <c r="B320" s="5">
        <v>45444</v>
      </c>
      <c r="C320" t="s">
        <v>183</v>
      </c>
      <c r="D320" t="s">
        <v>59</v>
      </c>
      <c r="E320" t="s">
        <v>150</v>
      </c>
      <c r="F320" t="s">
        <v>66</v>
      </c>
      <c r="G320" t="s">
        <v>177</v>
      </c>
      <c r="H320" s="6">
        <v>27020.19</v>
      </c>
      <c r="I320" s="6">
        <v>0</v>
      </c>
      <c r="J320" s="6">
        <v>27020.19</v>
      </c>
    </row>
    <row r="321" spans="1:10">
      <c r="A321" t="s">
        <v>358</v>
      </c>
      <c r="B321" s="5">
        <v>45444</v>
      </c>
      <c r="C321" t="s">
        <v>173</v>
      </c>
      <c r="D321" t="s">
        <v>174</v>
      </c>
      <c r="E321" t="s">
        <v>120</v>
      </c>
      <c r="F321" t="s">
        <v>66</v>
      </c>
      <c r="G321" t="s">
        <v>177</v>
      </c>
      <c r="H321" s="6">
        <v>0</v>
      </c>
      <c r="I321" s="6">
        <v>27020.19</v>
      </c>
      <c r="J321" s="6">
        <v>-27020.19</v>
      </c>
    </row>
    <row r="322" spans="1:10">
      <c r="A322" t="s">
        <v>359</v>
      </c>
      <c r="B322" s="5">
        <v>45444</v>
      </c>
      <c r="C322" t="s">
        <v>185</v>
      </c>
      <c r="D322" t="s">
        <v>186</v>
      </c>
      <c r="E322" t="s">
        <v>150</v>
      </c>
      <c r="F322" t="s">
        <v>154</v>
      </c>
      <c r="G322" t="s">
        <v>187</v>
      </c>
      <c r="H322" s="6">
        <v>16620</v>
      </c>
      <c r="I322" s="6">
        <v>0</v>
      </c>
      <c r="J322" s="6">
        <v>16620</v>
      </c>
    </row>
    <row r="323" spans="1:10">
      <c r="A323" t="s">
        <v>359</v>
      </c>
      <c r="B323" s="5">
        <v>45444</v>
      </c>
      <c r="C323" t="s">
        <v>188</v>
      </c>
      <c r="D323" t="s">
        <v>189</v>
      </c>
      <c r="E323" t="s">
        <v>120</v>
      </c>
      <c r="F323" t="s">
        <v>154</v>
      </c>
      <c r="G323" t="s">
        <v>187</v>
      </c>
      <c r="H323" s="6">
        <v>0</v>
      </c>
      <c r="I323" s="6">
        <v>16620</v>
      </c>
      <c r="J323" s="6">
        <v>-16620</v>
      </c>
    </row>
    <row r="324" spans="1:10">
      <c r="A324" t="s">
        <v>360</v>
      </c>
      <c r="B324" s="5">
        <v>45444</v>
      </c>
      <c r="C324" t="s">
        <v>191</v>
      </c>
      <c r="D324" t="s">
        <v>104</v>
      </c>
      <c r="E324" t="s">
        <v>150</v>
      </c>
      <c r="F324" t="s">
        <v>154</v>
      </c>
      <c r="G324" t="s">
        <v>192</v>
      </c>
      <c r="H324" s="6">
        <v>8520</v>
      </c>
      <c r="I324" s="6">
        <v>0</v>
      </c>
      <c r="J324" s="6">
        <v>8520</v>
      </c>
    </row>
    <row r="325" spans="1:10">
      <c r="A325" t="s">
        <v>360</v>
      </c>
      <c r="B325" s="5">
        <v>45444</v>
      </c>
      <c r="C325" t="s">
        <v>173</v>
      </c>
      <c r="D325" t="s">
        <v>174</v>
      </c>
      <c r="E325" t="s">
        <v>120</v>
      </c>
      <c r="F325" t="s">
        <v>154</v>
      </c>
      <c r="G325" t="s">
        <v>192</v>
      </c>
      <c r="H325" s="6">
        <v>0</v>
      </c>
      <c r="I325" s="6">
        <v>8520</v>
      </c>
      <c r="J325" s="6">
        <v>-8520</v>
      </c>
    </row>
    <row r="326" spans="1:10">
      <c r="A326" t="s">
        <v>361</v>
      </c>
      <c r="B326" s="5">
        <v>45444</v>
      </c>
      <c r="C326" t="s">
        <v>194</v>
      </c>
      <c r="D326" t="s">
        <v>195</v>
      </c>
      <c r="E326" t="s">
        <v>150</v>
      </c>
      <c r="F326" t="s">
        <v>154</v>
      </c>
      <c r="G326" t="s">
        <v>196</v>
      </c>
      <c r="H326" s="6">
        <v>23622.97866</v>
      </c>
      <c r="I326" s="6">
        <v>0</v>
      </c>
      <c r="J326" s="6">
        <v>23622.97866</v>
      </c>
    </row>
    <row r="327" spans="1:10">
      <c r="A327" t="s">
        <v>361</v>
      </c>
      <c r="B327" s="5">
        <v>45444</v>
      </c>
      <c r="C327" t="s">
        <v>197</v>
      </c>
      <c r="D327" t="s">
        <v>198</v>
      </c>
      <c r="E327" t="s">
        <v>121</v>
      </c>
      <c r="F327" t="s">
        <v>154</v>
      </c>
      <c r="G327" t="s">
        <v>196</v>
      </c>
      <c r="H327" s="6">
        <v>0</v>
      </c>
      <c r="I327" s="6">
        <v>23622.97866</v>
      </c>
      <c r="J327" s="6">
        <v>-23622.97866</v>
      </c>
    </row>
    <row r="328" spans="1:10">
      <c r="A328" t="s">
        <v>362</v>
      </c>
      <c r="B328" s="5">
        <v>45444</v>
      </c>
      <c r="C328" t="s">
        <v>173</v>
      </c>
      <c r="D328" t="s">
        <v>174</v>
      </c>
      <c r="E328" t="s">
        <v>120</v>
      </c>
      <c r="F328" t="s">
        <v>154</v>
      </c>
      <c r="G328" t="s">
        <v>200</v>
      </c>
      <c r="H328" s="6">
        <v>1171989.906666667</v>
      </c>
      <c r="I328" s="6">
        <v>0</v>
      </c>
      <c r="J328" s="6">
        <v>1171989.906666667</v>
      </c>
    </row>
    <row r="329" spans="1:10">
      <c r="A329" t="s">
        <v>362</v>
      </c>
      <c r="B329" s="5">
        <v>45444</v>
      </c>
      <c r="C329" t="s">
        <v>146</v>
      </c>
      <c r="D329" t="s">
        <v>86</v>
      </c>
      <c r="E329" t="s">
        <v>120</v>
      </c>
      <c r="F329" t="s">
        <v>154</v>
      </c>
      <c r="G329" t="s">
        <v>200</v>
      </c>
      <c r="H329" s="6">
        <v>0</v>
      </c>
      <c r="I329" s="6">
        <v>1171989.906666667</v>
      </c>
      <c r="J329" s="6">
        <v>-1171989.906666667</v>
      </c>
    </row>
    <row r="330" spans="1:10">
      <c r="A330" t="s">
        <v>363</v>
      </c>
      <c r="B330" s="5">
        <v>45444</v>
      </c>
      <c r="C330" t="s">
        <v>162</v>
      </c>
      <c r="D330" t="s">
        <v>88</v>
      </c>
      <c r="E330" t="s">
        <v>121</v>
      </c>
      <c r="F330" t="s">
        <v>154</v>
      </c>
      <c r="G330" t="s">
        <v>202</v>
      </c>
      <c r="H330" s="6">
        <v>823104</v>
      </c>
      <c r="I330" s="6">
        <v>0</v>
      </c>
      <c r="J330" s="6">
        <v>823104</v>
      </c>
    </row>
    <row r="331" spans="1:10">
      <c r="A331" t="s">
        <v>363</v>
      </c>
      <c r="B331" s="5">
        <v>45444</v>
      </c>
      <c r="C331" t="s">
        <v>173</v>
      </c>
      <c r="D331" t="s">
        <v>174</v>
      </c>
      <c r="E331" t="s">
        <v>120</v>
      </c>
      <c r="F331" t="s">
        <v>154</v>
      </c>
      <c r="G331" t="s">
        <v>202</v>
      </c>
      <c r="H331" s="6">
        <v>0</v>
      </c>
      <c r="I331" s="6">
        <v>823104</v>
      </c>
      <c r="J331" s="6">
        <v>-823104</v>
      </c>
    </row>
    <row r="332" spans="1:10">
      <c r="A332" t="s">
        <v>364</v>
      </c>
      <c r="B332" s="5">
        <v>45444</v>
      </c>
      <c r="C332" t="s">
        <v>156</v>
      </c>
      <c r="D332" t="s">
        <v>157</v>
      </c>
      <c r="E332" t="s">
        <v>121</v>
      </c>
      <c r="F332" t="s">
        <v>154</v>
      </c>
      <c r="G332" t="s">
        <v>204</v>
      </c>
      <c r="H332" s="6">
        <v>100813.4068</v>
      </c>
      <c r="I332" s="6">
        <v>0</v>
      </c>
      <c r="J332" s="6">
        <v>100813.4068</v>
      </c>
    </row>
    <row r="333" spans="1:10">
      <c r="A333" t="s">
        <v>364</v>
      </c>
      <c r="B333" s="5">
        <v>45444</v>
      </c>
      <c r="C333" t="s">
        <v>173</v>
      </c>
      <c r="D333" t="s">
        <v>174</v>
      </c>
      <c r="E333" t="s">
        <v>120</v>
      </c>
      <c r="F333" t="s">
        <v>154</v>
      </c>
      <c r="G333" t="s">
        <v>204</v>
      </c>
      <c r="H333" s="6">
        <v>0</v>
      </c>
      <c r="I333" s="6">
        <v>100813.4068</v>
      </c>
      <c r="J333" s="6">
        <v>-100813.4068</v>
      </c>
    </row>
    <row r="334" spans="1:10">
      <c r="A334" t="s">
        <v>365</v>
      </c>
      <c r="B334" s="5">
        <v>45444</v>
      </c>
      <c r="C334" t="s">
        <v>197</v>
      </c>
      <c r="D334" t="s">
        <v>198</v>
      </c>
      <c r="E334" t="s">
        <v>121</v>
      </c>
      <c r="F334" t="s">
        <v>154</v>
      </c>
      <c r="G334" t="s">
        <v>206</v>
      </c>
      <c r="H334" s="6">
        <v>20753.72008800003</v>
      </c>
      <c r="I334" s="6">
        <v>0</v>
      </c>
      <c r="J334" s="6">
        <v>20753.72008800003</v>
      </c>
    </row>
    <row r="335" spans="1:10">
      <c r="A335" t="s">
        <v>365</v>
      </c>
      <c r="B335" s="5">
        <v>45444</v>
      </c>
      <c r="C335" t="s">
        <v>173</v>
      </c>
      <c r="D335" t="s">
        <v>174</v>
      </c>
      <c r="E335" t="s">
        <v>120</v>
      </c>
      <c r="F335" t="s">
        <v>154</v>
      </c>
      <c r="G335" t="s">
        <v>206</v>
      </c>
      <c r="H335" s="6">
        <v>0</v>
      </c>
      <c r="I335" s="6">
        <v>20753.72008800003</v>
      </c>
      <c r="J335" s="6">
        <v>-20753.72008800003</v>
      </c>
    </row>
    <row r="336" spans="1:10">
      <c r="A336" t="s">
        <v>366</v>
      </c>
      <c r="B336" s="5">
        <v>45444</v>
      </c>
      <c r="C336" t="s">
        <v>208</v>
      </c>
      <c r="D336" t="s">
        <v>209</v>
      </c>
      <c r="E336" t="s">
        <v>120</v>
      </c>
      <c r="F336" t="s">
        <v>154</v>
      </c>
      <c r="G336" t="s">
        <v>210</v>
      </c>
      <c r="H336" s="6">
        <v>90000</v>
      </c>
      <c r="I336" s="6">
        <v>0</v>
      </c>
      <c r="J336" s="6">
        <v>90000</v>
      </c>
    </row>
    <row r="337" spans="1:10">
      <c r="A337" t="s">
        <v>366</v>
      </c>
      <c r="B337" s="5">
        <v>45444</v>
      </c>
      <c r="C337" t="s">
        <v>173</v>
      </c>
      <c r="D337" t="s">
        <v>174</v>
      </c>
      <c r="E337" t="s">
        <v>120</v>
      </c>
      <c r="F337" t="s">
        <v>154</v>
      </c>
      <c r="G337" t="s">
        <v>210</v>
      </c>
      <c r="H337" s="6">
        <v>0</v>
      </c>
      <c r="I337" s="6">
        <v>90000</v>
      </c>
      <c r="J337" s="6">
        <v>-90000</v>
      </c>
    </row>
    <row r="338" spans="1:10">
      <c r="A338" t="s">
        <v>367</v>
      </c>
      <c r="B338" s="5">
        <v>45444</v>
      </c>
      <c r="C338" t="s">
        <v>212</v>
      </c>
      <c r="D338" t="s">
        <v>213</v>
      </c>
      <c r="E338" t="s">
        <v>121</v>
      </c>
      <c r="F338" t="s">
        <v>154</v>
      </c>
      <c r="G338" t="s">
        <v>214</v>
      </c>
      <c r="H338" s="6">
        <v>18000</v>
      </c>
      <c r="I338" s="6">
        <v>0</v>
      </c>
      <c r="J338" s="6">
        <v>18000</v>
      </c>
    </row>
    <row r="339" spans="1:10">
      <c r="A339" t="s">
        <v>367</v>
      </c>
      <c r="B339" s="5">
        <v>45444</v>
      </c>
      <c r="C339" t="s">
        <v>173</v>
      </c>
      <c r="D339" t="s">
        <v>174</v>
      </c>
      <c r="E339" t="s">
        <v>120</v>
      </c>
      <c r="F339" t="s">
        <v>154</v>
      </c>
      <c r="G339" t="s">
        <v>214</v>
      </c>
      <c r="H339" s="6">
        <v>0</v>
      </c>
      <c r="I339" s="6">
        <v>18000</v>
      </c>
      <c r="J339" s="6">
        <v>-18000</v>
      </c>
    </row>
    <row r="340" spans="1:10">
      <c r="A340" t="s">
        <v>368</v>
      </c>
      <c r="B340" s="5">
        <v>45444</v>
      </c>
      <c r="C340" t="s">
        <v>148</v>
      </c>
      <c r="D340" t="s">
        <v>149</v>
      </c>
      <c r="E340" t="s">
        <v>150</v>
      </c>
      <c r="F340" t="s">
        <v>154</v>
      </c>
      <c r="G340" t="s">
        <v>216</v>
      </c>
      <c r="H340" s="6">
        <v>1228190.6</v>
      </c>
      <c r="I340" s="6">
        <v>0</v>
      </c>
      <c r="J340" s="6">
        <v>1228190.6</v>
      </c>
    </row>
    <row r="341" spans="1:10">
      <c r="A341" t="s">
        <v>368</v>
      </c>
      <c r="B341" s="5">
        <v>45444</v>
      </c>
      <c r="C341" t="s">
        <v>217</v>
      </c>
      <c r="D341" t="s">
        <v>218</v>
      </c>
      <c r="E341" t="s">
        <v>122</v>
      </c>
      <c r="F341" t="s">
        <v>154</v>
      </c>
      <c r="G341" t="s">
        <v>216</v>
      </c>
      <c r="H341" s="6">
        <v>0</v>
      </c>
      <c r="I341" s="6">
        <v>1228190.6</v>
      </c>
      <c r="J341" s="6">
        <v>-1228190.6</v>
      </c>
    </row>
    <row r="342" spans="1:10">
      <c r="A342" t="s">
        <v>369</v>
      </c>
      <c r="B342" s="5">
        <v>45444</v>
      </c>
      <c r="C342" t="s">
        <v>217</v>
      </c>
      <c r="D342" t="s">
        <v>218</v>
      </c>
      <c r="E342" t="s">
        <v>122</v>
      </c>
      <c r="F342" t="s">
        <v>154</v>
      </c>
      <c r="G342" t="s">
        <v>216</v>
      </c>
      <c r="H342" s="6">
        <v>104396.201</v>
      </c>
      <c r="I342" s="6">
        <v>0</v>
      </c>
      <c r="J342" s="6">
        <v>104396.201</v>
      </c>
    </row>
    <row r="343" spans="1:10">
      <c r="A343" t="s">
        <v>369</v>
      </c>
      <c r="B343" s="5">
        <v>45444</v>
      </c>
      <c r="C343" t="s">
        <v>152</v>
      </c>
      <c r="D343" t="s">
        <v>153</v>
      </c>
      <c r="E343" t="s">
        <v>150</v>
      </c>
      <c r="F343" t="s">
        <v>154</v>
      </c>
      <c r="G343" t="s">
        <v>216</v>
      </c>
      <c r="H343" s="6">
        <v>0</v>
      </c>
      <c r="I343" s="6">
        <v>104396.201</v>
      </c>
      <c r="J343" s="6">
        <v>-104396.201</v>
      </c>
    </row>
    <row r="344" spans="1:10">
      <c r="A344" t="s">
        <v>370</v>
      </c>
      <c r="B344" s="5">
        <v>45444</v>
      </c>
      <c r="C344" t="s">
        <v>217</v>
      </c>
      <c r="D344" t="s">
        <v>218</v>
      </c>
      <c r="E344" t="s">
        <v>122</v>
      </c>
      <c r="F344" t="s">
        <v>154</v>
      </c>
      <c r="G344" t="s">
        <v>216</v>
      </c>
      <c r="H344" s="6">
        <v>812940</v>
      </c>
      <c r="I344" s="6">
        <v>0</v>
      </c>
      <c r="J344" s="6">
        <v>812940</v>
      </c>
    </row>
    <row r="345" spans="1:10">
      <c r="A345" t="s">
        <v>370</v>
      </c>
      <c r="B345" s="5">
        <v>45444</v>
      </c>
      <c r="C345" t="s">
        <v>164</v>
      </c>
      <c r="D345" t="s">
        <v>36</v>
      </c>
      <c r="E345" t="s">
        <v>150</v>
      </c>
      <c r="F345" t="s">
        <v>154</v>
      </c>
      <c r="G345" t="s">
        <v>216</v>
      </c>
      <c r="H345" s="6">
        <v>0</v>
      </c>
      <c r="I345" s="6">
        <v>812940</v>
      </c>
      <c r="J345" s="6">
        <v>-812940</v>
      </c>
    </row>
    <row r="346" spans="1:10">
      <c r="A346" t="s">
        <v>371</v>
      </c>
      <c r="B346" s="5">
        <v>45444</v>
      </c>
      <c r="C346" t="s">
        <v>217</v>
      </c>
      <c r="D346" t="s">
        <v>218</v>
      </c>
      <c r="E346" t="s">
        <v>122</v>
      </c>
      <c r="F346" t="s">
        <v>154</v>
      </c>
      <c r="G346" t="s">
        <v>216</v>
      </c>
      <c r="H346" s="6">
        <v>95000</v>
      </c>
      <c r="I346" s="6">
        <v>0</v>
      </c>
      <c r="J346" s="6">
        <v>95000</v>
      </c>
    </row>
    <row r="347" spans="1:10">
      <c r="A347" t="s">
        <v>371</v>
      </c>
      <c r="B347" s="5">
        <v>45444</v>
      </c>
      <c r="C347" t="s">
        <v>167</v>
      </c>
      <c r="D347" t="s">
        <v>51</v>
      </c>
      <c r="E347" t="s">
        <v>150</v>
      </c>
      <c r="F347" t="s">
        <v>154</v>
      </c>
      <c r="G347" t="s">
        <v>216</v>
      </c>
      <c r="H347" s="6">
        <v>0</v>
      </c>
      <c r="I347" s="6">
        <v>95000</v>
      </c>
      <c r="J347" s="6">
        <v>-95000</v>
      </c>
    </row>
    <row r="348" spans="1:10">
      <c r="A348" t="s">
        <v>372</v>
      </c>
      <c r="B348" s="5">
        <v>45444</v>
      </c>
      <c r="C348" t="s">
        <v>217</v>
      </c>
      <c r="D348" t="s">
        <v>218</v>
      </c>
      <c r="E348" t="s">
        <v>122</v>
      </c>
      <c r="F348" t="s">
        <v>154</v>
      </c>
      <c r="G348" t="s">
        <v>216</v>
      </c>
      <c r="H348" s="6">
        <v>44214.86</v>
      </c>
      <c r="I348" s="6">
        <v>0</v>
      </c>
      <c r="J348" s="6">
        <v>44214.86</v>
      </c>
    </row>
    <row r="349" spans="1:10">
      <c r="A349" t="s">
        <v>372</v>
      </c>
      <c r="B349" s="5">
        <v>45444</v>
      </c>
      <c r="C349" t="s">
        <v>176</v>
      </c>
      <c r="D349" t="s">
        <v>52</v>
      </c>
      <c r="E349" t="s">
        <v>150</v>
      </c>
      <c r="F349" t="s">
        <v>154</v>
      </c>
      <c r="G349" t="s">
        <v>216</v>
      </c>
      <c r="H349" s="6">
        <v>0</v>
      </c>
      <c r="I349" s="6">
        <v>44214.86</v>
      </c>
      <c r="J349" s="6">
        <v>-44214.86</v>
      </c>
    </row>
    <row r="350" spans="1:10">
      <c r="A350" t="s">
        <v>373</v>
      </c>
      <c r="B350" s="5">
        <v>45444</v>
      </c>
      <c r="C350" t="s">
        <v>217</v>
      </c>
      <c r="D350" t="s">
        <v>218</v>
      </c>
      <c r="E350" t="s">
        <v>122</v>
      </c>
      <c r="F350" t="s">
        <v>154</v>
      </c>
      <c r="G350" t="s">
        <v>216</v>
      </c>
      <c r="H350" s="6">
        <v>32000</v>
      </c>
      <c r="I350" s="6">
        <v>0</v>
      </c>
      <c r="J350" s="6">
        <v>32000</v>
      </c>
    </row>
    <row r="351" spans="1:10">
      <c r="A351" t="s">
        <v>373</v>
      </c>
      <c r="B351" s="5">
        <v>45444</v>
      </c>
      <c r="C351" t="s">
        <v>179</v>
      </c>
      <c r="D351" t="s">
        <v>54</v>
      </c>
      <c r="E351" t="s">
        <v>150</v>
      </c>
      <c r="F351" t="s">
        <v>154</v>
      </c>
      <c r="G351" t="s">
        <v>216</v>
      </c>
      <c r="H351" s="6">
        <v>0</v>
      </c>
      <c r="I351" s="6">
        <v>32000</v>
      </c>
      <c r="J351" s="6">
        <v>-32000</v>
      </c>
    </row>
    <row r="352" spans="1:10">
      <c r="A352" t="s">
        <v>374</v>
      </c>
      <c r="B352" s="5">
        <v>45444</v>
      </c>
      <c r="C352" t="s">
        <v>217</v>
      </c>
      <c r="D352" t="s">
        <v>218</v>
      </c>
      <c r="E352" t="s">
        <v>122</v>
      </c>
      <c r="F352" t="s">
        <v>154</v>
      </c>
      <c r="G352" t="s">
        <v>216</v>
      </c>
      <c r="H352" s="6">
        <v>18000</v>
      </c>
      <c r="I352" s="6">
        <v>0</v>
      </c>
      <c r="J352" s="6">
        <v>18000</v>
      </c>
    </row>
    <row r="353" spans="1:10">
      <c r="A353" t="s">
        <v>374</v>
      </c>
      <c r="B353" s="5">
        <v>45444</v>
      </c>
      <c r="C353" t="s">
        <v>181</v>
      </c>
      <c r="D353" t="s">
        <v>56</v>
      </c>
      <c r="E353" t="s">
        <v>150</v>
      </c>
      <c r="F353" t="s">
        <v>154</v>
      </c>
      <c r="G353" t="s">
        <v>216</v>
      </c>
      <c r="H353" s="6">
        <v>0</v>
      </c>
      <c r="I353" s="6">
        <v>18000</v>
      </c>
      <c r="J353" s="6">
        <v>-18000</v>
      </c>
    </row>
    <row r="354" spans="1:10">
      <c r="A354" t="s">
        <v>375</v>
      </c>
      <c r="B354" s="5">
        <v>45444</v>
      </c>
      <c r="C354" t="s">
        <v>217</v>
      </c>
      <c r="D354" t="s">
        <v>218</v>
      </c>
      <c r="E354" t="s">
        <v>122</v>
      </c>
      <c r="F354" t="s">
        <v>154</v>
      </c>
      <c r="G354" t="s">
        <v>216</v>
      </c>
      <c r="H354" s="6">
        <v>27020.19</v>
      </c>
      <c r="I354" s="6">
        <v>0</v>
      </c>
      <c r="J354" s="6">
        <v>27020.19</v>
      </c>
    </row>
    <row r="355" spans="1:10">
      <c r="A355" t="s">
        <v>375</v>
      </c>
      <c r="B355" s="5">
        <v>45444</v>
      </c>
      <c r="C355" t="s">
        <v>183</v>
      </c>
      <c r="D355" t="s">
        <v>59</v>
      </c>
      <c r="E355" t="s">
        <v>150</v>
      </c>
      <c r="F355" t="s">
        <v>154</v>
      </c>
      <c r="G355" t="s">
        <v>216</v>
      </c>
      <c r="H355" s="6">
        <v>0</v>
      </c>
      <c r="I355" s="6">
        <v>27020.19</v>
      </c>
      <c r="J355" s="6">
        <v>-27020.19</v>
      </c>
    </row>
    <row r="356" spans="1:10">
      <c r="A356" t="s">
        <v>376</v>
      </c>
      <c r="B356" s="5">
        <v>45444</v>
      </c>
      <c r="C356" t="s">
        <v>217</v>
      </c>
      <c r="D356" t="s">
        <v>218</v>
      </c>
      <c r="E356" t="s">
        <v>122</v>
      </c>
      <c r="F356" t="s">
        <v>154</v>
      </c>
      <c r="G356" t="s">
        <v>216</v>
      </c>
      <c r="H356" s="6">
        <v>16620</v>
      </c>
      <c r="I356" s="6">
        <v>0</v>
      </c>
      <c r="J356" s="6">
        <v>16620</v>
      </c>
    </row>
    <row r="357" spans="1:10">
      <c r="A357" t="s">
        <v>376</v>
      </c>
      <c r="B357" s="5">
        <v>45444</v>
      </c>
      <c r="C357" t="s">
        <v>185</v>
      </c>
      <c r="D357" t="s">
        <v>186</v>
      </c>
      <c r="E357" t="s">
        <v>150</v>
      </c>
      <c r="F357" t="s">
        <v>154</v>
      </c>
      <c r="G357" t="s">
        <v>216</v>
      </c>
      <c r="H357" s="6">
        <v>0</v>
      </c>
      <c r="I357" s="6">
        <v>16620</v>
      </c>
      <c r="J357" s="6">
        <v>-16620</v>
      </c>
    </row>
    <row r="358" spans="1:10">
      <c r="A358" t="s">
        <v>377</v>
      </c>
      <c r="B358" s="5">
        <v>45444</v>
      </c>
      <c r="C358" t="s">
        <v>217</v>
      </c>
      <c r="D358" t="s">
        <v>218</v>
      </c>
      <c r="E358" t="s">
        <v>122</v>
      </c>
      <c r="F358" t="s">
        <v>154</v>
      </c>
      <c r="G358" t="s">
        <v>216</v>
      </c>
      <c r="H358" s="6">
        <v>8520</v>
      </c>
      <c r="I358" s="6">
        <v>0</v>
      </c>
      <c r="J358" s="6">
        <v>8520</v>
      </c>
    </row>
    <row r="359" spans="1:10">
      <c r="A359" t="s">
        <v>377</v>
      </c>
      <c r="B359" s="5">
        <v>45444</v>
      </c>
      <c r="C359" t="s">
        <v>191</v>
      </c>
      <c r="D359" t="s">
        <v>104</v>
      </c>
      <c r="E359" t="s">
        <v>150</v>
      </c>
      <c r="F359" t="s">
        <v>154</v>
      </c>
      <c r="G359" t="s">
        <v>216</v>
      </c>
      <c r="H359" s="6">
        <v>0</v>
      </c>
      <c r="I359" s="6">
        <v>8520</v>
      </c>
      <c r="J359" s="6">
        <v>-8520</v>
      </c>
    </row>
    <row r="360" spans="1:10">
      <c r="A360" t="s">
        <v>378</v>
      </c>
      <c r="B360" s="5">
        <v>45444</v>
      </c>
      <c r="C360" t="s">
        <v>217</v>
      </c>
      <c r="D360" t="s">
        <v>218</v>
      </c>
      <c r="E360" t="s">
        <v>122</v>
      </c>
      <c r="F360" t="s">
        <v>154</v>
      </c>
      <c r="G360" t="s">
        <v>216</v>
      </c>
      <c r="H360" s="6">
        <v>23622.97866</v>
      </c>
      <c r="I360" s="6">
        <v>0</v>
      </c>
      <c r="J360" s="6">
        <v>23622.97866</v>
      </c>
    </row>
    <row r="361" spans="1:10">
      <c r="A361" t="s">
        <v>378</v>
      </c>
      <c r="B361" s="5">
        <v>45444</v>
      </c>
      <c r="C361" t="s">
        <v>194</v>
      </c>
      <c r="D361" t="s">
        <v>195</v>
      </c>
      <c r="E361" t="s">
        <v>150</v>
      </c>
      <c r="F361" t="s">
        <v>154</v>
      </c>
      <c r="G361" t="s">
        <v>216</v>
      </c>
      <c r="H361" s="6">
        <v>0</v>
      </c>
      <c r="I361" s="6">
        <v>23622.97866</v>
      </c>
      <c r="J361" s="6">
        <v>-23622.97866</v>
      </c>
    </row>
    <row r="362" spans="1:10">
      <c r="A362" t="s">
        <v>379</v>
      </c>
      <c r="B362" s="5">
        <v>45474</v>
      </c>
      <c r="C362" t="s">
        <v>146</v>
      </c>
      <c r="D362" t="s">
        <v>86</v>
      </c>
      <c r="E362" t="s">
        <v>120</v>
      </c>
      <c r="F362" t="s">
        <v>52</v>
      </c>
      <c r="G362" t="s">
        <v>147</v>
      </c>
      <c r="H362" s="6">
        <v>1083854.96</v>
      </c>
      <c r="I362" s="6">
        <v>0</v>
      </c>
      <c r="J362" s="6">
        <v>1083854.96</v>
      </c>
    </row>
    <row r="363" spans="1:10">
      <c r="A363" t="s">
        <v>379</v>
      </c>
      <c r="B363" s="5">
        <v>45474</v>
      </c>
      <c r="C363" t="s">
        <v>148</v>
      </c>
      <c r="D363" t="s">
        <v>149</v>
      </c>
      <c r="E363" t="s">
        <v>150</v>
      </c>
      <c r="F363" t="s">
        <v>52</v>
      </c>
      <c r="G363" t="s">
        <v>147</v>
      </c>
      <c r="H363" s="6">
        <v>0</v>
      </c>
      <c r="I363" s="6">
        <v>1083854.96</v>
      </c>
      <c r="J363" s="6">
        <v>-1083854.96</v>
      </c>
    </row>
    <row r="364" spans="1:10">
      <c r="A364" t="s">
        <v>380</v>
      </c>
      <c r="B364" s="5">
        <v>45474</v>
      </c>
      <c r="C364" t="s">
        <v>152</v>
      </c>
      <c r="D364" t="s">
        <v>153</v>
      </c>
      <c r="E364" t="s">
        <v>150</v>
      </c>
      <c r="F364" t="s">
        <v>154</v>
      </c>
      <c r="G364" t="s">
        <v>155</v>
      </c>
      <c r="H364" s="6">
        <v>92127.6716</v>
      </c>
      <c r="I364" s="6">
        <v>0</v>
      </c>
      <c r="J364" s="6">
        <v>92127.6716</v>
      </c>
    </row>
    <row r="365" spans="1:10">
      <c r="A365" t="s">
        <v>380</v>
      </c>
      <c r="B365" s="5">
        <v>45474</v>
      </c>
      <c r="C365" t="s">
        <v>156</v>
      </c>
      <c r="D365" t="s">
        <v>157</v>
      </c>
      <c r="E365" t="s">
        <v>121</v>
      </c>
      <c r="F365" t="s">
        <v>154</v>
      </c>
      <c r="G365" t="s">
        <v>155</v>
      </c>
      <c r="H365" s="6">
        <v>0</v>
      </c>
      <c r="I365" s="6">
        <v>92127.6716</v>
      </c>
      <c r="J365" s="6">
        <v>-92127.6716</v>
      </c>
    </row>
    <row r="366" spans="1:10">
      <c r="A366" t="s">
        <v>381</v>
      </c>
      <c r="B366" s="5">
        <v>45474</v>
      </c>
      <c r="C366" t="s">
        <v>159</v>
      </c>
      <c r="D366" t="s">
        <v>160</v>
      </c>
      <c r="E366" t="s">
        <v>120</v>
      </c>
      <c r="F366" t="s">
        <v>58</v>
      </c>
      <c r="G366" t="s">
        <v>161</v>
      </c>
      <c r="H366" s="6">
        <v>573033.3333333333</v>
      </c>
      <c r="I366" s="6">
        <v>0</v>
      </c>
      <c r="J366" s="6">
        <v>573033.3333333333</v>
      </c>
    </row>
    <row r="367" spans="1:10">
      <c r="A367" t="s">
        <v>381</v>
      </c>
      <c r="B367" s="5">
        <v>45474</v>
      </c>
      <c r="C367" t="s">
        <v>162</v>
      </c>
      <c r="D367" t="s">
        <v>88</v>
      </c>
      <c r="E367" t="s">
        <v>121</v>
      </c>
      <c r="F367" t="s">
        <v>58</v>
      </c>
      <c r="G367" t="s">
        <v>161</v>
      </c>
      <c r="H367" s="6">
        <v>0</v>
      </c>
      <c r="I367" s="6">
        <v>573033.3333333333</v>
      </c>
      <c r="J367" s="6">
        <v>-573033.3333333333</v>
      </c>
    </row>
    <row r="368" spans="1:10">
      <c r="A368" t="s">
        <v>382</v>
      </c>
      <c r="B368" s="5">
        <v>45474</v>
      </c>
      <c r="C368" t="s">
        <v>164</v>
      </c>
      <c r="D368" t="s">
        <v>36</v>
      </c>
      <c r="E368" t="s">
        <v>150</v>
      </c>
      <c r="F368" t="s">
        <v>58</v>
      </c>
      <c r="G368" t="s">
        <v>165</v>
      </c>
      <c r="H368" s="6">
        <v>718240</v>
      </c>
      <c r="I368" s="6">
        <v>0</v>
      </c>
      <c r="J368" s="6">
        <v>718240</v>
      </c>
    </row>
    <row r="369" spans="1:10">
      <c r="A369" t="s">
        <v>382</v>
      </c>
      <c r="B369" s="5">
        <v>45474</v>
      </c>
      <c r="C369" t="s">
        <v>159</v>
      </c>
      <c r="D369" t="s">
        <v>160</v>
      </c>
      <c r="E369" t="s">
        <v>120</v>
      </c>
      <c r="F369" t="s">
        <v>58</v>
      </c>
      <c r="G369" t="s">
        <v>165</v>
      </c>
      <c r="H369" s="6">
        <v>0</v>
      </c>
      <c r="I369" s="6">
        <v>718240</v>
      </c>
      <c r="J369" s="6">
        <v>-718240</v>
      </c>
    </row>
    <row r="370" spans="1:10">
      <c r="A370" t="s">
        <v>383</v>
      </c>
      <c r="B370" s="5">
        <v>45474</v>
      </c>
      <c r="C370" t="s">
        <v>167</v>
      </c>
      <c r="D370" t="s">
        <v>51</v>
      </c>
      <c r="E370" t="s">
        <v>150</v>
      </c>
      <c r="F370" t="s">
        <v>51</v>
      </c>
      <c r="G370" t="s">
        <v>168</v>
      </c>
      <c r="H370" s="6">
        <v>98800</v>
      </c>
      <c r="I370" s="6">
        <v>0</v>
      </c>
      <c r="J370" s="6">
        <v>98800</v>
      </c>
    </row>
    <row r="371" spans="1:10">
      <c r="A371" t="s">
        <v>383</v>
      </c>
      <c r="B371" s="5">
        <v>45474</v>
      </c>
      <c r="C371" t="s">
        <v>169</v>
      </c>
      <c r="D371" t="s">
        <v>170</v>
      </c>
      <c r="E371" t="s">
        <v>121</v>
      </c>
      <c r="F371" t="s">
        <v>51</v>
      </c>
      <c r="G371" t="s">
        <v>168</v>
      </c>
      <c r="H371" s="6">
        <v>0</v>
      </c>
      <c r="I371" s="6">
        <v>98800</v>
      </c>
      <c r="J371" s="6">
        <v>-98800</v>
      </c>
    </row>
    <row r="372" spans="1:10">
      <c r="A372" t="s">
        <v>384</v>
      </c>
      <c r="B372" s="5">
        <v>45474</v>
      </c>
      <c r="C372" t="s">
        <v>169</v>
      </c>
      <c r="D372" t="s">
        <v>170</v>
      </c>
      <c r="E372" t="s">
        <v>121</v>
      </c>
      <c r="F372" t="s">
        <v>51</v>
      </c>
      <c r="G372" t="s">
        <v>172</v>
      </c>
      <c r="H372" s="6">
        <v>98040</v>
      </c>
      <c r="I372" s="6">
        <v>0</v>
      </c>
      <c r="J372" s="6">
        <v>98040</v>
      </c>
    </row>
    <row r="373" spans="1:10">
      <c r="A373" t="s">
        <v>384</v>
      </c>
      <c r="B373" s="5">
        <v>45474</v>
      </c>
      <c r="C373" t="s">
        <v>173</v>
      </c>
      <c r="D373" t="s">
        <v>174</v>
      </c>
      <c r="E373" t="s">
        <v>120</v>
      </c>
      <c r="F373" t="s">
        <v>51</v>
      </c>
      <c r="G373" t="s">
        <v>172</v>
      </c>
      <c r="H373" s="6">
        <v>0</v>
      </c>
      <c r="I373" s="6">
        <v>98040</v>
      </c>
      <c r="J373" s="6">
        <v>-98040</v>
      </c>
    </row>
    <row r="374" spans="1:10">
      <c r="A374" t="s">
        <v>385</v>
      </c>
      <c r="B374" s="5">
        <v>45474</v>
      </c>
      <c r="C374" t="s">
        <v>176</v>
      </c>
      <c r="D374" t="s">
        <v>52</v>
      </c>
      <c r="E374" t="s">
        <v>150</v>
      </c>
      <c r="F374" t="s">
        <v>52</v>
      </c>
      <c r="G374" t="s">
        <v>177</v>
      </c>
      <c r="H374" s="6">
        <v>39018.78</v>
      </c>
      <c r="I374" s="6">
        <v>0</v>
      </c>
      <c r="J374" s="6">
        <v>39018.78</v>
      </c>
    </row>
    <row r="375" spans="1:10">
      <c r="A375" t="s">
        <v>385</v>
      </c>
      <c r="B375" s="5">
        <v>45474</v>
      </c>
      <c r="C375" t="s">
        <v>173</v>
      </c>
      <c r="D375" t="s">
        <v>174</v>
      </c>
      <c r="E375" t="s">
        <v>120</v>
      </c>
      <c r="F375" t="s">
        <v>52</v>
      </c>
      <c r="G375" t="s">
        <v>177</v>
      </c>
      <c r="H375" s="6">
        <v>0</v>
      </c>
      <c r="I375" s="6">
        <v>39018.78</v>
      </c>
      <c r="J375" s="6">
        <v>-39018.78</v>
      </c>
    </row>
    <row r="376" spans="1:10">
      <c r="A376" t="s">
        <v>386</v>
      </c>
      <c r="B376" s="5">
        <v>45474</v>
      </c>
      <c r="C376" t="s">
        <v>179</v>
      </c>
      <c r="D376" t="s">
        <v>54</v>
      </c>
      <c r="E376" t="s">
        <v>150</v>
      </c>
      <c r="F376" t="s">
        <v>54</v>
      </c>
      <c r="G376" t="s">
        <v>177</v>
      </c>
      <c r="H376" s="6">
        <v>32000</v>
      </c>
      <c r="I376" s="6">
        <v>0</v>
      </c>
      <c r="J376" s="6">
        <v>32000</v>
      </c>
    </row>
    <row r="377" spans="1:10">
      <c r="A377" t="s">
        <v>386</v>
      </c>
      <c r="B377" s="5">
        <v>45474</v>
      </c>
      <c r="C377" t="s">
        <v>173</v>
      </c>
      <c r="D377" t="s">
        <v>174</v>
      </c>
      <c r="E377" t="s">
        <v>120</v>
      </c>
      <c r="F377" t="s">
        <v>54</v>
      </c>
      <c r="G377" t="s">
        <v>177</v>
      </c>
      <c r="H377" s="6">
        <v>0</v>
      </c>
      <c r="I377" s="6">
        <v>32000</v>
      </c>
      <c r="J377" s="6">
        <v>-32000</v>
      </c>
    </row>
    <row r="378" spans="1:10">
      <c r="A378" t="s">
        <v>387</v>
      </c>
      <c r="B378" s="5">
        <v>45474</v>
      </c>
      <c r="C378" t="s">
        <v>181</v>
      </c>
      <c r="D378" t="s">
        <v>56</v>
      </c>
      <c r="E378" t="s">
        <v>150</v>
      </c>
      <c r="F378" t="s">
        <v>56</v>
      </c>
      <c r="G378" t="s">
        <v>177</v>
      </c>
      <c r="H378" s="6">
        <v>18000</v>
      </c>
      <c r="I378" s="6">
        <v>0</v>
      </c>
      <c r="J378" s="6">
        <v>18000</v>
      </c>
    </row>
    <row r="379" spans="1:10">
      <c r="A379" t="s">
        <v>387</v>
      </c>
      <c r="B379" s="5">
        <v>45474</v>
      </c>
      <c r="C379" t="s">
        <v>173</v>
      </c>
      <c r="D379" t="s">
        <v>174</v>
      </c>
      <c r="E379" t="s">
        <v>120</v>
      </c>
      <c r="F379" t="s">
        <v>56</v>
      </c>
      <c r="G379" t="s">
        <v>177</v>
      </c>
      <c r="H379" s="6">
        <v>0</v>
      </c>
      <c r="I379" s="6">
        <v>18000</v>
      </c>
      <c r="J379" s="6">
        <v>-18000</v>
      </c>
    </row>
    <row r="380" spans="1:10">
      <c r="A380" t="s">
        <v>388</v>
      </c>
      <c r="B380" s="5">
        <v>45474</v>
      </c>
      <c r="C380" t="s">
        <v>183</v>
      </c>
      <c r="D380" t="s">
        <v>59</v>
      </c>
      <c r="E380" t="s">
        <v>150</v>
      </c>
      <c r="F380" t="s">
        <v>66</v>
      </c>
      <c r="G380" t="s">
        <v>177</v>
      </c>
      <c r="H380" s="6">
        <v>23844.81</v>
      </c>
      <c r="I380" s="6">
        <v>0</v>
      </c>
      <c r="J380" s="6">
        <v>23844.81</v>
      </c>
    </row>
    <row r="381" spans="1:10">
      <c r="A381" t="s">
        <v>388</v>
      </c>
      <c r="B381" s="5">
        <v>45474</v>
      </c>
      <c r="C381" t="s">
        <v>173</v>
      </c>
      <c r="D381" t="s">
        <v>174</v>
      </c>
      <c r="E381" t="s">
        <v>120</v>
      </c>
      <c r="F381" t="s">
        <v>66</v>
      </c>
      <c r="G381" t="s">
        <v>177</v>
      </c>
      <c r="H381" s="6">
        <v>0</v>
      </c>
      <c r="I381" s="6">
        <v>23844.81</v>
      </c>
      <c r="J381" s="6">
        <v>-23844.81</v>
      </c>
    </row>
    <row r="382" spans="1:10">
      <c r="A382" t="s">
        <v>389</v>
      </c>
      <c r="B382" s="5">
        <v>45474</v>
      </c>
      <c r="C382" t="s">
        <v>185</v>
      </c>
      <c r="D382" t="s">
        <v>186</v>
      </c>
      <c r="E382" t="s">
        <v>150</v>
      </c>
      <c r="F382" t="s">
        <v>154</v>
      </c>
      <c r="G382" t="s">
        <v>187</v>
      </c>
      <c r="H382" s="6">
        <v>17520</v>
      </c>
      <c r="I382" s="6">
        <v>0</v>
      </c>
      <c r="J382" s="6">
        <v>17520</v>
      </c>
    </row>
    <row r="383" spans="1:10">
      <c r="A383" t="s">
        <v>389</v>
      </c>
      <c r="B383" s="5">
        <v>45474</v>
      </c>
      <c r="C383" t="s">
        <v>188</v>
      </c>
      <c r="D383" t="s">
        <v>189</v>
      </c>
      <c r="E383" t="s">
        <v>120</v>
      </c>
      <c r="F383" t="s">
        <v>154</v>
      </c>
      <c r="G383" t="s">
        <v>187</v>
      </c>
      <c r="H383" s="6">
        <v>0</v>
      </c>
      <c r="I383" s="6">
        <v>17520</v>
      </c>
      <c r="J383" s="6">
        <v>-17520</v>
      </c>
    </row>
    <row r="384" spans="1:10">
      <c r="A384" t="s">
        <v>390</v>
      </c>
      <c r="B384" s="5">
        <v>45474</v>
      </c>
      <c r="C384" t="s">
        <v>191</v>
      </c>
      <c r="D384" t="s">
        <v>104</v>
      </c>
      <c r="E384" t="s">
        <v>150</v>
      </c>
      <c r="F384" t="s">
        <v>154</v>
      </c>
      <c r="G384" t="s">
        <v>192</v>
      </c>
      <c r="H384" s="6">
        <v>8304</v>
      </c>
      <c r="I384" s="6">
        <v>0</v>
      </c>
      <c r="J384" s="6">
        <v>8304</v>
      </c>
    </row>
    <row r="385" spans="1:10">
      <c r="A385" t="s">
        <v>390</v>
      </c>
      <c r="B385" s="5">
        <v>45474</v>
      </c>
      <c r="C385" t="s">
        <v>173</v>
      </c>
      <c r="D385" t="s">
        <v>174</v>
      </c>
      <c r="E385" t="s">
        <v>120</v>
      </c>
      <c r="F385" t="s">
        <v>154</v>
      </c>
      <c r="G385" t="s">
        <v>192</v>
      </c>
      <c r="H385" s="6">
        <v>0</v>
      </c>
      <c r="I385" s="6">
        <v>8304</v>
      </c>
      <c r="J385" s="6">
        <v>-8304</v>
      </c>
    </row>
    <row r="386" spans="1:10">
      <c r="A386" t="s">
        <v>391</v>
      </c>
      <c r="B386" s="5">
        <v>45474</v>
      </c>
      <c r="C386" t="s">
        <v>194</v>
      </c>
      <c r="D386" t="s">
        <v>195</v>
      </c>
      <c r="E386" t="s">
        <v>150</v>
      </c>
      <c r="F386" t="s">
        <v>154</v>
      </c>
      <c r="G386" t="s">
        <v>196</v>
      </c>
      <c r="H386" s="6">
        <v>12239.89745599999</v>
      </c>
      <c r="I386" s="6">
        <v>0</v>
      </c>
      <c r="J386" s="6">
        <v>12239.89745599999</v>
      </c>
    </row>
    <row r="387" spans="1:10">
      <c r="A387" t="s">
        <v>391</v>
      </c>
      <c r="B387" s="5">
        <v>45474</v>
      </c>
      <c r="C387" t="s">
        <v>197</v>
      </c>
      <c r="D387" t="s">
        <v>198</v>
      </c>
      <c r="E387" t="s">
        <v>121</v>
      </c>
      <c r="F387" t="s">
        <v>154</v>
      </c>
      <c r="G387" t="s">
        <v>196</v>
      </c>
      <c r="H387" s="6">
        <v>0</v>
      </c>
      <c r="I387" s="6">
        <v>12239.89745599999</v>
      </c>
      <c r="J387" s="6">
        <v>-12239.89745599999</v>
      </c>
    </row>
    <row r="388" spans="1:10">
      <c r="A388" t="s">
        <v>392</v>
      </c>
      <c r="B388" s="5">
        <v>45474</v>
      </c>
      <c r="C388" t="s">
        <v>173</v>
      </c>
      <c r="D388" t="s">
        <v>174</v>
      </c>
      <c r="E388" t="s">
        <v>120</v>
      </c>
      <c r="F388" t="s">
        <v>154</v>
      </c>
      <c r="G388" t="s">
        <v>200</v>
      </c>
      <c r="H388" s="6">
        <v>1276302.48</v>
      </c>
      <c r="I388" s="6">
        <v>0</v>
      </c>
      <c r="J388" s="6">
        <v>1276302.48</v>
      </c>
    </row>
    <row r="389" spans="1:10">
      <c r="A389" t="s">
        <v>392</v>
      </c>
      <c r="B389" s="5">
        <v>45474</v>
      </c>
      <c r="C389" t="s">
        <v>146</v>
      </c>
      <c r="D389" t="s">
        <v>86</v>
      </c>
      <c r="E389" t="s">
        <v>120</v>
      </c>
      <c r="F389" t="s">
        <v>154</v>
      </c>
      <c r="G389" t="s">
        <v>200</v>
      </c>
      <c r="H389" s="6">
        <v>0</v>
      </c>
      <c r="I389" s="6">
        <v>1276302.48</v>
      </c>
      <c r="J389" s="6">
        <v>-1276302.48</v>
      </c>
    </row>
    <row r="390" spans="1:10">
      <c r="A390" t="s">
        <v>393</v>
      </c>
      <c r="B390" s="5">
        <v>45474</v>
      </c>
      <c r="C390" t="s">
        <v>162</v>
      </c>
      <c r="D390" t="s">
        <v>88</v>
      </c>
      <c r="E390" t="s">
        <v>121</v>
      </c>
      <c r="F390" t="s">
        <v>154</v>
      </c>
      <c r="G390" t="s">
        <v>202</v>
      </c>
      <c r="H390" s="6">
        <v>683516.6666666666</v>
      </c>
      <c r="I390" s="6">
        <v>0</v>
      </c>
      <c r="J390" s="6">
        <v>683516.6666666666</v>
      </c>
    </row>
    <row r="391" spans="1:10">
      <c r="A391" t="s">
        <v>393</v>
      </c>
      <c r="B391" s="5">
        <v>45474</v>
      </c>
      <c r="C391" t="s">
        <v>173</v>
      </c>
      <c r="D391" t="s">
        <v>174</v>
      </c>
      <c r="E391" t="s">
        <v>120</v>
      </c>
      <c r="F391" t="s">
        <v>154</v>
      </c>
      <c r="G391" t="s">
        <v>202</v>
      </c>
      <c r="H391" s="6">
        <v>0</v>
      </c>
      <c r="I391" s="6">
        <v>683516.6666666666</v>
      </c>
      <c r="J391" s="6">
        <v>-683516.6666666666</v>
      </c>
    </row>
    <row r="392" spans="1:10">
      <c r="A392" t="s">
        <v>394</v>
      </c>
      <c r="B392" s="5">
        <v>45474</v>
      </c>
      <c r="C392" t="s">
        <v>156</v>
      </c>
      <c r="D392" t="s">
        <v>157</v>
      </c>
      <c r="E392" t="s">
        <v>121</v>
      </c>
      <c r="F392" t="s">
        <v>154</v>
      </c>
      <c r="G392" t="s">
        <v>204</v>
      </c>
      <c r="H392" s="6">
        <v>104396.201</v>
      </c>
      <c r="I392" s="6">
        <v>0</v>
      </c>
      <c r="J392" s="6">
        <v>104396.201</v>
      </c>
    </row>
    <row r="393" spans="1:10">
      <c r="A393" t="s">
        <v>394</v>
      </c>
      <c r="B393" s="5">
        <v>45474</v>
      </c>
      <c r="C393" t="s">
        <v>173</v>
      </c>
      <c r="D393" t="s">
        <v>174</v>
      </c>
      <c r="E393" t="s">
        <v>120</v>
      </c>
      <c r="F393" t="s">
        <v>154</v>
      </c>
      <c r="G393" t="s">
        <v>204</v>
      </c>
      <c r="H393" s="6">
        <v>0</v>
      </c>
      <c r="I393" s="6">
        <v>104396.201</v>
      </c>
      <c r="J393" s="6">
        <v>-104396.201</v>
      </c>
    </row>
    <row r="394" spans="1:10">
      <c r="A394" t="s">
        <v>395</v>
      </c>
      <c r="B394" s="5">
        <v>45474</v>
      </c>
      <c r="C394" t="s">
        <v>197</v>
      </c>
      <c r="D394" t="s">
        <v>198</v>
      </c>
      <c r="E394" t="s">
        <v>121</v>
      </c>
      <c r="F394" t="s">
        <v>154</v>
      </c>
      <c r="G394" t="s">
        <v>206</v>
      </c>
      <c r="H394" s="6">
        <v>23622.97865999999</v>
      </c>
      <c r="I394" s="6">
        <v>0</v>
      </c>
      <c r="J394" s="6">
        <v>23622.97865999999</v>
      </c>
    </row>
    <row r="395" spans="1:10">
      <c r="A395" t="s">
        <v>395</v>
      </c>
      <c r="B395" s="5">
        <v>45474</v>
      </c>
      <c r="C395" t="s">
        <v>173</v>
      </c>
      <c r="D395" t="s">
        <v>174</v>
      </c>
      <c r="E395" t="s">
        <v>120</v>
      </c>
      <c r="F395" t="s">
        <v>154</v>
      </c>
      <c r="G395" t="s">
        <v>206</v>
      </c>
      <c r="H395" s="6">
        <v>0</v>
      </c>
      <c r="I395" s="6">
        <v>23622.97865999999</v>
      </c>
      <c r="J395" s="6">
        <v>-23622.97865999999</v>
      </c>
    </row>
    <row r="396" spans="1:10">
      <c r="A396" t="s">
        <v>396</v>
      </c>
      <c r="B396" s="5">
        <v>45474</v>
      </c>
      <c r="C396" t="s">
        <v>208</v>
      </c>
      <c r="D396" t="s">
        <v>209</v>
      </c>
      <c r="E396" t="s">
        <v>120</v>
      </c>
      <c r="F396" t="s">
        <v>154</v>
      </c>
      <c r="G396" t="s">
        <v>210</v>
      </c>
      <c r="H396" s="6">
        <v>18000</v>
      </c>
      <c r="I396" s="6">
        <v>0</v>
      </c>
      <c r="J396" s="6">
        <v>18000</v>
      </c>
    </row>
    <row r="397" spans="1:10">
      <c r="A397" t="s">
        <v>396</v>
      </c>
      <c r="B397" s="5">
        <v>45474</v>
      </c>
      <c r="C397" t="s">
        <v>173</v>
      </c>
      <c r="D397" t="s">
        <v>174</v>
      </c>
      <c r="E397" t="s">
        <v>120</v>
      </c>
      <c r="F397" t="s">
        <v>154</v>
      </c>
      <c r="G397" t="s">
        <v>210</v>
      </c>
      <c r="H397" s="6">
        <v>0</v>
      </c>
      <c r="I397" s="6">
        <v>18000</v>
      </c>
      <c r="J397" s="6">
        <v>-18000</v>
      </c>
    </row>
    <row r="398" spans="1:10">
      <c r="A398" t="s">
        <v>397</v>
      </c>
      <c r="B398" s="5">
        <v>45474</v>
      </c>
      <c r="C398" t="s">
        <v>212</v>
      </c>
      <c r="D398" t="s">
        <v>213</v>
      </c>
      <c r="E398" t="s">
        <v>121</v>
      </c>
      <c r="F398" t="s">
        <v>154</v>
      </c>
      <c r="G398" t="s">
        <v>214</v>
      </c>
      <c r="H398" s="6">
        <v>18000</v>
      </c>
      <c r="I398" s="6">
        <v>0</v>
      </c>
      <c r="J398" s="6">
        <v>18000</v>
      </c>
    </row>
    <row r="399" spans="1:10">
      <c r="A399" t="s">
        <v>397</v>
      </c>
      <c r="B399" s="5">
        <v>45474</v>
      </c>
      <c r="C399" t="s">
        <v>173</v>
      </c>
      <c r="D399" t="s">
        <v>174</v>
      </c>
      <c r="E399" t="s">
        <v>120</v>
      </c>
      <c r="F399" t="s">
        <v>154</v>
      </c>
      <c r="G399" t="s">
        <v>214</v>
      </c>
      <c r="H399" s="6">
        <v>0</v>
      </c>
      <c r="I399" s="6">
        <v>18000</v>
      </c>
      <c r="J399" s="6">
        <v>-18000</v>
      </c>
    </row>
    <row r="400" spans="1:10">
      <c r="A400" t="s">
        <v>398</v>
      </c>
      <c r="B400" s="5">
        <v>45474</v>
      </c>
      <c r="C400" t="s">
        <v>148</v>
      </c>
      <c r="D400" t="s">
        <v>149</v>
      </c>
      <c r="E400" t="s">
        <v>150</v>
      </c>
      <c r="F400" t="s">
        <v>154</v>
      </c>
      <c r="G400" t="s">
        <v>216</v>
      </c>
      <c r="H400" s="6">
        <v>1083854.96</v>
      </c>
      <c r="I400" s="6">
        <v>0</v>
      </c>
      <c r="J400" s="6">
        <v>1083854.96</v>
      </c>
    </row>
    <row r="401" spans="1:10">
      <c r="A401" t="s">
        <v>398</v>
      </c>
      <c r="B401" s="5">
        <v>45474</v>
      </c>
      <c r="C401" t="s">
        <v>217</v>
      </c>
      <c r="D401" t="s">
        <v>218</v>
      </c>
      <c r="E401" t="s">
        <v>122</v>
      </c>
      <c r="F401" t="s">
        <v>154</v>
      </c>
      <c r="G401" t="s">
        <v>216</v>
      </c>
      <c r="H401" s="6">
        <v>0</v>
      </c>
      <c r="I401" s="6">
        <v>1083854.96</v>
      </c>
      <c r="J401" s="6">
        <v>-1083854.96</v>
      </c>
    </row>
    <row r="402" spans="1:10">
      <c r="A402" t="s">
        <v>399</v>
      </c>
      <c r="B402" s="5">
        <v>45474</v>
      </c>
      <c r="C402" t="s">
        <v>217</v>
      </c>
      <c r="D402" t="s">
        <v>218</v>
      </c>
      <c r="E402" t="s">
        <v>122</v>
      </c>
      <c r="F402" t="s">
        <v>154</v>
      </c>
      <c r="G402" t="s">
        <v>216</v>
      </c>
      <c r="H402" s="6">
        <v>92127.6716</v>
      </c>
      <c r="I402" s="6">
        <v>0</v>
      </c>
      <c r="J402" s="6">
        <v>92127.6716</v>
      </c>
    </row>
    <row r="403" spans="1:10">
      <c r="A403" t="s">
        <v>399</v>
      </c>
      <c r="B403" s="5">
        <v>45474</v>
      </c>
      <c r="C403" t="s">
        <v>152</v>
      </c>
      <c r="D403" t="s">
        <v>153</v>
      </c>
      <c r="E403" t="s">
        <v>150</v>
      </c>
      <c r="F403" t="s">
        <v>154</v>
      </c>
      <c r="G403" t="s">
        <v>216</v>
      </c>
      <c r="H403" s="6">
        <v>0</v>
      </c>
      <c r="I403" s="6">
        <v>92127.6716</v>
      </c>
      <c r="J403" s="6">
        <v>-92127.6716</v>
      </c>
    </row>
    <row r="404" spans="1:10">
      <c r="A404" t="s">
        <v>400</v>
      </c>
      <c r="B404" s="5">
        <v>45474</v>
      </c>
      <c r="C404" t="s">
        <v>217</v>
      </c>
      <c r="D404" t="s">
        <v>218</v>
      </c>
      <c r="E404" t="s">
        <v>122</v>
      </c>
      <c r="F404" t="s">
        <v>154</v>
      </c>
      <c r="G404" t="s">
        <v>216</v>
      </c>
      <c r="H404" s="6">
        <v>718240</v>
      </c>
      <c r="I404" s="6">
        <v>0</v>
      </c>
      <c r="J404" s="6">
        <v>718240</v>
      </c>
    </row>
    <row r="405" spans="1:10">
      <c r="A405" t="s">
        <v>400</v>
      </c>
      <c r="B405" s="5">
        <v>45474</v>
      </c>
      <c r="C405" t="s">
        <v>164</v>
      </c>
      <c r="D405" t="s">
        <v>36</v>
      </c>
      <c r="E405" t="s">
        <v>150</v>
      </c>
      <c r="F405" t="s">
        <v>154</v>
      </c>
      <c r="G405" t="s">
        <v>216</v>
      </c>
      <c r="H405" s="6">
        <v>0</v>
      </c>
      <c r="I405" s="6">
        <v>718240</v>
      </c>
      <c r="J405" s="6">
        <v>-718240</v>
      </c>
    </row>
    <row r="406" spans="1:10">
      <c r="A406" t="s">
        <v>401</v>
      </c>
      <c r="B406" s="5">
        <v>45474</v>
      </c>
      <c r="C406" t="s">
        <v>217</v>
      </c>
      <c r="D406" t="s">
        <v>218</v>
      </c>
      <c r="E406" t="s">
        <v>122</v>
      </c>
      <c r="F406" t="s">
        <v>154</v>
      </c>
      <c r="G406" t="s">
        <v>216</v>
      </c>
      <c r="H406" s="6">
        <v>98800</v>
      </c>
      <c r="I406" s="6">
        <v>0</v>
      </c>
      <c r="J406" s="6">
        <v>98800</v>
      </c>
    </row>
    <row r="407" spans="1:10">
      <c r="A407" t="s">
        <v>401</v>
      </c>
      <c r="B407" s="5">
        <v>45474</v>
      </c>
      <c r="C407" t="s">
        <v>167</v>
      </c>
      <c r="D407" t="s">
        <v>51</v>
      </c>
      <c r="E407" t="s">
        <v>150</v>
      </c>
      <c r="F407" t="s">
        <v>154</v>
      </c>
      <c r="G407" t="s">
        <v>216</v>
      </c>
      <c r="H407" s="6">
        <v>0</v>
      </c>
      <c r="I407" s="6">
        <v>98800</v>
      </c>
      <c r="J407" s="6">
        <v>-98800</v>
      </c>
    </row>
    <row r="408" spans="1:10">
      <c r="A408" t="s">
        <v>402</v>
      </c>
      <c r="B408" s="5">
        <v>45474</v>
      </c>
      <c r="C408" t="s">
        <v>217</v>
      </c>
      <c r="D408" t="s">
        <v>218</v>
      </c>
      <c r="E408" t="s">
        <v>122</v>
      </c>
      <c r="F408" t="s">
        <v>154</v>
      </c>
      <c r="G408" t="s">
        <v>216</v>
      </c>
      <c r="H408" s="6">
        <v>39018.78</v>
      </c>
      <c r="I408" s="6">
        <v>0</v>
      </c>
      <c r="J408" s="6">
        <v>39018.78</v>
      </c>
    </row>
    <row r="409" spans="1:10">
      <c r="A409" t="s">
        <v>402</v>
      </c>
      <c r="B409" s="5">
        <v>45474</v>
      </c>
      <c r="C409" t="s">
        <v>176</v>
      </c>
      <c r="D409" t="s">
        <v>52</v>
      </c>
      <c r="E409" t="s">
        <v>150</v>
      </c>
      <c r="F409" t="s">
        <v>154</v>
      </c>
      <c r="G409" t="s">
        <v>216</v>
      </c>
      <c r="H409" s="6">
        <v>0</v>
      </c>
      <c r="I409" s="6">
        <v>39018.78</v>
      </c>
      <c r="J409" s="6">
        <v>-39018.78</v>
      </c>
    </row>
    <row r="410" spans="1:10">
      <c r="A410" t="s">
        <v>403</v>
      </c>
      <c r="B410" s="5">
        <v>45474</v>
      </c>
      <c r="C410" t="s">
        <v>217</v>
      </c>
      <c r="D410" t="s">
        <v>218</v>
      </c>
      <c r="E410" t="s">
        <v>122</v>
      </c>
      <c r="F410" t="s">
        <v>154</v>
      </c>
      <c r="G410" t="s">
        <v>216</v>
      </c>
      <c r="H410" s="6">
        <v>32000</v>
      </c>
      <c r="I410" s="6">
        <v>0</v>
      </c>
      <c r="J410" s="6">
        <v>32000</v>
      </c>
    </row>
    <row r="411" spans="1:10">
      <c r="A411" t="s">
        <v>403</v>
      </c>
      <c r="B411" s="5">
        <v>45474</v>
      </c>
      <c r="C411" t="s">
        <v>179</v>
      </c>
      <c r="D411" t="s">
        <v>54</v>
      </c>
      <c r="E411" t="s">
        <v>150</v>
      </c>
      <c r="F411" t="s">
        <v>154</v>
      </c>
      <c r="G411" t="s">
        <v>216</v>
      </c>
      <c r="H411" s="6">
        <v>0</v>
      </c>
      <c r="I411" s="6">
        <v>32000</v>
      </c>
      <c r="J411" s="6">
        <v>-32000</v>
      </c>
    </row>
    <row r="412" spans="1:10">
      <c r="A412" t="s">
        <v>404</v>
      </c>
      <c r="B412" s="5">
        <v>45474</v>
      </c>
      <c r="C412" t="s">
        <v>217</v>
      </c>
      <c r="D412" t="s">
        <v>218</v>
      </c>
      <c r="E412" t="s">
        <v>122</v>
      </c>
      <c r="F412" t="s">
        <v>154</v>
      </c>
      <c r="G412" t="s">
        <v>216</v>
      </c>
      <c r="H412" s="6">
        <v>18000</v>
      </c>
      <c r="I412" s="6">
        <v>0</v>
      </c>
      <c r="J412" s="6">
        <v>18000</v>
      </c>
    </row>
    <row r="413" spans="1:10">
      <c r="A413" t="s">
        <v>404</v>
      </c>
      <c r="B413" s="5">
        <v>45474</v>
      </c>
      <c r="C413" t="s">
        <v>181</v>
      </c>
      <c r="D413" t="s">
        <v>56</v>
      </c>
      <c r="E413" t="s">
        <v>150</v>
      </c>
      <c r="F413" t="s">
        <v>154</v>
      </c>
      <c r="G413" t="s">
        <v>216</v>
      </c>
      <c r="H413" s="6">
        <v>0</v>
      </c>
      <c r="I413" s="6">
        <v>18000</v>
      </c>
      <c r="J413" s="6">
        <v>-18000</v>
      </c>
    </row>
    <row r="414" spans="1:10">
      <c r="A414" t="s">
        <v>405</v>
      </c>
      <c r="B414" s="5">
        <v>45474</v>
      </c>
      <c r="C414" t="s">
        <v>217</v>
      </c>
      <c r="D414" t="s">
        <v>218</v>
      </c>
      <c r="E414" t="s">
        <v>122</v>
      </c>
      <c r="F414" t="s">
        <v>154</v>
      </c>
      <c r="G414" t="s">
        <v>216</v>
      </c>
      <c r="H414" s="6">
        <v>23844.81</v>
      </c>
      <c r="I414" s="6">
        <v>0</v>
      </c>
      <c r="J414" s="6">
        <v>23844.81</v>
      </c>
    </row>
    <row r="415" spans="1:10">
      <c r="A415" t="s">
        <v>405</v>
      </c>
      <c r="B415" s="5">
        <v>45474</v>
      </c>
      <c r="C415" t="s">
        <v>183</v>
      </c>
      <c r="D415" t="s">
        <v>59</v>
      </c>
      <c r="E415" t="s">
        <v>150</v>
      </c>
      <c r="F415" t="s">
        <v>154</v>
      </c>
      <c r="G415" t="s">
        <v>216</v>
      </c>
      <c r="H415" s="6">
        <v>0</v>
      </c>
      <c r="I415" s="6">
        <v>23844.81</v>
      </c>
      <c r="J415" s="6">
        <v>-23844.81</v>
      </c>
    </row>
    <row r="416" spans="1:10">
      <c r="A416" t="s">
        <v>406</v>
      </c>
      <c r="B416" s="5">
        <v>45474</v>
      </c>
      <c r="C416" t="s">
        <v>217</v>
      </c>
      <c r="D416" t="s">
        <v>218</v>
      </c>
      <c r="E416" t="s">
        <v>122</v>
      </c>
      <c r="F416" t="s">
        <v>154</v>
      </c>
      <c r="G416" t="s">
        <v>216</v>
      </c>
      <c r="H416" s="6">
        <v>17520</v>
      </c>
      <c r="I416" s="6">
        <v>0</v>
      </c>
      <c r="J416" s="6">
        <v>17520</v>
      </c>
    </row>
    <row r="417" spans="1:10">
      <c r="A417" t="s">
        <v>406</v>
      </c>
      <c r="B417" s="5">
        <v>45474</v>
      </c>
      <c r="C417" t="s">
        <v>185</v>
      </c>
      <c r="D417" t="s">
        <v>186</v>
      </c>
      <c r="E417" t="s">
        <v>150</v>
      </c>
      <c r="F417" t="s">
        <v>154</v>
      </c>
      <c r="G417" t="s">
        <v>216</v>
      </c>
      <c r="H417" s="6">
        <v>0</v>
      </c>
      <c r="I417" s="6">
        <v>17520</v>
      </c>
      <c r="J417" s="6">
        <v>-17520</v>
      </c>
    </row>
    <row r="418" spans="1:10">
      <c r="A418" t="s">
        <v>407</v>
      </c>
      <c r="B418" s="5">
        <v>45474</v>
      </c>
      <c r="C418" t="s">
        <v>217</v>
      </c>
      <c r="D418" t="s">
        <v>218</v>
      </c>
      <c r="E418" t="s">
        <v>122</v>
      </c>
      <c r="F418" t="s">
        <v>154</v>
      </c>
      <c r="G418" t="s">
        <v>216</v>
      </c>
      <c r="H418" s="6">
        <v>8304</v>
      </c>
      <c r="I418" s="6">
        <v>0</v>
      </c>
      <c r="J418" s="6">
        <v>8304</v>
      </c>
    </row>
    <row r="419" spans="1:10">
      <c r="A419" t="s">
        <v>407</v>
      </c>
      <c r="B419" s="5">
        <v>45474</v>
      </c>
      <c r="C419" t="s">
        <v>191</v>
      </c>
      <c r="D419" t="s">
        <v>104</v>
      </c>
      <c r="E419" t="s">
        <v>150</v>
      </c>
      <c r="F419" t="s">
        <v>154</v>
      </c>
      <c r="G419" t="s">
        <v>216</v>
      </c>
      <c r="H419" s="6">
        <v>0</v>
      </c>
      <c r="I419" s="6">
        <v>8304</v>
      </c>
      <c r="J419" s="6">
        <v>-8304</v>
      </c>
    </row>
    <row r="420" spans="1:10">
      <c r="A420" t="s">
        <v>408</v>
      </c>
      <c r="B420" s="5">
        <v>45474</v>
      </c>
      <c r="C420" t="s">
        <v>217</v>
      </c>
      <c r="D420" t="s">
        <v>218</v>
      </c>
      <c r="E420" t="s">
        <v>122</v>
      </c>
      <c r="F420" t="s">
        <v>154</v>
      </c>
      <c r="G420" t="s">
        <v>216</v>
      </c>
      <c r="H420" s="6">
        <v>12239.89745599999</v>
      </c>
      <c r="I420" s="6">
        <v>0</v>
      </c>
      <c r="J420" s="6">
        <v>12239.89745599999</v>
      </c>
    </row>
    <row r="421" spans="1:10">
      <c r="A421" t="s">
        <v>408</v>
      </c>
      <c r="B421" s="5">
        <v>45474</v>
      </c>
      <c r="C421" t="s">
        <v>194</v>
      </c>
      <c r="D421" t="s">
        <v>195</v>
      </c>
      <c r="E421" t="s">
        <v>150</v>
      </c>
      <c r="F421" t="s">
        <v>154</v>
      </c>
      <c r="G421" t="s">
        <v>216</v>
      </c>
      <c r="H421" s="6">
        <v>0</v>
      </c>
      <c r="I421" s="6">
        <v>12239.89745599999</v>
      </c>
      <c r="J421" s="6">
        <v>-12239.89745599999</v>
      </c>
    </row>
    <row r="422" spans="1:10">
      <c r="A422" t="s">
        <v>409</v>
      </c>
      <c r="B422" s="5">
        <v>45505</v>
      </c>
      <c r="C422" t="s">
        <v>146</v>
      </c>
      <c r="D422" t="s">
        <v>86</v>
      </c>
      <c r="E422" t="s">
        <v>120</v>
      </c>
      <c r="F422" t="s">
        <v>52</v>
      </c>
      <c r="G422" t="s">
        <v>147</v>
      </c>
      <c r="H422" s="6">
        <v>1173442.34</v>
      </c>
      <c r="I422" s="6">
        <v>0</v>
      </c>
      <c r="J422" s="6">
        <v>1173442.34</v>
      </c>
    </row>
    <row r="423" spans="1:10">
      <c r="A423" t="s">
        <v>409</v>
      </c>
      <c r="B423" s="5">
        <v>45505</v>
      </c>
      <c r="C423" t="s">
        <v>148</v>
      </c>
      <c r="D423" t="s">
        <v>149</v>
      </c>
      <c r="E423" t="s">
        <v>150</v>
      </c>
      <c r="F423" t="s">
        <v>52</v>
      </c>
      <c r="G423" t="s">
        <v>147</v>
      </c>
      <c r="H423" s="6">
        <v>0</v>
      </c>
      <c r="I423" s="6">
        <v>1173442.34</v>
      </c>
      <c r="J423" s="6">
        <v>-1173442.34</v>
      </c>
    </row>
    <row r="424" spans="1:10">
      <c r="A424" t="s">
        <v>410</v>
      </c>
      <c r="B424" s="5">
        <v>45505</v>
      </c>
      <c r="C424" t="s">
        <v>152</v>
      </c>
      <c r="D424" t="s">
        <v>153</v>
      </c>
      <c r="E424" t="s">
        <v>150</v>
      </c>
      <c r="F424" t="s">
        <v>154</v>
      </c>
      <c r="G424" t="s">
        <v>155</v>
      </c>
      <c r="H424" s="6">
        <v>99742.59890000001</v>
      </c>
      <c r="I424" s="6">
        <v>0</v>
      </c>
      <c r="J424" s="6">
        <v>99742.59890000001</v>
      </c>
    </row>
    <row r="425" spans="1:10">
      <c r="A425" t="s">
        <v>410</v>
      </c>
      <c r="B425" s="5">
        <v>45505</v>
      </c>
      <c r="C425" t="s">
        <v>156</v>
      </c>
      <c r="D425" t="s">
        <v>157</v>
      </c>
      <c r="E425" t="s">
        <v>121</v>
      </c>
      <c r="F425" t="s">
        <v>154</v>
      </c>
      <c r="G425" t="s">
        <v>155</v>
      </c>
      <c r="H425" s="6">
        <v>0</v>
      </c>
      <c r="I425" s="6">
        <v>99742.59890000001</v>
      </c>
      <c r="J425" s="6">
        <v>-99742.59890000001</v>
      </c>
    </row>
    <row r="426" spans="1:10">
      <c r="A426" t="s">
        <v>411</v>
      </c>
      <c r="B426" s="5">
        <v>45505</v>
      </c>
      <c r="C426" t="s">
        <v>159</v>
      </c>
      <c r="D426" t="s">
        <v>160</v>
      </c>
      <c r="E426" t="s">
        <v>120</v>
      </c>
      <c r="F426" t="s">
        <v>58</v>
      </c>
      <c r="G426" t="s">
        <v>161</v>
      </c>
      <c r="H426" s="6">
        <v>865452</v>
      </c>
      <c r="I426" s="6">
        <v>0</v>
      </c>
      <c r="J426" s="6">
        <v>865452</v>
      </c>
    </row>
    <row r="427" spans="1:10">
      <c r="A427" t="s">
        <v>411</v>
      </c>
      <c r="B427" s="5">
        <v>45505</v>
      </c>
      <c r="C427" t="s">
        <v>162</v>
      </c>
      <c r="D427" t="s">
        <v>88</v>
      </c>
      <c r="E427" t="s">
        <v>121</v>
      </c>
      <c r="F427" t="s">
        <v>58</v>
      </c>
      <c r="G427" t="s">
        <v>161</v>
      </c>
      <c r="H427" s="6">
        <v>0</v>
      </c>
      <c r="I427" s="6">
        <v>865452</v>
      </c>
      <c r="J427" s="6">
        <v>-865452</v>
      </c>
    </row>
    <row r="428" spans="1:10">
      <c r="A428" t="s">
        <v>412</v>
      </c>
      <c r="B428" s="5">
        <v>45505</v>
      </c>
      <c r="C428" t="s">
        <v>164</v>
      </c>
      <c r="D428" t="s">
        <v>36</v>
      </c>
      <c r="E428" t="s">
        <v>150</v>
      </c>
      <c r="F428" t="s">
        <v>58</v>
      </c>
      <c r="G428" t="s">
        <v>165</v>
      </c>
      <c r="H428" s="6">
        <v>776350</v>
      </c>
      <c r="I428" s="6">
        <v>0</v>
      </c>
      <c r="J428" s="6">
        <v>776350</v>
      </c>
    </row>
    <row r="429" spans="1:10">
      <c r="A429" t="s">
        <v>412</v>
      </c>
      <c r="B429" s="5">
        <v>45505</v>
      </c>
      <c r="C429" t="s">
        <v>159</v>
      </c>
      <c r="D429" t="s">
        <v>160</v>
      </c>
      <c r="E429" t="s">
        <v>120</v>
      </c>
      <c r="F429" t="s">
        <v>58</v>
      </c>
      <c r="G429" t="s">
        <v>165</v>
      </c>
      <c r="H429" s="6">
        <v>0</v>
      </c>
      <c r="I429" s="6">
        <v>776350</v>
      </c>
      <c r="J429" s="6">
        <v>-776350</v>
      </c>
    </row>
    <row r="430" spans="1:10">
      <c r="A430" t="s">
        <v>413</v>
      </c>
      <c r="B430" s="5">
        <v>45505</v>
      </c>
      <c r="C430" t="s">
        <v>167</v>
      </c>
      <c r="D430" t="s">
        <v>51</v>
      </c>
      <c r="E430" t="s">
        <v>150</v>
      </c>
      <c r="F430" t="s">
        <v>51</v>
      </c>
      <c r="G430" t="s">
        <v>168</v>
      </c>
      <c r="H430" s="6">
        <v>98800</v>
      </c>
      <c r="I430" s="6">
        <v>0</v>
      </c>
      <c r="J430" s="6">
        <v>98800</v>
      </c>
    </row>
    <row r="431" spans="1:10">
      <c r="A431" t="s">
        <v>413</v>
      </c>
      <c r="B431" s="5">
        <v>45505</v>
      </c>
      <c r="C431" t="s">
        <v>169</v>
      </c>
      <c r="D431" t="s">
        <v>170</v>
      </c>
      <c r="E431" t="s">
        <v>121</v>
      </c>
      <c r="F431" t="s">
        <v>51</v>
      </c>
      <c r="G431" t="s">
        <v>168</v>
      </c>
      <c r="H431" s="6">
        <v>0</v>
      </c>
      <c r="I431" s="6">
        <v>98800</v>
      </c>
      <c r="J431" s="6">
        <v>-98800</v>
      </c>
    </row>
    <row r="432" spans="1:10">
      <c r="A432" t="s">
        <v>414</v>
      </c>
      <c r="B432" s="5">
        <v>45505</v>
      </c>
      <c r="C432" t="s">
        <v>169</v>
      </c>
      <c r="D432" t="s">
        <v>170</v>
      </c>
      <c r="E432" t="s">
        <v>121</v>
      </c>
      <c r="F432" t="s">
        <v>51</v>
      </c>
      <c r="G432" t="s">
        <v>172</v>
      </c>
      <c r="H432" s="6">
        <v>98800</v>
      </c>
      <c r="I432" s="6">
        <v>0</v>
      </c>
      <c r="J432" s="6">
        <v>98800</v>
      </c>
    </row>
    <row r="433" spans="1:10">
      <c r="A433" t="s">
        <v>414</v>
      </c>
      <c r="B433" s="5">
        <v>45505</v>
      </c>
      <c r="C433" t="s">
        <v>173</v>
      </c>
      <c r="D433" t="s">
        <v>174</v>
      </c>
      <c r="E433" t="s">
        <v>120</v>
      </c>
      <c r="F433" t="s">
        <v>51</v>
      </c>
      <c r="G433" t="s">
        <v>172</v>
      </c>
      <c r="H433" s="6">
        <v>0</v>
      </c>
      <c r="I433" s="6">
        <v>98800</v>
      </c>
      <c r="J433" s="6">
        <v>-98800</v>
      </c>
    </row>
    <row r="434" spans="1:10">
      <c r="A434" t="s">
        <v>415</v>
      </c>
      <c r="B434" s="5">
        <v>45505</v>
      </c>
      <c r="C434" t="s">
        <v>176</v>
      </c>
      <c r="D434" t="s">
        <v>52</v>
      </c>
      <c r="E434" t="s">
        <v>150</v>
      </c>
      <c r="F434" t="s">
        <v>52</v>
      </c>
      <c r="G434" t="s">
        <v>177</v>
      </c>
      <c r="H434" s="6">
        <v>42243.92</v>
      </c>
      <c r="I434" s="6">
        <v>0</v>
      </c>
      <c r="J434" s="6">
        <v>42243.92</v>
      </c>
    </row>
    <row r="435" spans="1:10">
      <c r="A435" t="s">
        <v>415</v>
      </c>
      <c r="B435" s="5">
        <v>45505</v>
      </c>
      <c r="C435" t="s">
        <v>173</v>
      </c>
      <c r="D435" t="s">
        <v>174</v>
      </c>
      <c r="E435" t="s">
        <v>120</v>
      </c>
      <c r="F435" t="s">
        <v>52</v>
      </c>
      <c r="G435" t="s">
        <v>177</v>
      </c>
      <c r="H435" s="6">
        <v>0</v>
      </c>
      <c r="I435" s="6">
        <v>42243.92</v>
      </c>
      <c r="J435" s="6">
        <v>-42243.92</v>
      </c>
    </row>
    <row r="436" spans="1:10">
      <c r="A436" t="s">
        <v>416</v>
      </c>
      <c r="B436" s="5">
        <v>45505</v>
      </c>
      <c r="C436" t="s">
        <v>179</v>
      </c>
      <c r="D436" t="s">
        <v>54</v>
      </c>
      <c r="E436" t="s">
        <v>150</v>
      </c>
      <c r="F436" t="s">
        <v>54</v>
      </c>
      <c r="G436" t="s">
        <v>177</v>
      </c>
      <c r="H436" s="6">
        <v>32000</v>
      </c>
      <c r="I436" s="6">
        <v>0</v>
      </c>
      <c r="J436" s="6">
        <v>32000</v>
      </c>
    </row>
    <row r="437" spans="1:10">
      <c r="A437" t="s">
        <v>416</v>
      </c>
      <c r="B437" s="5">
        <v>45505</v>
      </c>
      <c r="C437" t="s">
        <v>173</v>
      </c>
      <c r="D437" t="s">
        <v>174</v>
      </c>
      <c r="E437" t="s">
        <v>120</v>
      </c>
      <c r="F437" t="s">
        <v>54</v>
      </c>
      <c r="G437" t="s">
        <v>177</v>
      </c>
      <c r="H437" s="6">
        <v>0</v>
      </c>
      <c r="I437" s="6">
        <v>32000</v>
      </c>
      <c r="J437" s="6">
        <v>-32000</v>
      </c>
    </row>
    <row r="438" spans="1:10">
      <c r="A438" t="s">
        <v>417</v>
      </c>
      <c r="B438" s="5">
        <v>45505</v>
      </c>
      <c r="C438" t="s">
        <v>181</v>
      </c>
      <c r="D438" t="s">
        <v>56</v>
      </c>
      <c r="E438" t="s">
        <v>150</v>
      </c>
      <c r="F438" t="s">
        <v>56</v>
      </c>
      <c r="G438" t="s">
        <v>177</v>
      </c>
      <c r="H438" s="6">
        <v>18000</v>
      </c>
      <c r="I438" s="6">
        <v>0</v>
      </c>
      <c r="J438" s="6">
        <v>18000</v>
      </c>
    </row>
    <row r="439" spans="1:10">
      <c r="A439" t="s">
        <v>417</v>
      </c>
      <c r="B439" s="5">
        <v>45505</v>
      </c>
      <c r="C439" t="s">
        <v>173</v>
      </c>
      <c r="D439" t="s">
        <v>174</v>
      </c>
      <c r="E439" t="s">
        <v>120</v>
      </c>
      <c r="F439" t="s">
        <v>56</v>
      </c>
      <c r="G439" t="s">
        <v>177</v>
      </c>
      <c r="H439" s="6">
        <v>0</v>
      </c>
      <c r="I439" s="6">
        <v>18000</v>
      </c>
      <c r="J439" s="6">
        <v>-18000</v>
      </c>
    </row>
    <row r="440" spans="1:10">
      <c r="A440" t="s">
        <v>418</v>
      </c>
      <c r="B440" s="5">
        <v>45505</v>
      </c>
      <c r="C440" t="s">
        <v>183</v>
      </c>
      <c r="D440" t="s">
        <v>59</v>
      </c>
      <c r="E440" t="s">
        <v>150</v>
      </c>
      <c r="F440" t="s">
        <v>66</v>
      </c>
      <c r="G440" t="s">
        <v>177</v>
      </c>
      <c r="H440" s="6">
        <v>25815.73</v>
      </c>
      <c r="I440" s="6">
        <v>0</v>
      </c>
      <c r="J440" s="6">
        <v>25815.73</v>
      </c>
    </row>
    <row r="441" spans="1:10">
      <c r="A441" t="s">
        <v>418</v>
      </c>
      <c r="B441" s="5">
        <v>45505</v>
      </c>
      <c r="C441" t="s">
        <v>173</v>
      </c>
      <c r="D441" t="s">
        <v>174</v>
      </c>
      <c r="E441" t="s">
        <v>120</v>
      </c>
      <c r="F441" t="s">
        <v>66</v>
      </c>
      <c r="G441" t="s">
        <v>177</v>
      </c>
      <c r="H441" s="6">
        <v>0</v>
      </c>
      <c r="I441" s="6">
        <v>25815.73</v>
      </c>
      <c r="J441" s="6">
        <v>-25815.73</v>
      </c>
    </row>
    <row r="442" spans="1:10">
      <c r="A442" t="s">
        <v>419</v>
      </c>
      <c r="B442" s="5">
        <v>45505</v>
      </c>
      <c r="C442" t="s">
        <v>185</v>
      </c>
      <c r="D442" t="s">
        <v>186</v>
      </c>
      <c r="E442" t="s">
        <v>150</v>
      </c>
      <c r="F442" t="s">
        <v>154</v>
      </c>
      <c r="G442" t="s">
        <v>187</v>
      </c>
      <c r="H442" s="6">
        <v>17700</v>
      </c>
      <c r="I442" s="6">
        <v>0</v>
      </c>
      <c r="J442" s="6">
        <v>17700</v>
      </c>
    </row>
    <row r="443" spans="1:10">
      <c r="A443" t="s">
        <v>419</v>
      </c>
      <c r="B443" s="5">
        <v>45505</v>
      </c>
      <c r="C443" t="s">
        <v>188</v>
      </c>
      <c r="D443" t="s">
        <v>189</v>
      </c>
      <c r="E443" t="s">
        <v>120</v>
      </c>
      <c r="F443" t="s">
        <v>154</v>
      </c>
      <c r="G443" t="s">
        <v>187</v>
      </c>
      <c r="H443" s="6">
        <v>0</v>
      </c>
      <c r="I443" s="6">
        <v>17700</v>
      </c>
      <c r="J443" s="6">
        <v>-17700</v>
      </c>
    </row>
    <row r="444" spans="1:10">
      <c r="A444" t="s">
        <v>420</v>
      </c>
      <c r="B444" s="5">
        <v>45505</v>
      </c>
      <c r="C444" t="s">
        <v>191</v>
      </c>
      <c r="D444" t="s">
        <v>104</v>
      </c>
      <c r="E444" t="s">
        <v>150</v>
      </c>
      <c r="F444" t="s">
        <v>154</v>
      </c>
      <c r="G444" t="s">
        <v>192</v>
      </c>
      <c r="H444" s="6">
        <v>8088</v>
      </c>
      <c r="I444" s="6">
        <v>0</v>
      </c>
      <c r="J444" s="6">
        <v>8088</v>
      </c>
    </row>
    <row r="445" spans="1:10">
      <c r="A445" t="s">
        <v>420</v>
      </c>
      <c r="B445" s="5">
        <v>45505</v>
      </c>
      <c r="C445" t="s">
        <v>173</v>
      </c>
      <c r="D445" t="s">
        <v>174</v>
      </c>
      <c r="E445" t="s">
        <v>120</v>
      </c>
      <c r="F445" t="s">
        <v>154</v>
      </c>
      <c r="G445" t="s">
        <v>192</v>
      </c>
      <c r="H445" s="6">
        <v>0</v>
      </c>
      <c r="I445" s="6">
        <v>8088</v>
      </c>
      <c r="J445" s="6">
        <v>-8088</v>
      </c>
    </row>
    <row r="446" spans="1:10">
      <c r="A446" t="s">
        <v>421</v>
      </c>
      <c r="B446" s="5">
        <v>45505</v>
      </c>
      <c r="C446" t="s">
        <v>194</v>
      </c>
      <c r="D446" t="s">
        <v>195</v>
      </c>
      <c r="E446" t="s">
        <v>150</v>
      </c>
      <c r="F446" t="s">
        <v>154</v>
      </c>
      <c r="G446" t="s">
        <v>196</v>
      </c>
      <c r="H446" s="6">
        <v>18598.710974</v>
      </c>
      <c r="I446" s="6">
        <v>0</v>
      </c>
      <c r="J446" s="6">
        <v>18598.710974</v>
      </c>
    </row>
    <row r="447" spans="1:10">
      <c r="A447" t="s">
        <v>421</v>
      </c>
      <c r="B447" s="5">
        <v>45505</v>
      </c>
      <c r="C447" t="s">
        <v>197</v>
      </c>
      <c r="D447" t="s">
        <v>198</v>
      </c>
      <c r="E447" t="s">
        <v>121</v>
      </c>
      <c r="F447" t="s">
        <v>154</v>
      </c>
      <c r="G447" t="s">
        <v>196</v>
      </c>
      <c r="H447" s="6">
        <v>0</v>
      </c>
      <c r="I447" s="6">
        <v>18598.710974</v>
      </c>
      <c r="J447" s="6">
        <v>-18598.710974</v>
      </c>
    </row>
    <row r="448" spans="1:10">
      <c r="A448" t="s">
        <v>422</v>
      </c>
      <c r="B448" s="5">
        <v>45505</v>
      </c>
      <c r="C448" t="s">
        <v>173</v>
      </c>
      <c r="D448" t="s">
        <v>174</v>
      </c>
      <c r="E448" t="s">
        <v>120</v>
      </c>
      <c r="F448" t="s">
        <v>154</v>
      </c>
      <c r="G448" t="s">
        <v>200</v>
      </c>
      <c r="H448" s="6">
        <v>1053992.5</v>
      </c>
      <c r="I448" s="6">
        <v>0</v>
      </c>
      <c r="J448" s="6">
        <v>1053992.5</v>
      </c>
    </row>
    <row r="449" spans="1:10">
      <c r="A449" t="s">
        <v>422</v>
      </c>
      <c r="B449" s="5">
        <v>45505</v>
      </c>
      <c r="C449" t="s">
        <v>146</v>
      </c>
      <c r="D449" t="s">
        <v>86</v>
      </c>
      <c r="E449" t="s">
        <v>120</v>
      </c>
      <c r="F449" t="s">
        <v>154</v>
      </c>
      <c r="G449" t="s">
        <v>200</v>
      </c>
      <c r="H449" s="6">
        <v>0</v>
      </c>
      <c r="I449" s="6">
        <v>1053992.5</v>
      </c>
      <c r="J449" s="6">
        <v>-1053992.5</v>
      </c>
    </row>
    <row r="450" spans="1:10">
      <c r="A450" t="s">
        <v>423</v>
      </c>
      <c r="B450" s="5">
        <v>45505</v>
      </c>
      <c r="C450" t="s">
        <v>162</v>
      </c>
      <c r="D450" t="s">
        <v>88</v>
      </c>
      <c r="E450" t="s">
        <v>121</v>
      </c>
      <c r="F450" t="s">
        <v>154</v>
      </c>
      <c r="G450" t="s">
        <v>202</v>
      </c>
      <c r="H450" s="6">
        <v>797656.9999999999</v>
      </c>
      <c r="I450" s="6">
        <v>0</v>
      </c>
      <c r="J450" s="6">
        <v>797656.9999999999</v>
      </c>
    </row>
    <row r="451" spans="1:10">
      <c r="A451" t="s">
        <v>423</v>
      </c>
      <c r="B451" s="5">
        <v>45505</v>
      </c>
      <c r="C451" t="s">
        <v>173</v>
      </c>
      <c r="D451" t="s">
        <v>174</v>
      </c>
      <c r="E451" t="s">
        <v>120</v>
      </c>
      <c r="F451" t="s">
        <v>154</v>
      </c>
      <c r="G451" t="s">
        <v>202</v>
      </c>
      <c r="H451" s="6">
        <v>0</v>
      </c>
      <c r="I451" s="6">
        <v>797656.9999999999</v>
      </c>
      <c r="J451" s="6">
        <v>-797656.9999999999</v>
      </c>
    </row>
    <row r="452" spans="1:10">
      <c r="A452" t="s">
        <v>424</v>
      </c>
      <c r="B452" s="5">
        <v>45505</v>
      </c>
      <c r="C452" t="s">
        <v>156</v>
      </c>
      <c r="D452" t="s">
        <v>157</v>
      </c>
      <c r="E452" t="s">
        <v>121</v>
      </c>
      <c r="F452" t="s">
        <v>154</v>
      </c>
      <c r="G452" t="s">
        <v>204</v>
      </c>
      <c r="H452" s="6">
        <v>92127.6716</v>
      </c>
      <c r="I452" s="6">
        <v>0</v>
      </c>
      <c r="J452" s="6">
        <v>92127.6716</v>
      </c>
    </row>
    <row r="453" spans="1:10">
      <c r="A453" t="s">
        <v>424</v>
      </c>
      <c r="B453" s="5">
        <v>45505</v>
      </c>
      <c r="C453" t="s">
        <v>173</v>
      </c>
      <c r="D453" t="s">
        <v>174</v>
      </c>
      <c r="E453" t="s">
        <v>120</v>
      </c>
      <c r="F453" t="s">
        <v>154</v>
      </c>
      <c r="G453" t="s">
        <v>204</v>
      </c>
      <c r="H453" s="6">
        <v>0</v>
      </c>
      <c r="I453" s="6">
        <v>92127.6716</v>
      </c>
      <c r="J453" s="6">
        <v>-92127.6716</v>
      </c>
    </row>
    <row r="454" spans="1:10">
      <c r="A454" t="s">
        <v>425</v>
      </c>
      <c r="B454" s="5">
        <v>45505</v>
      </c>
      <c r="C454" t="s">
        <v>197</v>
      </c>
      <c r="D454" t="s">
        <v>198</v>
      </c>
      <c r="E454" t="s">
        <v>121</v>
      </c>
      <c r="F454" t="s">
        <v>154</v>
      </c>
      <c r="G454" t="s">
        <v>206</v>
      </c>
      <c r="H454" s="6">
        <v>12239.89745599999</v>
      </c>
      <c r="I454" s="6">
        <v>0</v>
      </c>
      <c r="J454" s="6">
        <v>12239.89745599999</v>
      </c>
    </row>
    <row r="455" spans="1:10">
      <c r="A455" t="s">
        <v>425</v>
      </c>
      <c r="B455" s="5">
        <v>45505</v>
      </c>
      <c r="C455" t="s">
        <v>173</v>
      </c>
      <c r="D455" t="s">
        <v>174</v>
      </c>
      <c r="E455" t="s">
        <v>120</v>
      </c>
      <c r="F455" t="s">
        <v>154</v>
      </c>
      <c r="G455" t="s">
        <v>206</v>
      </c>
      <c r="H455" s="6">
        <v>0</v>
      </c>
      <c r="I455" s="6">
        <v>12239.89745599999</v>
      </c>
      <c r="J455" s="6">
        <v>-12239.89745599999</v>
      </c>
    </row>
    <row r="456" spans="1:10">
      <c r="A456" t="s">
        <v>426</v>
      </c>
      <c r="B456" s="5">
        <v>45505</v>
      </c>
      <c r="C456" t="s">
        <v>208</v>
      </c>
      <c r="D456" t="s">
        <v>209</v>
      </c>
      <c r="E456" t="s">
        <v>120</v>
      </c>
      <c r="F456" t="s">
        <v>154</v>
      </c>
      <c r="G456" t="s">
        <v>210</v>
      </c>
      <c r="H456" s="6">
        <v>18000</v>
      </c>
      <c r="I456" s="6">
        <v>0</v>
      </c>
      <c r="J456" s="6">
        <v>18000</v>
      </c>
    </row>
    <row r="457" spans="1:10">
      <c r="A457" t="s">
        <v>426</v>
      </c>
      <c r="B457" s="5">
        <v>45505</v>
      </c>
      <c r="C457" t="s">
        <v>173</v>
      </c>
      <c r="D457" t="s">
        <v>174</v>
      </c>
      <c r="E457" t="s">
        <v>120</v>
      </c>
      <c r="F457" t="s">
        <v>154</v>
      </c>
      <c r="G457" t="s">
        <v>210</v>
      </c>
      <c r="H457" s="6">
        <v>0</v>
      </c>
      <c r="I457" s="6">
        <v>18000</v>
      </c>
      <c r="J457" s="6">
        <v>-18000</v>
      </c>
    </row>
    <row r="458" spans="1:10">
      <c r="A458" t="s">
        <v>427</v>
      </c>
      <c r="B458" s="5">
        <v>45505</v>
      </c>
      <c r="C458" t="s">
        <v>212</v>
      </c>
      <c r="D458" t="s">
        <v>213</v>
      </c>
      <c r="E458" t="s">
        <v>121</v>
      </c>
      <c r="F458" t="s">
        <v>154</v>
      </c>
      <c r="G458" t="s">
        <v>214</v>
      </c>
      <c r="H458" s="6">
        <v>18000</v>
      </c>
      <c r="I458" s="6">
        <v>0</v>
      </c>
      <c r="J458" s="6">
        <v>18000</v>
      </c>
    </row>
    <row r="459" spans="1:10">
      <c r="A459" t="s">
        <v>427</v>
      </c>
      <c r="B459" s="5">
        <v>45505</v>
      </c>
      <c r="C459" t="s">
        <v>173</v>
      </c>
      <c r="D459" t="s">
        <v>174</v>
      </c>
      <c r="E459" t="s">
        <v>120</v>
      </c>
      <c r="F459" t="s">
        <v>154</v>
      </c>
      <c r="G459" t="s">
        <v>214</v>
      </c>
      <c r="H459" s="6">
        <v>0</v>
      </c>
      <c r="I459" s="6">
        <v>18000</v>
      </c>
      <c r="J459" s="6">
        <v>-18000</v>
      </c>
    </row>
    <row r="460" spans="1:10">
      <c r="A460" t="s">
        <v>428</v>
      </c>
      <c r="B460" s="5">
        <v>45505</v>
      </c>
      <c r="C460" t="s">
        <v>148</v>
      </c>
      <c r="D460" t="s">
        <v>149</v>
      </c>
      <c r="E460" t="s">
        <v>150</v>
      </c>
      <c r="F460" t="s">
        <v>154</v>
      </c>
      <c r="G460" t="s">
        <v>216</v>
      </c>
      <c r="H460" s="6">
        <v>1173442.34</v>
      </c>
      <c r="I460" s="6">
        <v>0</v>
      </c>
      <c r="J460" s="6">
        <v>1173442.34</v>
      </c>
    </row>
    <row r="461" spans="1:10">
      <c r="A461" t="s">
        <v>428</v>
      </c>
      <c r="B461" s="5">
        <v>45505</v>
      </c>
      <c r="C461" t="s">
        <v>217</v>
      </c>
      <c r="D461" t="s">
        <v>218</v>
      </c>
      <c r="E461" t="s">
        <v>122</v>
      </c>
      <c r="F461" t="s">
        <v>154</v>
      </c>
      <c r="G461" t="s">
        <v>216</v>
      </c>
      <c r="H461" s="6">
        <v>0</v>
      </c>
      <c r="I461" s="6">
        <v>1173442.34</v>
      </c>
      <c r="J461" s="6">
        <v>-1173442.34</v>
      </c>
    </row>
    <row r="462" spans="1:10">
      <c r="A462" t="s">
        <v>429</v>
      </c>
      <c r="B462" s="5">
        <v>45505</v>
      </c>
      <c r="C462" t="s">
        <v>217</v>
      </c>
      <c r="D462" t="s">
        <v>218</v>
      </c>
      <c r="E462" t="s">
        <v>122</v>
      </c>
      <c r="F462" t="s">
        <v>154</v>
      </c>
      <c r="G462" t="s">
        <v>216</v>
      </c>
      <c r="H462" s="6">
        <v>99742.59890000001</v>
      </c>
      <c r="I462" s="6">
        <v>0</v>
      </c>
      <c r="J462" s="6">
        <v>99742.59890000001</v>
      </c>
    </row>
    <row r="463" spans="1:10">
      <c r="A463" t="s">
        <v>429</v>
      </c>
      <c r="B463" s="5">
        <v>45505</v>
      </c>
      <c r="C463" t="s">
        <v>152</v>
      </c>
      <c r="D463" t="s">
        <v>153</v>
      </c>
      <c r="E463" t="s">
        <v>150</v>
      </c>
      <c r="F463" t="s">
        <v>154</v>
      </c>
      <c r="G463" t="s">
        <v>216</v>
      </c>
      <c r="H463" s="6">
        <v>0</v>
      </c>
      <c r="I463" s="6">
        <v>99742.59890000001</v>
      </c>
      <c r="J463" s="6">
        <v>-99742.59890000001</v>
      </c>
    </row>
    <row r="464" spans="1:10">
      <c r="A464" t="s">
        <v>430</v>
      </c>
      <c r="B464" s="5">
        <v>45505</v>
      </c>
      <c r="C464" t="s">
        <v>217</v>
      </c>
      <c r="D464" t="s">
        <v>218</v>
      </c>
      <c r="E464" t="s">
        <v>122</v>
      </c>
      <c r="F464" t="s">
        <v>154</v>
      </c>
      <c r="G464" t="s">
        <v>216</v>
      </c>
      <c r="H464" s="6">
        <v>776350</v>
      </c>
      <c r="I464" s="6">
        <v>0</v>
      </c>
      <c r="J464" s="6">
        <v>776350</v>
      </c>
    </row>
    <row r="465" spans="1:10">
      <c r="A465" t="s">
        <v>430</v>
      </c>
      <c r="B465" s="5">
        <v>45505</v>
      </c>
      <c r="C465" t="s">
        <v>164</v>
      </c>
      <c r="D465" t="s">
        <v>36</v>
      </c>
      <c r="E465" t="s">
        <v>150</v>
      </c>
      <c r="F465" t="s">
        <v>154</v>
      </c>
      <c r="G465" t="s">
        <v>216</v>
      </c>
      <c r="H465" s="6">
        <v>0</v>
      </c>
      <c r="I465" s="6">
        <v>776350</v>
      </c>
      <c r="J465" s="6">
        <v>-776350</v>
      </c>
    </row>
    <row r="466" spans="1:10">
      <c r="A466" t="s">
        <v>431</v>
      </c>
      <c r="B466" s="5">
        <v>45505</v>
      </c>
      <c r="C466" t="s">
        <v>217</v>
      </c>
      <c r="D466" t="s">
        <v>218</v>
      </c>
      <c r="E466" t="s">
        <v>122</v>
      </c>
      <c r="F466" t="s">
        <v>154</v>
      </c>
      <c r="G466" t="s">
        <v>216</v>
      </c>
      <c r="H466" s="6">
        <v>98800</v>
      </c>
      <c r="I466" s="6">
        <v>0</v>
      </c>
      <c r="J466" s="6">
        <v>98800</v>
      </c>
    </row>
    <row r="467" spans="1:10">
      <c r="A467" t="s">
        <v>431</v>
      </c>
      <c r="B467" s="5">
        <v>45505</v>
      </c>
      <c r="C467" t="s">
        <v>167</v>
      </c>
      <c r="D467" t="s">
        <v>51</v>
      </c>
      <c r="E467" t="s">
        <v>150</v>
      </c>
      <c r="F467" t="s">
        <v>154</v>
      </c>
      <c r="G467" t="s">
        <v>216</v>
      </c>
      <c r="H467" s="6">
        <v>0</v>
      </c>
      <c r="I467" s="6">
        <v>98800</v>
      </c>
      <c r="J467" s="6">
        <v>-98800</v>
      </c>
    </row>
    <row r="468" spans="1:10">
      <c r="A468" t="s">
        <v>432</v>
      </c>
      <c r="B468" s="5">
        <v>45505</v>
      </c>
      <c r="C468" t="s">
        <v>217</v>
      </c>
      <c r="D468" t="s">
        <v>218</v>
      </c>
      <c r="E468" t="s">
        <v>122</v>
      </c>
      <c r="F468" t="s">
        <v>154</v>
      </c>
      <c r="G468" t="s">
        <v>216</v>
      </c>
      <c r="H468" s="6">
        <v>42243.92</v>
      </c>
      <c r="I468" s="6">
        <v>0</v>
      </c>
      <c r="J468" s="6">
        <v>42243.92</v>
      </c>
    </row>
    <row r="469" spans="1:10">
      <c r="A469" t="s">
        <v>432</v>
      </c>
      <c r="B469" s="5">
        <v>45505</v>
      </c>
      <c r="C469" t="s">
        <v>176</v>
      </c>
      <c r="D469" t="s">
        <v>52</v>
      </c>
      <c r="E469" t="s">
        <v>150</v>
      </c>
      <c r="F469" t="s">
        <v>154</v>
      </c>
      <c r="G469" t="s">
        <v>216</v>
      </c>
      <c r="H469" s="6">
        <v>0</v>
      </c>
      <c r="I469" s="6">
        <v>42243.92</v>
      </c>
      <c r="J469" s="6">
        <v>-42243.92</v>
      </c>
    </row>
    <row r="470" spans="1:10">
      <c r="A470" t="s">
        <v>433</v>
      </c>
      <c r="B470" s="5">
        <v>45505</v>
      </c>
      <c r="C470" t="s">
        <v>217</v>
      </c>
      <c r="D470" t="s">
        <v>218</v>
      </c>
      <c r="E470" t="s">
        <v>122</v>
      </c>
      <c r="F470" t="s">
        <v>154</v>
      </c>
      <c r="G470" t="s">
        <v>216</v>
      </c>
      <c r="H470" s="6">
        <v>32000</v>
      </c>
      <c r="I470" s="6">
        <v>0</v>
      </c>
      <c r="J470" s="6">
        <v>32000</v>
      </c>
    </row>
    <row r="471" spans="1:10">
      <c r="A471" t="s">
        <v>433</v>
      </c>
      <c r="B471" s="5">
        <v>45505</v>
      </c>
      <c r="C471" t="s">
        <v>179</v>
      </c>
      <c r="D471" t="s">
        <v>54</v>
      </c>
      <c r="E471" t="s">
        <v>150</v>
      </c>
      <c r="F471" t="s">
        <v>154</v>
      </c>
      <c r="G471" t="s">
        <v>216</v>
      </c>
      <c r="H471" s="6">
        <v>0</v>
      </c>
      <c r="I471" s="6">
        <v>32000</v>
      </c>
      <c r="J471" s="6">
        <v>-32000</v>
      </c>
    </row>
    <row r="472" spans="1:10">
      <c r="A472" t="s">
        <v>434</v>
      </c>
      <c r="B472" s="5">
        <v>45505</v>
      </c>
      <c r="C472" t="s">
        <v>217</v>
      </c>
      <c r="D472" t="s">
        <v>218</v>
      </c>
      <c r="E472" t="s">
        <v>122</v>
      </c>
      <c r="F472" t="s">
        <v>154</v>
      </c>
      <c r="G472" t="s">
        <v>216</v>
      </c>
      <c r="H472" s="6">
        <v>18000</v>
      </c>
      <c r="I472" s="6">
        <v>0</v>
      </c>
      <c r="J472" s="6">
        <v>18000</v>
      </c>
    </row>
    <row r="473" spans="1:10">
      <c r="A473" t="s">
        <v>434</v>
      </c>
      <c r="B473" s="5">
        <v>45505</v>
      </c>
      <c r="C473" t="s">
        <v>181</v>
      </c>
      <c r="D473" t="s">
        <v>56</v>
      </c>
      <c r="E473" t="s">
        <v>150</v>
      </c>
      <c r="F473" t="s">
        <v>154</v>
      </c>
      <c r="G473" t="s">
        <v>216</v>
      </c>
      <c r="H473" s="6">
        <v>0</v>
      </c>
      <c r="I473" s="6">
        <v>18000</v>
      </c>
      <c r="J473" s="6">
        <v>-18000</v>
      </c>
    </row>
    <row r="474" spans="1:10">
      <c r="A474" t="s">
        <v>435</v>
      </c>
      <c r="B474" s="5">
        <v>45505</v>
      </c>
      <c r="C474" t="s">
        <v>217</v>
      </c>
      <c r="D474" t="s">
        <v>218</v>
      </c>
      <c r="E474" t="s">
        <v>122</v>
      </c>
      <c r="F474" t="s">
        <v>154</v>
      </c>
      <c r="G474" t="s">
        <v>216</v>
      </c>
      <c r="H474" s="6">
        <v>25815.73</v>
      </c>
      <c r="I474" s="6">
        <v>0</v>
      </c>
      <c r="J474" s="6">
        <v>25815.73</v>
      </c>
    </row>
    <row r="475" spans="1:10">
      <c r="A475" t="s">
        <v>435</v>
      </c>
      <c r="B475" s="5">
        <v>45505</v>
      </c>
      <c r="C475" t="s">
        <v>183</v>
      </c>
      <c r="D475" t="s">
        <v>59</v>
      </c>
      <c r="E475" t="s">
        <v>150</v>
      </c>
      <c r="F475" t="s">
        <v>154</v>
      </c>
      <c r="G475" t="s">
        <v>216</v>
      </c>
      <c r="H475" s="6">
        <v>0</v>
      </c>
      <c r="I475" s="6">
        <v>25815.73</v>
      </c>
      <c r="J475" s="6">
        <v>-25815.73</v>
      </c>
    </row>
    <row r="476" spans="1:10">
      <c r="A476" t="s">
        <v>436</v>
      </c>
      <c r="B476" s="5">
        <v>45505</v>
      </c>
      <c r="C476" t="s">
        <v>217</v>
      </c>
      <c r="D476" t="s">
        <v>218</v>
      </c>
      <c r="E476" t="s">
        <v>122</v>
      </c>
      <c r="F476" t="s">
        <v>154</v>
      </c>
      <c r="G476" t="s">
        <v>216</v>
      </c>
      <c r="H476" s="6">
        <v>17700</v>
      </c>
      <c r="I476" s="6">
        <v>0</v>
      </c>
      <c r="J476" s="6">
        <v>17700</v>
      </c>
    </row>
    <row r="477" spans="1:10">
      <c r="A477" t="s">
        <v>436</v>
      </c>
      <c r="B477" s="5">
        <v>45505</v>
      </c>
      <c r="C477" t="s">
        <v>185</v>
      </c>
      <c r="D477" t="s">
        <v>186</v>
      </c>
      <c r="E477" t="s">
        <v>150</v>
      </c>
      <c r="F477" t="s">
        <v>154</v>
      </c>
      <c r="G477" t="s">
        <v>216</v>
      </c>
      <c r="H477" s="6">
        <v>0</v>
      </c>
      <c r="I477" s="6">
        <v>17700</v>
      </c>
      <c r="J477" s="6">
        <v>-17700</v>
      </c>
    </row>
    <row r="478" spans="1:10">
      <c r="A478" t="s">
        <v>437</v>
      </c>
      <c r="B478" s="5">
        <v>45505</v>
      </c>
      <c r="C478" t="s">
        <v>217</v>
      </c>
      <c r="D478" t="s">
        <v>218</v>
      </c>
      <c r="E478" t="s">
        <v>122</v>
      </c>
      <c r="F478" t="s">
        <v>154</v>
      </c>
      <c r="G478" t="s">
        <v>216</v>
      </c>
      <c r="H478" s="6">
        <v>8088</v>
      </c>
      <c r="I478" s="6">
        <v>0</v>
      </c>
      <c r="J478" s="6">
        <v>8088</v>
      </c>
    </row>
    <row r="479" spans="1:10">
      <c r="A479" t="s">
        <v>437</v>
      </c>
      <c r="B479" s="5">
        <v>45505</v>
      </c>
      <c r="C479" t="s">
        <v>191</v>
      </c>
      <c r="D479" t="s">
        <v>104</v>
      </c>
      <c r="E479" t="s">
        <v>150</v>
      </c>
      <c r="F479" t="s">
        <v>154</v>
      </c>
      <c r="G479" t="s">
        <v>216</v>
      </c>
      <c r="H479" s="6">
        <v>0</v>
      </c>
      <c r="I479" s="6">
        <v>8088</v>
      </c>
      <c r="J479" s="6">
        <v>-8088</v>
      </c>
    </row>
    <row r="480" spans="1:10">
      <c r="A480" t="s">
        <v>438</v>
      </c>
      <c r="B480" s="5">
        <v>45505</v>
      </c>
      <c r="C480" t="s">
        <v>217</v>
      </c>
      <c r="D480" t="s">
        <v>218</v>
      </c>
      <c r="E480" t="s">
        <v>122</v>
      </c>
      <c r="F480" t="s">
        <v>154</v>
      </c>
      <c r="G480" t="s">
        <v>216</v>
      </c>
      <c r="H480" s="6">
        <v>18598.710974</v>
      </c>
      <c r="I480" s="6">
        <v>0</v>
      </c>
      <c r="J480" s="6">
        <v>18598.710974</v>
      </c>
    </row>
    <row r="481" spans="1:10">
      <c r="A481" t="s">
        <v>438</v>
      </c>
      <c r="B481" s="5">
        <v>45505</v>
      </c>
      <c r="C481" t="s">
        <v>194</v>
      </c>
      <c r="D481" t="s">
        <v>195</v>
      </c>
      <c r="E481" t="s">
        <v>150</v>
      </c>
      <c r="F481" t="s">
        <v>154</v>
      </c>
      <c r="G481" t="s">
        <v>216</v>
      </c>
      <c r="H481" s="6">
        <v>0</v>
      </c>
      <c r="I481" s="6">
        <v>18598.710974</v>
      </c>
      <c r="J481" s="6">
        <v>-18598.710974</v>
      </c>
    </row>
    <row r="482" spans="1:10">
      <c r="A482" t="s">
        <v>439</v>
      </c>
      <c r="B482" s="5">
        <v>45536</v>
      </c>
      <c r="C482" t="s">
        <v>146</v>
      </c>
      <c r="D482" t="s">
        <v>86</v>
      </c>
      <c r="E482" t="s">
        <v>120</v>
      </c>
      <c r="F482" t="s">
        <v>52</v>
      </c>
      <c r="G482" t="s">
        <v>147</v>
      </c>
      <c r="H482" s="6">
        <v>1218986.26</v>
      </c>
      <c r="I482" s="6">
        <v>0</v>
      </c>
      <c r="J482" s="6">
        <v>1218986.26</v>
      </c>
    </row>
    <row r="483" spans="1:10">
      <c r="A483" t="s">
        <v>439</v>
      </c>
      <c r="B483" s="5">
        <v>45536</v>
      </c>
      <c r="C483" t="s">
        <v>148</v>
      </c>
      <c r="D483" t="s">
        <v>149</v>
      </c>
      <c r="E483" t="s">
        <v>150</v>
      </c>
      <c r="F483" t="s">
        <v>52</v>
      </c>
      <c r="G483" t="s">
        <v>147</v>
      </c>
      <c r="H483" s="6">
        <v>0</v>
      </c>
      <c r="I483" s="6">
        <v>1218986.26</v>
      </c>
      <c r="J483" s="6">
        <v>-1218986.26</v>
      </c>
    </row>
    <row r="484" spans="1:10">
      <c r="A484" t="s">
        <v>440</v>
      </c>
      <c r="B484" s="5">
        <v>45536</v>
      </c>
      <c r="C484" t="s">
        <v>152</v>
      </c>
      <c r="D484" t="s">
        <v>153</v>
      </c>
      <c r="E484" t="s">
        <v>150</v>
      </c>
      <c r="F484" t="s">
        <v>154</v>
      </c>
      <c r="G484" t="s">
        <v>155</v>
      </c>
      <c r="H484" s="6">
        <v>103613.8321</v>
      </c>
      <c r="I484" s="6">
        <v>0</v>
      </c>
      <c r="J484" s="6">
        <v>103613.8321</v>
      </c>
    </row>
    <row r="485" spans="1:10">
      <c r="A485" t="s">
        <v>440</v>
      </c>
      <c r="B485" s="5">
        <v>45536</v>
      </c>
      <c r="C485" t="s">
        <v>156</v>
      </c>
      <c r="D485" t="s">
        <v>157</v>
      </c>
      <c r="E485" t="s">
        <v>121</v>
      </c>
      <c r="F485" t="s">
        <v>154</v>
      </c>
      <c r="G485" t="s">
        <v>155</v>
      </c>
      <c r="H485" s="6">
        <v>0</v>
      </c>
      <c r="I485" s="6">
        <v>103613.8321</v>
      </c>
      <c r="J485" s="6">
        <v>-103613.8321</v>
      </c>
    </row>
    <row r="486" spans="1:10">
      <c r="A486" t="s">
        <v>441</v>
      </c>
      <c r="B486" s="5">
        <v>45536</v>
      </c>
      <c r="C486" t="s">
        <v>159</v>
      </c>
      <c r="D486" t="s">
        <v>160</v>
      </c>
      <c r="E486" t="s">
        <v>120</v>
      </c>
      <c r="F486" t="s">
        <v>58</v>
      </c>
      <c r="G486" t="s">
        <v>161</v>
      </c>
      <c r="H486" s="6">
        <v>850247.3333333335</v>
      </c>
      <c r="I486" s="6">
        <v>0</v>
      </c>
      <c r="J486" s="6">
        <v>850247.3333333335</v>
      </c>
    </row>
    <row r="487" spans="1:10">
      <c r="A487" t="s">
        <v>441</v>
      </c>
      <c r="B487" s="5">
        <v>45536</v>
      </c>
      <c r="C487" t="s">
        <v>162</v>
      </c>
      <c r="D487" t="s">
        <v>88</v>
      </c>
      <c r="E487" t="s">
        <v>121</v>
      </c>
      <c r="F487" t="s">
        <v>58</v>
      </c>
      <c r="G487" t="s">
        <v>161</v>
      </c>
      <c r="H487" s="6">
        <v>0</v>
      </c>
      <c r="I487" s="6">
        <v>850247.3333333335</v>
      </c>
      <c r="J487" s="6">
        <v>-850247.3333333335</v>
      </c>
    </row>
    <row r="488" spans="1:10">
      <c r="A488" t="s">
        <v>442</v>
      </c>
      <c r="B488" s="5">
        <v>45536</v>
      </c>
      <c r="C488" t="s">
        <v>164</v>
      </c>
      <c r="D488" t="s">
        <v>36</v>
      </c>
      <c r="E488" t="s">
        <v>150</v>
      </c>
      <c r="F488" t="s">
        <v>58</v>
      </c>
      <c r="G488" t="s">
        <v>165</v>
      </c>
      <c r="H488" s="6">
        <v>805520</v>
      </c>
      <c r="I488" s="6">
        <v>0</v>
      </c>
      <c r="J488" s="6">
        <v>805520</v>
      </c>
    </row>
    <row r="489" spans="1:10">
      <c r="A489" t="s">
        <v>442</v>
      </c>
      <c r="B489" s="5">
        <v>45536</v>
      </c>
      <c r="C489" t="s">
        <v>159</v>
      </c>
      <c r="D489" t="s">
        <v>160</v>
      </c>
      <c r="E489" t="s">
        <v>120</v>
      </c>
      <c r="F489" t="s">
        <v>58</v>
      </c>
      <c r="G489" t="s">
        <v>165</v>
      </c>
      <c r="H489" s="6">
        <v>0</v>
      </c>
      <c r="I489" s="6">
        <v>805520</v>
      </c>
      <c r="J489" s="6">
        <v>-805520</v>
      </c>
    </row>
    <row r="490" spans="1:10">
      <c r="A490" t="s">
        <v>443</v>
      </c>
      <c r="B490" s="5">
        <v>45536</v>
      </c>
      <c r="C490" t="s">
        <v>167</v>
      </c>
      <c r="D490" t="s">
        <v>51</v>
      </c>
      <c r="E490" t="s">
        <v>150</v>
      </c>
      <c r="F490" t="s">
        <v>51</v>
      </c>
      <c r="G490" t="s">
        <v>168</v>
      </c>
      <c r="H490" s="6">
        <v>98800</v>
      </c>
      <c r="I490" s="6">
        <v>0</v>
      </c>
      <c r="J490" s="6">
        <v>98800</v>
      </c>
    </row>
    <row r="491" spans="1:10">
      <c r="A491" t="s">
        <v>443</v>
      </c>
      <c r="B491" s="5">
        <v>45536</v>
      </c>
      <c r="C491" t="s">
        <v>169</v>
      </c>
      <c r="D491" t="s">
        <v>170</v>
      </c>
      <c r="E491" t="s">
        <v>121</v>
      </c>
      <c r="F491" t="s">
        <v>51</v>
      </c>
      <c r="G491" t="s">
        <v>168</v>
      </c>
      <c r="H491" s="6">
        <v>0</v>
      </c>
      <c r="I491" s="6">
        <v>98800</v>
      </c>
      <c r="J491" s="6">
        <v>-98800</v>
      </c>
    </row>
    <row r="492" spans="1:10">
      <c r="A492" t="s">
        <v>444</v>
      </c>
      <c r="B492" s="5">
        <v>45536</v>
      </c>
      <c r="C492" t="s">
        <v>169</v>
      </c>
      <c r="D492" t="s">
        <v>170</v>
      </c>
      <c r="E492" t="s">
        <v>121</v>
      </c>
      <c r="F492" t="s">
        <v>51</v>
      </c>
      <c r="G492" t="s">
        <v>172</v>
      </c>
      <c r="H492" s="6">
        <v>98800</v>
      </c>
      <c r="I492" s="6">
        <v>0</v>
      </c>
      <c r="J492" s="6">
        <v>98800</v>
      </c>
    </row>
    <row r="493" spans="1:10">
      <c r="A493" t="s">
        <v>444</v>
      </c>
      <c r="B493" s="5">
        <v>45536</v>
      </c>
      <c r="C493" t="s">
        <v>173</v>
      </c>
      <c r="D493" t="s">
        <v>174</v>
      </c>
      <c r="E493" t="s">
        <v>120</v>
      </c>
      <c r="F493" t="s">
        <v>51</v>
      </c>
      <c r="G493" t="s">
        <v>172</v>
      </c>
      <c r="H493" s="6">
        <v>0</v>
      </c>
      <c r="I493" s="6">
        <v>98800</v>
      </c>
      <c r="J493" s="6">
        <v>-98800</v>
      </c>
    </row>
    <row r="494" spans="1:10">
      <c r="A494" t="s">
        <v>445</v>
      </c>
      <c r="B494" s="5">
        <v>45536</v>
      </c>
      <c r="C494" t="s">
        <v>176</v>
      </c>
      <c r="D494" t="s">
        <v>52</v>
      </c>
      <c r="E494" t="s">
        <v>150</v>
      </c>
      <c r="F494" t="s">
        <v>52</v>
      </c>
      <c r="G494" t="s">
        <v>177</v>
      </c>
      <c r="H494" s="6">
        <v>43883.51</v>
      </c>
      <c r="I494" s="6">
        <v>0</v>
      </c>
      <c r="J494" s="6">
        <v>43883.51</v>
      </c>
    </row>
    <row r="495" spans="1:10">
      <c r="A495" t="s">
        <v>445</v>
      </c>
      <c r="B495" s="5">
        <v>45536</v>
      </c>
      <c r="C495" t="s">
        <v>173</v>
      </c>
      <c r="D495" t="s">
        <v>174</v>
      </c>
      <c r="E495" t="s">
        <v>120</v>
      </c>
      <c r="F495" t="s">
        <v>52</v>
      </c>
      <c r="G495" t="s">
        <v>177</v>
      </c>
      <c r="H495" s="6">
        <v>0</v>
      </c>
      <c r="I495" s="6">
        <v>43883.51</v>
      </c>
      <c r="J495" s="6">
        <v>-43883.51</v>
      </c>
    </row>
    <row r="496" spans="1:10">
      <c r="A496" t="s">
        <v>446</v>
      </c>
      <c r="B496" s="5">
        <v>45536</v>
      </c>
      <c r="C496" t="s">
        <v>179</v>
      </c>
      <c r="D496" t="s">
        <v>54</v>
      </c>
      <c r="E496" t="s">
        <v>150</v>
      </c>
      <c r="F496" t="s">
        <v>54</v>
      </c>
      <c r="G496" t="s">
        <v>177</v>
      </c>
      <c r="H496" s="6">
        <v>32000</v>
      </c>
      <c r="I496" s="6">
        <v>0</v>
      </c>
      <c r="J496" s="6">
        <v>32000</v>
      </c>
    </row>
    <row r="497" spans="1:10">
      <c r="A497" t="s">
        <v>446</v>
      </c>
      <c r="B497" s="5">
        <v>45536</v>
      </c>
      <c r="C497" t="s">
        <v>173</v>
      </c>
      <c r="D497" t="s">
        <v>174</v>
      </c>
      <c r="E497" t="s">
        <v>120</v>
      </c>
      <c r="F497" t="s">
        <v>54</v>
      </c>
      <c r="G497" t="s">
        <v>177</v>
      </c>
      <c r="H497" s="6">
        <v>0</v>
      </c>
      <c r="I497" s="6">
        <v>32000</v>
      </c>
      <c r="J497" s="6">
        <v>-32000</v>
      </c>
    </row>
    <row r="498" spans="1:10">
      <c r="A498" t="s">
        <v>447</v>
      </c>
      <c r="B498" s="5">
        <v>45536</v>
      </c>
      <c r="C498" t="s">
        <v>181</v>
      </c>
      <c r="D498" t="s">
        <v>56</v>
      </c>
      <c r="E498" t="s">
        <v>150</v>
      </c>
      <c r="F498" t="s">
        <v>56</v>
      </c>
      <c r="G498" t="s">
        <v>177</v>
      </c>
      <c r="H498" s="6">
        <v>18000</v>
      </c>
      <c r="I498" s="6">
        <v>0</v>
      </c>
      <c r="J498" s="6">
        <v>18000</v>
      </c>
    </row>
    <row r="499" spans="1:10">
      <c r="A499" t="s">
        <v>447</v>
      </c>
      <c r="B499" s="5">
        <v>45536</v>
      </c>
      <c r="C499" t="s">
        <v>173</v>
      </c>
      <c r="D499" t="s">
        <v>174</v>
      </c>
      <c r="E499" t="s">
        <v>120</v>
      </c>
      <c r="F499" t="s">
        <v>56</v>
      </c>
      <c r="G499" t="s">
        <v>177</v>
      </c>
      <c r="H499" s="6">
        <v>0</v>
      </c>
      <c r="I499" s="6">
        <v>18000</v>
      </c>
      <c r="J499" s="6">
        <v>-18000</v>
      </c>
    </row>
    <row r="500" spans="1:10">
      <c r="A500" t="s">
        <v>448</v>
      </c>
      <c r="B500" s="5">
        <v>45536</v>
      </c>
      <c r="C500" t="s">
        <v>183</v>
      </c>
      <c r="D500" t="s">
        <v>59</v>
      </c>
      <c r="E500" t="s">
        <v>150</v>
      </c>
      <c r="F500" t="s">
        <v>66</v>
      </c>
      <c r="G500" t="s">
        <v>177</v>
      </c>
      <c r="H500" s="6">
        <v>26817.7</v>
      </c>
      <c r="I500" s="6">
        <v>0</v>
      </c>
      <c r="J500" s="6">
        <v>26817.7</v>
      </c>
    </row>
    <row r="501" spans="1:10">
      <c r="A501" t="s">
        <v>448</v>
      </c>
      <c r="B501" s="5">
        <v>45536</v>
      </c>
      <c r="C501" t="s">
        <v>173</v>
      </c>
      <c r="D501" t="s">
        <v>174</v>
      </c>
      <c r="E501" t="s">
        <v>120</v>
      </c>
      <c r="F501" t="s">
        <v>66</v>
      </c>
      <c r="G501" t="s">
        <v>177</v>
      </c>
      <c r="H501" s="6">
        <v>0</v>
      </c>
      <c r="I501" s="6">
        <v>26817.7</v>
      </c>
      <c r="J501" s="6">
        <v>-26817.7</v>
      </c>
    </row>
    <row r="502" spans="1:10">
      <c r="A502" t="s">
        <v>449</v>
      </c>
      <c r="B502" s="5">
        <v>45536</v>
      </c>
      <c r="C502" t="s">
        <v>185</v>
      </c>
      <c r="D502" t="s">
        <v>186</v>
      </c>
      <c r="E502" t="s">
        <v>150</v>
      </c>
      <c r="F502" t="s">
        <v>154</v>
      </c>
      <c r="G502" t="s">
        <v>187</v>
      </c>
      <c r="H502" s="6">
        <v>17880</v>
      </c>
      <c r="I502" s="6">
        <v>0</v>
      </c>
      <c r="J502" s="6">
        <v>17880</v>
      </c>
    </row>
    <row r="503" spans="1:10">
      <c r="A503" t="s">
        <v>449</v>
      </c>
      <c r="B503" s="5">
        <v>45536</v>
      </c>
      <c r="C503" t="s">
        <v>188</v>
      </c>
      <c r="D503" t="s">
        <v>189</v>
      </c>
      <c r="E503" t="s">
        <v>120</v>
      </c>
      <c r="F503" t="s">
        <v>154</v>
      </c>
      <c r="G503" t="s">
        <v>187</v>
      </c>
      <c r="H503" s="6">
        <v>0</v>
      </c>
      <c r="I503" s="6">
        <v>17880</v>
      </c>
      <c r="J503" s="6">
        <v>-17880</v>
      </c>
    </row>
    <row r="504" spans="1:10">
      <c r="A504" t="s">
        <v>450</v>
      </c>
      <c r="B504" s="5">
        <v>45536</v>
      </c>
      <c r="C504" t="s">
        <v>191</v>
      </c>
      <c r="D504" t="s">
        <v>104</v>
      </c>
      <c r="E504" t="s">
        <v>150</v>
      </c>
      <c r="F504" t="s">
        <v>154</v>
      </c>
      <c r="G504" t="s">
        <v>192</v>
      </c>
      <c r="H504" s="6">
        <v>7872</v>
      </c>
      <c r="I504" s="6">
        <v>0</v>
      </c>
      <c r="J504" s="6">
        <v>7872</v>
      </c>
    </row>
    <row r="505" spans="1:10">
      <c r="A505" t="s">
        <v>450</v>
      </c>
      <c r="B505" s="5">
        <v>45536</v>
      </c>
      <c r="C505" t="s">
        <v>173</v>
      </c>
      <c r="D505" t="s">
        <v>174</v>
      </c>
      <c r="E505" t="s">
        <v>120</v>
      </c>
      <c r="F505" t="s">
        <v>154</v>
      </c>
      <c r="G505" t="s">
        <v>192</v>
      </c>
      <c r="H505" s="6">
        <v>0</v>
      </c>
      <c r="I505" s="6">
        <v>7872</v>
      </c>
      <c r="J505" s="6">
        <v>-7872</v>
      </c>
    </row>
    <row r="506" spans="1:10">
      <c r="A506" t="s">
        <v>451</v>
      </c>
      <c r="B506" s="5">
        <v>45536</v>
      </c>
      <c r="C506" t="s">
        <v>194</v>
      </c>
      <c r="D506" t="s">
        <v>195</v>
      </c>
      <c r="E506" t="s">
        <v>150</v>
      </c>
      <c r="F506" t="s">
        <v>154</v>
      </c>
      <c r="G506" t="s">
        <v>196</v>
      </c>
      <c r="H506" s="6">
        <v>21963.73408600001</v>
      </c>
      <c r="I506" s="6">
        <v>0</v>
      </c>
      <c r="J506" s="6">
        <v>21963.73408600001</v>
      </c>
    </row>
    <row r="507" spans="1:10">
      <c r="A507" t="s">
        <v>451</v>
      </c>
      <c r="B507" s="5">
        <v>45536</v>
      </c>
      <c r="C507" t="s">
        <v>197</v>
      </c>
      <c r="D507" t="s">
        <v>198</v>
      </c>
      <c r="E507" t="s">
        <v>121</v>
      </c>
      <c r="F507" t="s">
        <v>154</v>
      </c>
      <c r="G507" t="s">
        <v>196</v>
      </c>
      <c r="H507" s="6">
        <v>0</v>
      </c>
      <c r="I507" s="6">
        <v>21963.73408600001</v>
      </c>
      <c r="J507" s="6">
        <v>-21963.73408600001</v>
      </c>
    </row>
    <row r="508" spans="1:10">
      <c r="A508" t="s">
        <v>452</v>
      </c>
      <c r="B508" s="5">
        <v>45536</v>
      </c>
      <c r="C508" t="s">
        <v>173</v>
      </c>
      <c r="D508" t="s">
        <v>174</v>
      </c>
      <c r="E508" t="s">
        <v>120</v>
      </c>
      <c r="F508" t="s">
        <v>154</v>
      </c>
      <c r="G508" t="s">
        <v>200</v>
      </c>
      <c r="H508" s="6">
        <v>1158261.033333334</v>
      </c>
      <c r="I508" s="6">
        <v>0</v>
      </c>
      <c r="J508" s="6">
        <v>1158261.033333334</v>
      </c>
    </row>
    <row r="509" spans="1:10">
      <c r="A509" t="s">
        <v>452</v>
      </c>
      <c r="B509" s="5">
        <v>45536</v>
      </c>
      <c r="C509" t="s">
        <v>146</v>
      </c>
      <c r="D509" t="s">
        <v>86</v>
      </c>
      <c r="E509" t="s">
        <v>120</v>
      </c>
      <c r="F509" t="s">
        <v>154</v>
      </c>
      <c r="G509" t="s">
        <v>200</v>
      </c>
      <c r="H509" s="6">
        <v>0</v>
      </c>
      <c r="I509" s="6">
        <v>1158261.033333334</v>
      </c>
      <c r="J509" s="6">
        <v>-1158261.033333334</v>
      </c>
    </row>
    <row r="510" spans="1:10">
      <c r="A510" t="s">
        <v>453</v>
      </c>
      <c r="B510" s="5">
        <v>45536</v>
      </c>
      <c r="C510" t="s">
        <v>162</v>
      </c>
      <c r="D510" t="s">
        <v>88</v>
      </c>
      <c r="E510" t="s">
        <v>121</v>
      </c>
      <c r="F510" t="s">
        <v>154</v>
      </c>
      <c r="G510" t="s">
        <v>202</v>
      </c>
      <c r="H510" s="6">
        <v>816215.6666666666</v>
      </c>
      <c r="I510" s="6">
        <v>0</v>
      </c>
      <c r="J510" s="6">
        <v>816215.6666666666</v>
      </c>
    </row>
    <row r="511" spans="1:10">
      <c r="A511" t="s">
        <v>453</v>
      </c>
      <c r="B511" s="5">
        <v>45536</v>
      </c>
      <c r="C511" t="s">
        <v>173</v>
      </c>
      <c r="D511" t="s">
        <v>174</v>
      </c>
      <c r="E511" t="s">
        <v>120</v>
      </c>
      <c r="F511" t="s">
        <v>154</v>
      </c>
      <c r="G511" t="s">
        <v>202</v>
      </c>
      <c r="H511" s="6">
        <v>0</v>
      </c>
      <c r="I511" s="6">
        <v>816215.6666666666</v>
      </c>
      <c r="J511" s="6">
        <v>-816215.6666666666</v>
      </c>
    </row>
    <row r="512" spans="1:10">
      <c r="A512" t="s">
        <v>454</v>
      </c>
      <c r="B512" s="5">
        <v>45536</v>
      </c>
      <c r="C512" t="s">
        <v>156</v>
      </c>
      <c r="D512" t="s">
        <v>157</v>
      </c>
      <c r="E512" t="s">
        <v>121</v>
      </c>
      <c r="F512" t="s">
        <v>154</v>
      </c>
      <c r="G512" t="s">
        <v>204</v>
      </c>
      <c r="H512" s="6">
        <v>99742.59890000003</v>
      </c>
      <c r="I512" s="6">
        <v>0</v>
      </c>
      <c r="J512" s="6">
        <v>99742.59890000003</v>
      </c>
    </row>
    <row r="513" spans="1:10">
      <c r="A513" t="s">
        <v>454</v>
      </c>
      <c r="B513" s="5">
        <v>45536</v>
      </c>
      <c r="C513" t="s">
        <v>173</v>
      </c>
      <c r="D513" t="s">
        <v>174</v>
      </c>
      <c r="E513" t="s">
        <v>120</v>
      </c>
      <c r="F513" t="s">
        <v>154</v>
      </c>
      <c r="G513" t="s">
        <v>204</v>
      </c>
      <c r="H513" s="6">
        <v>0</v>
      </c>
      <c r="I513" s="6">
        <v>99742.59890000003</v>
      </c>
      <c r="J513" s="6">
        <v>-99742.59890000003</v>
      </c>
    </row>
    <row r="514" spans="1:10">
      <c r="A514" t="s">
        <v>455</v>
      </c>
      <c r="B514" s="5">
        <v>45536</v>
      </c>
      <c r="C514" t="s">
        <v>197</v>
      </c>
      <c r="D514" t="s">
        <v>198</v>
      </c>
      <c r="E514" t="s">
        <v>121</v>
      </c>
      <c r="F514" t="s">
        <v>154</v>
      </c>
      <c r="G514" t="s">
        <v>206</v>
      </c>
      <c r="H514" s="6">
        <v>18598.710974</v>
      </c>
      <c r="I514" s="6">
        <v>0</v>
      </c>
      <c r="J514" s="6">
        <v>18598.710974</v>
      </c>
    </row>
    <row r="515" spans="1:10">
      <c r="A515" t="s">
        <v>455</v>
      </c>
      <c r="B515" s="5">
        <v>45536</v>
      </c>
      <c r="C515" t="s">
        <v>173</v>
      </c>
      <c r="D515" t="s">
        <v>174</v>
      </c>
      <c r="E515" t="s">
        <v>120</v>
      </c>
      <c r="F515" t="s">
        <v>154</v>
      </c>
      <c r="G515" t="s">
        <v>206</v>
      </c>
      <c r="H515" s="6">
        <v>0</v>
      </c>
      <c r="I515" s="6">
        <v>18598.710974</v>
      </c>
      <c r="J515" s="6">
        <v>-18598.710974</v>
      </c>
    </row>
    <row r="516" spans="1:10">
      <c r="A516" t="s">
        <v>456</v>
      </c>
      <c r="B516" s="5">
        <v>45536</v>
      </c>
      <c r="C516" t="s">
        <v>208</v>
      </c>
      <c r="D516" t="s">
        <v>209</v>
      </c>
      <c r="E516" t="s">
        <v>120</v>
      </c>
      <c r="F516" t="s">
        <v>154</v>
      </c>
      <c r="G516" t="s">
        <v>210</v>
      </c>
      <c r="H516" s="6">
        <v>90000</v>
      </c>
      <c r="I516" s="6">
        <v>0</v>
      </c>
      <c r="J516" s="6">
        <v>90000</v>
      </c>
    </row>
    <row r="517" spans="1:10">
      <c r="A517" t="s">
        <v>456</v>
      </c>
      <c r="B517" s="5">
        <v>45536</v>
      </c>
      <c r="C517" t="s">
        <v>173</v>
      </c>
      <c r="D517" t="s">
        <v>174</v>
      </c>
      <c r="E517" t="s">
        <v>120</v>
      </c>
      <c r="F517" t="s">
        <v>154</v>
      </c>
      <c r="G517" t="s">
        <v>210</v>
      </c>
      <c r="H517" s="6">
        <v>0</v>
      </c>
      <c r="I517" s="6">
        <v>90000</v>
      </c>
      <c r="J517" s="6">
        <v>-90000</v>
      </c>
    </row>
    <row r="518" spans="1:10">
      <c r="A518" t="s">
        <v>457</v>
      </c>
      <c r="B518" s="5">
        <v>45536</v>
      </c>
      <c r="C518" t="s">
        <v>212</v>
      </c>
      <c r="D518" t="s">
        <v>213</v>
      </c>
      <c r="E518" t="s">
        <v>121</v>
      </c>
      <c r="F518" t="s">
        <v>154</v>
      </c>
      <c r="G518" t="s">
        <v>214</v>
      </c>
      <c r="H518" s="6">
        <v>18000</v>
      </c>
      <c r="I518" s="6">
        <v>0</v>
      </c>
      <c r="J518" s="6">
        <v>18000</v>
      </c>
    </row>
    <row r="519" spans="1:10">
      <c r="A519" t="s">
        <v>457</v>
      </c>
      <c r="B519" s="5">
        <v>45536</v>
      </c>
      <c r="C519" t="s">
        <v>173</v>
      </c>
      <c r="D519" t="s">
        <v>174</v>
      </c>
      <c r="E519" t="s">
        <v>120</v>
      </c>
      <c r="F519" t="s">
        <v>154</v>
      </c>
      <c r="G519" t="s">
        <v>214</v>
      </c>
      <c r="H519" s="6">
        <v>0</v>
      </c>
      <c r="I519" s="6">
        <v>18000</v>
      </c>
      <c r="J519" s="6">
        <v>-18000</v>
      </c>
    </row>
    <row r="520" spans="1:10">
      <c r="A520" t="s">
        <v>458</v>
      </c>
      <c r="B520" s="5">
        <v>45536</v>
      </c>
      <c r="C520" t="s">
        <v>148</v>
      </c>
      <c r="D520" t="s">
        <v>149</v>
      </c>
      <c r="E520" t="s">
        <v>150</v>
      </c>
      <c r="F520" t="s">
        <v>154</v>
      </c>
      <c r="G520" t="s">
        <v>216</v>
      </c>
      <c r="H520" s="6">
        <v>1218986.26</v>
      </c>
      <c r="I520" s="6">
        <v>0</v>
      </c>
      <c r="J520" s="6">
        <v>1218986.26</v>
      </c>
    </row>
    <row r="521" spans="1:10">
      <c r="A521" t="s">
        <v>458</v>
      </c>
      <c r="B521" s="5">
        <v>45536</v>
      </c>
      <c r="C521" t="s">
        <v>217</v>
      </c>
      <c r="D521" t="s">
        <v>218</v>
      </c>
      <c r="E521" t="s">
        <v>122</v>
      </c>
      <c r="F521" t="s">
        <v>154</v>
      </c>
      <c r="G521" t="s">
        <v>216</v>
      </c>
      <c r="H521" s="6">
        <v>0</v>
      </c>
      <c r="I521" s="6">
        <v>1218986.26</v>
      </c>
      <c r="J521" s="6">
        <v>-1218986.26</v>
      </c>
    </row>
    <row r="522" spans="1:10">
      <c r="A522" t="s">
        <v>459</v>
      </c>
      <c r="B522" s="5">
        <v>45536</v>
      </c>
      <c r="C522" t="s">
        <v>217</v>
      </c>
      <c r="D522" t="s">
        <v>218</v>
      </c>
      <c r="E522" t="s">
        <v>122</v>
      </c>
      <c r="F522" t="s">
        <v>154</v>
      </c>
      <c r="G522" t="s">
        <v>216</v>
      </c>
      <c r="H522" s="6">
        <v>103613.8321</v>
      </c>
      <c r="I522" s="6">
        <v>0</v>
      </c>
      <c r="J522" s="6">
        <v>103613.8321</v>
      </c>
    </row>
    <row r="523" spans="1:10">
      <c r="A523" t="s">
        <v>459</v>
      </c>
      <c r="B523" s="5">
        <v>45536</v>
      </c>
      <c r="C523" t="s">
        <v>152</v>
      </c>
      <c r="D523" t="s">
        <v>153</v>
      </c>
      <c r="E523" t="s">
        <v>150</v>
      </c>
      <c r="F523" t="s">
        <v>154</v>
      </c>
      <c r="G523" t="s">
        <v>216</v>
      </c>
      <c r="H523" s="6">
        <v>0</v>
      </c>
      <c r="I523" s="6">
        <v>103613.8321</v>
      </c>
      <c r="J523" s="6">
        <v>-103613.8321</v>
      </c>
    </row>
    <row r="524" spans="1:10">
      <c r="A524" t="s">
        <v>460</v>
      </c>
      <c r="B524" s="5">
        <v>45536</v>
      </c>
      <c r="C524" t="s">
        <v>217</v>
      </c>
      <c r="D524" t="s">
        <v>218</v>
      </c>
      <c r="E524" t="s">
        <v>122</v>
      </c>
      <c r="F524" t="s">
        <v>154</v>
      </c>
      <c r="G524" t="s">
        <v>216</v>
      </c>
      <c r="H524" s="6">
        <v>805520</v>
      </c>
      <c r="I524" s="6">
        <v>0</v>
      </c>
      <c r="J524" s="6">
        <v>805520</v>
      </c>
    </row>
    <row r="525" spans="1:10">
      <c r="A525" t="s">
        <v>460</v>
      </c>
      <c r="B525" s="5">
        <v>45536</v>
      </c>
      <c r="C525" t="s">
        <v>164</v>
      </c>
      <c r="D525" t="s">
        <v>36</v>
      </c>
      <c r="E525" t="s">
        <v>150</v>
      </c>
      <c r="F525" t="s">
        <v>154</v>
      </c>
      <c r="G525" t="s">
        <v>216</v>
      </c>
      <c r="H525" s="6">
        <v>0</v>
      </c>
      <c r="I525" s="6">
        <v>805520</v>
      </c>
      <c r="J525" s="6">
        <v>-805520</v>
      </c>
    </row>
    <row r="526" spans="1:10">
      <c r="A526" t="s">
        <v>461</v>
      </c>
      <c r="B526" s="5">
        <v>45536</v>
      </c>
      <c r="C526" t="s">
        <v>217</v>
      </c>
      <c r="D526" t="s">
        <v>218</v>
      </c>
      <c r="E526" t="s">
        <v>122</v>
      </c>
      <c r="F526" t="s">
        <v>154</v>
      </c>
      <c r="G526" t="s">
        <v>216</v>
      </c>
      <c r="H526" s="6">
        <v>98800</v>
      </c>
      <c r="I526" s="6">
        <v>0</v>
      </c>
      <c r="J526" s="6">
        <v>98800</v>
      </c>
    </row>
    <row r="527" spans="1:10">
      <c r="A527" t="s">
        <v>461</v>
      </c>
      <c r="B527" s="5">
        <v>45536</v>
      </c>
      <c r="C527" t="s">
        <v>167</v>
      </c>
      <c r="D527" t="s">
        <v>51</v>
      </c>
      <c r="E527" t="s">
        <v>150</v>
      </c>
      <c r="F527" t="s">
        <v>154</v>
      </c>
      <c r="G527" t="s">
        <v>216</v>
      </c>
      <c r="H527" s="6">
        <v>0</v>
      </c>
      <c r="I527" s="6">
        <v>98800</v>
      </c>
      <c r="J527" s="6">
        <v>-98800</v>
      </c>
    </row>
    <row r="528" spans="1:10">
      <c r="A528" t="s">
        <v>462</v>
      </c>
      <c r="B528" s="5">
        <v>45536</v>
      </c>
      <c r="C528" t="s">
        <v>217</v>
      </c>
      <c r="D528" t="s">
        <v>218</v>
      </c>
      <c r="E528" t="s">
        <v>122</v>
      </c>
      <c r="F528" t="s">
        <v>154</v>
      </c>
      <c r="G528" t="s">
        <v>216</v>
      </c>
      <c r="H528" s="6">
        <v>43883.51</v>
      </c>
      <c r="I528" s="6">
        <v>0</v>
      </c>
      <c r="J528" s="6">
        <v>43883.51</v>
      </c>
    </row>
    <row r="529" spans="1:10">
      <c r="A529" t="s">
        <v>462</v>
      </c>
      <c r="B529" s="5">
        <v>45536</v>
      </c>
      <c r="C529" t="s">
        <v>176</v>
      </c>
      <c r="D529" t="s">
        <v>52</v>
      </c>
      <c r="E529" t="s">
        <v>150</v>
      </c>
      <c r="F529" t="s">
        <v>154</v>
      </c>
      <c r="G529" t="s">
        <v>216</v>
      </c>
      <c r="H529" s="6">
        <v>0</v>
      </c>
      <c r="I529" s="6">
        <v>43883.51</v>
      </c>
      <c r="J529" s="6">
        <v>-43883.51</v>
      </c>
    </row>
    <row r="530" spans="1:10">
      <c r="A530" t="s">
        <v>463</v>
      </c>
      <c r="B530" s="5">
        <v>45536</v>
      </c>
      <c r="C530" t="s">
        <v>217</v>
      </c>
      <c r="D530" t="s">
        <v>218</v>
      </c>
      <c r="E530" t="s">
        <v>122</v>
      </c>
      <c r="F530" t="s">
        <v>154</v>
      </c>
      <c r="G530" t="s">
        <v>216</v>
      </c>
      <c r="H530" s="6">
        <v>32000</v>
      </c>
      <c r="I530" s="6">
        <v>0</v>
      </c>
      <c r="J530" s="6">
        <v>32000</v>
      </c>
    </row>
    <row r="531" spans="1:10">
      <c r="A531" t="s">
        <v>463</v>
      </c>
      <c r="B531" s="5">
        <v>45536</v>
      </c>
      <c r="C531" t="s">
        <v>179</v>
      </c>
      <c r="D531" t="s">
        <v>54</v>
      </c>
      <c r="E531" t="s">
        <v>150</v>
      </c>
      <c r="F531" t="s">
        <v>154</v>
      </c>
      <c r="G531" t="s">
        <v>216</v>
      </c>
      <c r="H531" s="6">
        <v>0</v>
      </c>
      <c r="I531" s="6">
        <v>32000</v>
      </c>
      <c r="J531" s="6">
        <v>-32000</v>
      </c>
    </row>
    <row r="532" spans="1:10">
      <c r="A532" t="s">
        <v>464</v>
      </c>
      <c r="B532" s="5">
        <v>45536</v>
      </c>
      <c r="C532" t="s">
        <v>217</v>
      </c>
      <c r="D532" t="s">
        <v>218</v>
      </c>
      <c r="E532" t="s">
        <v>122</v>
      </c>
      <c r="F532" t="s">
        <v>154</v>
      </c>
      <c r="G532" t="s">
        <v>216</v>
      </c>
      <c r="H532" s="6">
        <v>18000</v>
      </c>
      <c r="I532" s="6">
        <v>0</v>
      </c>
      <c r="J532" s="6">
        <v>18000</v>
      </c>
    </row>
    <row r="533" spans="1:10">
      <c r="A533" t="s">
        <v>464</v>
      </c>
      <c r="B533" s="5">
        <v>45536</v>
      </c>
      <c r="C533" t="s">
        <v>181</v>
      </c>
      <c r="D533" t="s">
        <v>56</v>
      </c>
      <c r="E533" t="s">
        <v>150</v>
      </c>
      <c r="F533" t="s">
        <v>154</v>
      </c>
      <c r="G533" t="s">
        <v>216</v>
      </c>
      <c r="H533" s="6">
        <v>0</v>
      </c>
      <c r="I533" s="6">
        <v>18000</v>
      </c>
      <c r="J533" s="6">
        <v>-18000</v>
      </c>
    </row>
    <row r="534" spans="1:10">
      <c r="A534" t="s">
        <v>465</v>
      </c>
      <c r="B534" s="5">
        <v>45536</v>
      </c>
      <c r="C534" t="s">
        <v>217</v>
      </c>
      <c r="D534" t="s">
        <v>218</v>
      </c>
      <c r="E534" t="s">
        <v>122</v>
      </c>
      <c r="F534" t="s">
        <v>154</v>
      </c>
      <c r="G534" t="s">
        <v>216</v>
      </c>
      <c r="H534" s="6">
        <v>26817.7</v>
      </c>
      <c r="I534" s="6">
        <v>0</v>
      </c>
      <c r="J534" s="6">
        <v>26817.7</v>
      </c>
    </row>
    <row r="535" spans="1:10">
      <c r="A535" t="s">
        <v>465</v>
      </c>
      <c r="B535" s="5">
        <v>45536</v>
      </c>
      <c r="C535" t="s">
        <v>183</v>
      </c>
      <c r="D535" t="s">
        <v>59</v>
      </c>
      <c r="E535" t="s">
        <v>150</v>
      </c>
      <c r="F535" t="s">
        <v>154</v>
      </c>
      <c r="G535" t="s">
        <v>216</v>
      </c>
      <c r="H535" s="6">
        <v>0</v>
      </c>
      <c r="I535" s="6">
        <v>26817.7</v>
      </c>
      <c r="J535" s="6">
        <v>-26817.7</v>
      </c>
    </row>
    <row r="536" spans="1:10">
      <c r="A536" t="s">
        <v>466</v>
      </c>
      <c r="B536" s="5">
        <v>45536</v>
      </c>
      <c r="C536" t="s">
        <v>217</v>
      </c>
      <c r="D536" t="s">
        <v>218</v>
      </c>
      <c r="E536" t="s">
        <v>122</v>
      </c>
      <c r="F536" t="s">
        <v>154</v>
      </c>
      <c r="G536" t="s">
        <v>216</v>
      </c>
      <c r="H536" s="6">
        <v>17880</v>
      </c>
      <c r="I536" s="6">
        <v>0</v>
      </c>
      <c r="J536" s="6">
        <v>17880</v>
      </c>
    </row>
    <row r="537" spans="1:10">
      <c r="A537" t="s">
        <v>466</v>
      </c>
      <c r="B537" s="5">
        <v>45536</v>
      </c>
      <c r="C537" t="s">
        <v>185</v>
      </c>
      <c r="D537" t="s">
        <v>186</v>
      </c>
      <c r="E537" t="s">
        <v>150</v>
      </c>
      <c r="F537" t="s">
        <v>154</v>
      </c>
      <c r="G537" t="s">
        <v>216</v>
      </c>
      <c r="H537" s="6">
        <v>0</v>
      </c>
      <c r="I537" s="6">
        <v>17880</v>
      </c>
      <c r="J537" s="6">
        <v>-17880</v>
      </c>
    </row>
    <row r="538" spans="1:10">
      <c r="A538" t="s">
        <v>467</v>
      </c>
      <c r="B538" s="5">
        <v>45536</v>
      </c>
      <c r="C538" t="s">
        <v>217</v>
      </c>
      <c r="D538" t="s">
        <v>218</v>
      </c>
      <c r="E538" t="s">
        <v>122</v>
      </c>
      <c r="F538" t="s">
        <v>154</v>
      </c>
      <c r="G538" t="s">
        <v>216</v>
      </c>
      <c r="H538" s="6">
        <v>7872</v>
      </c>
      <c r="I538" s="6">
        <v>0</v>
      </c>
      <c r="J538" s="6">
        <v>7872</v>
      </c>
    </row>
    <row r="539" spans="1:10">
      <c r="A539" t="s">
        <v>467</v>
      </c>
      <c r="B539" s="5">
        <v>45536</v>
      </c>
      <c r="C539" t="s">
        <v>191</v>
      </c>
      <c r="D539" t="s">
        <v>104</v>
      </c>
      <c r="E539" t="s">
        <v>150</v>
      </c>
      <c r="F539" t="s">
        <v>154</v>
      </c>
      <c r="G539" t="s">
        <v>216</v>
      </c>
      <c r="H539" s="6">
        <v>0</v>
      </c>
      <c r="I539" s="6">
        <v>7872</v>
      </c>
      <c r="J539" s="6">
        <v>-7872</v>
      </c>
    </row>
    <row r="540" spans="1:10">
      <c r="A540" t="s">
        <v>468</v>
      </c>
      <c r="B540" s="5">
        <v>45536</v>
      </c>
      <c r="C540" t="s">
        <v>217</v>
      </c>
      <c r="D540" t="s">
        <v>218</v>
      </c>
      <c r="E540" t="s">
        <v>122</v>
      </c>
      <c r="F540" t="s">
        <v>154</v>
      </c>
      <c r="G540" t="s">
        <v>216</v>
      </c>
      <c r="H540" s="6">
        <v>21963.73408600001</v>
      </c>
      <c r="I540" s="6">
        <v>0</v>
      </c>
      <c r="J540" s="6">
        <v>21963.73408600001</v>
      </c>
    </row>
    <row r="541" spans="1:10">
      <c r="A541" t="s">
        <v>468</v>
      </c>
      <c r="B541" s="5">
        <v>45536</v>
      </c>
      <c r="C541" t="s">
        <v>194</v>
      </c>
      <c r="D541" t="s">
        <v>195</v>
      </c>
      <c r="E541" t="s">
        <v>150</v>
      </c>
      <c r="F541" t="s">
        <v>154</v>
      </c>
      <c r="G541" t="s">
        <v>216</v>
      </c>
      <c r="H541" s="6">
        <v>0</v>
      </c>
      <c r="I541" s="6">
        <v>21963.73408600001</v>
      </c>
      <c r="J541" s="6">
        <v>-21963.73408600001</v>
      </c>
    </row>
    <row r="542" spans="1:10">
      <c r="A542" t="s">
        <v>469</v>
      </c>
      <c r="B542" s="5">
        <v>45566</v>
      </c>
      <c r="C542" t="s">
        <v>146</v>
      </c>
      <c r="D542" t="s">
        <v>86</v>
      </c>
      <c r="E542" t="s">
        <v>120</v>
      </c>
      <c r="F542" t="s">
        <v>52</v>
      </c>
      <c r="G542" t="s">
        <v>147</v>
      </c>
      <c r="H542" s="6">
        <v>1336476.66</v>
      </c>
      <c r="I542" s="6">
        <v>0</v>
      </c>
      <c r="J542" s="6">
        <v>1336476.66</v>
      </c>
    </row>
    <row r="543" spans="1:10">
      <c r="A543" t="s">
        <v>469</v>
      </c>
      <c r="B543" s="5">
        <v>45566</v>
      </c>
      <c r="C543" t="s">
        <v>148</v>
      </c>
      <c r="D543" t="s">
        <v>149</v>
      </c>
      <c r="E543" t="s">
        <v>150</v>
      </c>
      <c r="F543" t="s">
        <v>52</v>
      </c>
      <c r="G543" t="s">
        <v>147</v>
      </c>
      <c r="H543" s="6">
        <v>0</v>
      </c>
      <c r="I543" s="6">
        <v>1336476.66</v>
      </c>
      <c r="J543" s="6">
        <v>-1336476.66</v>
      </c>
    </row>
    <row r="544" spans="1:10">
      <c r="A544" t="s">
        <v>470</v>
      </c>
      <c r="B544" s="5">
        <v>45566</v>
      </c>
      <c r="C544" t="s">
        <v>152</v>
      </c>
      <c r="D544" t="s">
        <v>153</v>
      </c>
      <c r="E544" t="s">
        <v>150</v>
      </c>
      <c r="F544" t="s">
        <v>154</v>
      </c>
      <c r="G544" t="s">
        <v>155</v>
      </c>
      <c r="H544" s="6">
        <v>113600.5161</v>
      </c>
      <c r="I544" s="6">
        <v>0</v>
      </c>
      <c r="J544" s="6">
        <v>113600.5161</v>
      </c>
    </row>
    <row r="545" spans="1:10">
      <c r="A545" t="s">
        <v>470</v>
      </c>
      <c r="B545" s="5">
        <v>45566</v>
      </c>
      <c r="C545" t="s">
        <v>156</v>
      </c>
      <c r="D545" t="s">
        <v>157</v>
      </c>
      <c r="E545" t="s">
        <v>121</v>
      </c>
      <c r="F545" t="s">
        <v>154</v>
      </c>
      <c r="G545" t="s">
        <v>155</v>
      </c>
      <c r="H545" s="6">
        <v>0</v>
      </c>
      <c r="I545" s="6">
        <v>113600.5161</v>
      </c>
      <c r="J545" s="6">
        <v>-113600.5161</v>
      </c>
    </row>
    <row r="546" spans="1:10">
      <c r="A546" t="s">
        <v>471</v>
      </c>
      <c r="B546" s="5">
        <v>45566</v>
      </c>
      <c r="C546" t="s">
        <v>159</v>
      </c>
      <c r="D546" t="s">
        <v>160</v>
      </c>
      <c r="E546" t="s">
        <v>120</v>
      </c>
      <c r="F546" t="s">
        <v>58</v>
      </c>
      <c r="G546" t="s">
        <v>161</v>
      </c>
      <c r="H546" s="6">
        <v>1007958.666666666</v>
      </c>
      <c r="I546" s="6">
        <v>0</v>
      </c>
      <c r="J546" s="6">
        <v>1007958.666666666</v>
      </c>
    </row>
    <row r="547" spans="1:10">
      <c r="A547" t="s">
        <v>471</v>
      </c>
      <c r="B547" s="5">
        <v>45566</v>
      </c>
      <c r="C547" t="s">
        <v>162</v>
      </c>
      <c r="D547" t="s">
        <v>88</v>
      </c>
      <c r="E547" t="s">
        <v>121</v>
      </c>
      <c r="F547" t="s">
        <v>58</v>
      </c>
      <c r="G547" t="s">
        <v>161</v>
      </c>
      <c r="H547" s="6">
        <v>0</v>
      </c>
      <c r="I547" s="6">
        <v>1007958.666666666</v>
      </c>
      <c r="J547" s="6">
        <v>-1007958.666666666</v>
      </c>
    </row>
    <row r="548" spans="1:10">
      <c r="A548" t="s">
        <v>472</v>
      </c>
      <c r="B548" s="5">
        <v>45566</v>
      </c>
      <c r="C548" t="s">
        <v>164</v>
      </c>
      <c r="D548" t="s">
        <v>36</v>
      </c>
      <c r="E548" t="s">
        <v>150</v>
      </c>
      <c r="F548" t="s">
        <v>58</v>
      </c>
      <c r="G548" t="s">
        <v>165</v>
      </c>
      <c r="H548" s="6">
        <v>885430</v>
      </c>
      <c r="I548" s="6">
        <v>0</v>
      </c>
      <c r="J548" s="6">
        <v>885430</v>
      </c>
    </row>
    <row r="549" spans="1:10">
      <c r="A549" t="s">
        <v>472</v>
      </c>
      <c r="B549" s="5">
        <v>45566</v>
      </c>
      <c r="C549" t="s">
        <v>159</v>
      </c>
      <c r="D549" t="s">
        <v>160</v>
      </c>
      <c r="E549" t="s">
        <v>120</v>
      </c>
      <c r="F549" t="s">
        <v>58</v>
      </c>
      <c r="G549" t="s">
        <v>165</v>
      </c>
      <c r="H549" s="6">
        <v>0</v>
      </c>
      <c r="I549" s="6">
        <v>885430</v>
      </c>
      <c r="J549" s="6">
        <v>-885430</v>
      </c>
    </row>
    <row r="550" spans="1:10">
      <c r="A550" t="s">
        <v>473</v>
      </c>
      <c r="B550" s="5">
        <v>45566</v>
      </c>
      <c r="C550" t="s">
        <v>167</v>
      </c>
      <c r="D550" t="s">
        <v>51</v>
      </c>
      <c r="E550" t="s">
        <v>150</v>
      </c>
      <c r="F550" t="s">
        <v>51</v>
      </c>
      <c r="G550" t="s">
        <v>168</v>
      </c>
      <c r="H550" s="6">
        <v>98800</v>
      </c>
      <c r="I550" s="6">
        <v>0</v>
      </c>
      <c r="J550" s="6">
        <v>98800</v>
      </c>
    </row>
    <row r="551" spans="1:10">
      <c r="A551" t="s">
        <v>473</v>
      </c>
      <c r="B551" s="5">
        <v>45566</v>
      </c>
      <c r="C551" t="s">
        <v>169</v>
      </c>
      <c r="D551" t="s">
        <v>170</v>
      </c>
      <c r="E551" t="s">
        <v>121</v>
      </c>
      <c r="F551" t="s">
        <v>51</v>
      </c>
      <c r="G551" t="s">
        <v>168</v>
      </c>
      <c r="H551" s="6">
        <v>0</v>
      </c>
      <c r="I551" s="6">
        <v>98800</v>
      </c>
      <c r="J551" s="6">
        <v>-98800</v>
      </c>
    </row>
    <row r="552" spans="1:10">
      <c r="A552" t="s">
        <v>474</v>
      </c>
      <c r="B552" s="5">
        <v>45566</v>
      </c>
      <c r="C552" t="s">
        <v>169</v>
      </c>
      <c r="D552" t="s">
        <v>170</v>
      </c>
      <c r="E552" t="s">
        <v>121</v>
      </c>
      <c r="F552" t="s">
        <v>51</v>
      </c>
      <c r="G552" t="s">
        <v>172</v>
      </c>
      <c r="H552" s="6">
        <v>98800</v>
      </c>
      <c r="I552" s="6">
        <v>0</v>
      </c>
      <c r="J552" s="6">
        <v>98800</v>
      </c>
    </row>
    <row r="553" spans="1:10">
      <c r="A553" t="s">
        <v>474</v>
      </c>
      <c r="B553" s="5">
        <v>45566</v>
      </c>
      <c r="C553" t="s">
        <v>173</v>
      </c>
      <c r="D553" t="s">
        <v>174</v>
      </c>
      <c r="E553" t="s">
        <v>120</v>
      </c>
      <c r="F553" t="s">
        <v>51</v>
      </c>
      <c r="G553" t="s">
        <v>172</v>
      </c>
      <c r="H553" s="6">
        <v>0</v>
      </c>
      <c r="I553" s="6">
        <v>98800</v>
      </c>
      <c r="J553" s="6">
        <v>-98800</v>
      </c>
    </row>
    <row r="554" spans="1:10">
      <c r="A554" t="s">
        <v>475</v>
      </c>
      <c r="B554" s="5">
        <v>45566</v>
      </c>
      <c r="C554" t="s">
        <v>176</v>
      </c>
      <c r="D554" t="s">
        <v>52</v>
      </c>
      <c r="E554" t="s">
        <v>150</v>
      </c>
      <c r="F554" t="s">
        <v>52</v>
      </c>
      <c r="G554" t="s">
        <v>177</v>
      </c>
      <c r="H554" s="6">
        <v>48113.16</v>
      </c>
      <c r="I554" s="6">
        <v>0</v>
      </c>
      <c r="J554" s="6">
        <v>48113.16</v>
      </c>
    </row>
    <row r="555" spans="1:10">
      <c r="A555" t="s">
        <v>475</v>
      </c>
      <c r="B555" s="5">
        <v>45566</v>
      </c>
      <c r="C555" t="s">
        <v>173</v>
      </c>
      <c r="D555" t="s">
        <v>174</v>
      </c>
      <c r="E555" t="s">
        <v>120</v>
      </c>
      <c r="F555" t="s">
        <v>52</v>
      </c>
      <c r="G555" t="s">
        <v>177</v>
      </c>
      <c r="H555" s="6">
        <v>0</v>
      </c>
      <c r="I555" s="6">
        <v>48113.16</v>
      </c>
      <c r="J555" s="6">
        <v>-48113.16</v>
      </c>
    </row>
    <row r="556" spans="1:10">
      <c r="A556" t="s">
        <v>476</v>
      </c>
      <c r="B556" s="5">
        <v>45566</v>
      </c>
      <c r="C556" t="s">
        <v>179</v>
      </c>
      <c r="D556" t="s">
        <v>54</v>
      </c>
      <c r="E556" t="s">
        <v>150</v>
      </c>
      <c r="F556" t="s">
        <v>54</v>
      </c>
      <c r="G556" t="s">
        <v>177</v>
      </c>
      <c r="H556" s="6">
        <v>32000</v>
      </c>
      <c r="I556" s="6">
        <v>0</v>
      </c>
      <c r="J556" s="6">
        <v>32000</v>
      </c>
    </row>
    <row r="557" spans="1:10">
      <c r="A557" t="s">
        <v>476</v>
      </c>
      <c r="B557" s="5">
        <v>45566</v>
      </c>
      <c r="C557" t="s">
        <v>173</v>
      </c>
      <c r="D557" t="s">
        <v>174</v>
      </c>
      <c r="E557" t="s">
        <v>120</v>
      </c>
      <c r="F557" t="s">
        <v>54</v>
      </c>
      <c r="G557" t="s">
        <v>177</v>
      </c>
      <c r="H557" s="6">
        <v>0</v>
      </c>
      <c r="I557" s="6">
        <v>32000</v>
      </c>
      <c r="J557" s="6">
        <v>-32000</v>
      </c>
    </row>
    <row r="558" spans="1:10">
      <c r="A558" t="s">
        <v>477</v>
      </c>
      <c r="B558" s="5">
        <v>45566</v>
      </c>
      <c r="C558" t="s">
        <v>181</v>
      </c>
      <c r="D558" t="s">
        <v>56</v>
      </c>
      <c r="E558" t="s">
        <v>150</v>
      </c>
      <c r="F558" t="s">
        <v>56</v>
      </c>
      <c r="G558" t="s">
        <v>177</v>
      </c>
      <c r="H558" s="6">
        <v>18000</v>
      </c>
      <c r="I558" s="6">
        <v>0</v>
      </c>
      <c r="J558" s="6">
        <v>18000</v>
      </c>
    </row>
    <row r="559" spans="1:10">
      <c r="A559" t="s">
        <v>477</v>
      </c>
      <c r="B559" s="5">
        <v>45566</v>
      </c>
      <c r="C559" t="s">
        <v>173</v>
      </c>
      <c r="D559" t="s">
        <v>174</v>
      </c>
      <c r="E559" t="s">
        <v>120</v>
      </c>
      <c r="F559" t="s">
        <v>56</v>
      </c>
      <c r="G559" t="s">
        <v>177</v>
      </c>
      <c r="H559" s="6">
        <v>0</v>
      </c>
      <c r="I559" s="6">
        <v>18000</v>
      </c>
      <c r="J559" s="6">
        <v>-18000</v>
      </c>
    </row>
    <row r="560" spans="1:10">
      <c r="A560" t="s">
        <v>478</v>
      </c>
      <c r="B560" s="5">
        <v>45566</v>
      </c>
      <c r="C560" t="s">
        <v>183</v>
      </c>
      <c r="D560" t="s">
        <v>59</v>
      </c>
      <c r="E560" t="s">
        <v>150</v>
      </c>
      <c r="F560" t="s">
        <v>66</v>
      </c>
      <c r="G560" t="s">
        <v>177</v>
      </c>
      <c r="H560" s="6">
        <v>29402.49</v>
      </c>
      <c r="I560" s="6">
        <v>0</v>
      </c>
      <c r="J560" s="6">
        <v>29402.49</v>
      </c>
    </row>
    <row r="561" spans="1:10">
      <c r="A561" t="s">
        <v>478</v>
      </c>
      <c r="B561" s="5">
        <v>45566</v>
      </c>
      <c r="C561" t="s">
        <v>173</v>
      </c>
      <c r="D561" t="s">
        <v>174</v>
      </c>
      <c r="E561" t="s">
        <v>120</v>
      </c>
      <c r="F561" t="s">
        <v>66</v>
      </c>
      <c r="G561" t="s">
        <v>177</v>
      </c>
      <c r="H561" s="6">
        <v>0</v>
      </c>
      <c r="I561" s="6">
        <v>29402.49</v>
      </c>
      <c r="J561" s="6">
        <v>-29402.49</v>
      </c>
    </row>
    <row r="562" spans="1:10">
      <c r="A562" t="s">
        <v>479</v>
      </c>
      <c r="B562" s="5">
        <v>45566</v>
      </c>
      <c r="C562" t="s">
        <v>185</v>
      </c>
      <c r="D562" t="s">
        <v>186</v>
      </c>
      <c r="E562" t="s">
        <v>150</v>
      </c>
      <c r="F562" t="s">
        <v>154</v>
      </c>
      <c r="G562" t="s">
        <v>187</v>
      </c>
      <c r="H562" s="6">
        <v>18780</v>
      </c>
      <c r="I562" s="6">
        <v>0</v>
      </c>
      <c r="J562" s="6">
        <v>18780</v>
      </c>
    </row>
    <row r="563" spans="1:10">
      <c r="A563" t="s">
        <v>479</v>
      </c>
      <c r="B563" s="5">
        <v>45566</v>
      </c>
      <c r="C563" t="s">
        <v>188</v>
      </c>
      <c r="D563" t="s">
        <v>189</v>
      </c>
      <c r="E563" t="s">
        <v>120</v>
      </c>
      <c r="F563" t="s">
        <v>154</v>
      </c>
      <c r="G563" t="s">
        <v>187</v>
      </c>
      <c r="H563" s="6">
        <v>0</v>
      </c>
      <c r="I563" s="6">
        <v>18780</v>
      </c>
      <c r="J563" s="6">
        <v>-18780</v>
      </c>
    </row>
    <row r="564" spans="1:10">
      <c r="A564" t="s">
        <v>480</v>
      </c>
      <c r="B564" s="5">
        <v>45566</v>
      </c>
      <c r="C564" t="s">
        <v>191</v>
      </c>
      <c r="D564" t="s">
        <v>104</v>
      </c>
      <c r="E564" t="s">
        <v>150</v>
      </c>
      <c r="F564" t="s">
        <v>154</v>
      </c>
      <c r="G564" t="s">
        <v>192</v>
      </c>
      <c r="H564" s="6">
        <v>7656</v>
      </c>
      <c r="I564" s="6">
        <v>0</v>
      </c>
      <c r="J564" s="6">
        <v>7656</v>
      </c>
    </row>
    <row r="565" spans="1:10">
      <c r="A565" t="s">
        <v>480</v>
      </c>
      <c r="B565" s="5">
        <v>45566</v>
      </c>
      <c r="C565" t="s">
        <v>173</v>
      </c>
      <c r="D565" t="s">
        <v>174</v>
      </c>
      <c r="E565" t="s">
        <v>120</v>
      </c>
      <c r="F565" t="s">
        <v>154</v>
      </c>
      <c r="G565" t="s">
        <v>192</v>
      </c>
      <c r="H565" s="6">
        <v>0</v>
      </c>
      <c r="I565" s="6">
        <v>7656</v>
      </c>
      <c r="J565" s="6">
        <v>-7656</v>
      </c>
    </row>
    <row r="566" spans="1:10">
      <c r="A566" t="s">
        <v>481</v>
      </c>
      <c r="B566" s="5">
        <v>45566</v>
      </c>
      <c r="C566" t="s">
        <v>194</v>
      </c>
      <c r="D566" t="s">
        <v>195</v>
      </c>
      <c r="E566" t="s">
        <v>150</v>
      </c>
      <c r="F566" t="s">
        <v>154</v>
      </c>
      <c r="G566" t="s">
        <v>196</v>
      </c>
      <c r="H566" s="6">
        <v>28796.12792600001</v>
      </c>
      <c r="I566" s="6">
        <v>0</v>
      </c>
      <c r="J566" s="6">
        <v>28796.12792600001</v>
      </c>
    </row>
    <row r="567" spans="1:10">
      <c r="A567" t="s">
        <v>481</v>
      </c>
      <c r="B567" s="5">
        <v>45566</v>
      </c>
      <c r="C567" t="s">
        <v>197</v>
      </c>
      <c r="D567" t="s">
        <v>198</v>
      </c>
      <c r="E567" t="s">
        <v>121</v>
      </c>
      <c r="F567" t="s">
        <v>154</v>
      </c>
      <c r="G567" t="s">
        <v>196</v>
      </c>
      <c r="H567" s="6">
        <v>0</v>
      </c>
      <c r="I567" s="6">
        <v>28796.12792600001</v>
      </c>
      <c r="J567" s="6">
        <v>-28796.12792600001</v>
      </c>
    </row>
    <row r="568" spans="1:10">
      <c r="A568" t="s">
        <v>482</v>
      </c>
      <c r="B568" s="5">
        <v>45566</v>
      </c>
      <c r="C568" t="s">
        <v>173</v>
      </c>
      <c r="D568" t="s">
        <v>174</v>
      </c>
      <c r="E568" t="s">
        <v>120</v>
      </c>
      <c r="F568" t="s">
        <v>154</v>
      </c>
      <c r="G568" t="s">
        <v>200</v>
      </c>
      <c r="H568" s="6">
        <v>1179822.793333333</v>
      </c>
      <c r="I568" s="6">
        <v>0</v>
      </c>
      <c r="J568" s="6">
        <v>1179822.793333333</v>
      </c>
    </row>
    <row r="569" spans="1:10">
      <c r="A569" t="s">
        <v>482</v>
      </c>
      <c r="B569" s="5">
        <v>45566</v>
      </c>
      <c r="C569" t="s">
        <v>146</v>
      </c>
      <c r="D569" t="s">
        <v>86</v>
      </c>
      <c r="E569" t="s">
        <v>120</v>
      </c>
      <c r="F569" t="s">
        <v>154</v>
      </c>
      <c r="G569" t="s">
        <v>200</v>
      </c>
      <c r="H569" s="6">
        <v>0</v>
      </c>
      <c r="I569" s="6">
        <v>1179822.793333333</v>
      </c>
      <c r="J569" s="6">
        <v>-1179822.793333333</v>
      </c>
    </row>
    <row r="570" spans="1:10">
      <c r="A570" t="s">
        <v>483</v>
      </c>
      <c r="B570" s="5">
        <v>45566</v>
      </c>
      <c r="C570" t="s">
        <v>162</v>
      </c>
      <c r="D570" t="s">
        <v>88</v>
      </c>
      <c r="E570" t="s">
        <v>121</v>
      </c>
      <c r="F570" t="s">
        <v>154</v>
      </c>
      <c r="G570" t="s">
        <v>202</v>
      </c>
      <c r="H570" s="6">
        <v>914730.3333333329</v>
      </c>
      <c r="I570" s="6">
        <v>0</v>
      </c>
      <c r="J570" s="6">
        <v>914730.3333333329</v>
      </c>
    </row>
    <row r="571" spans="1:10">
      <c r="A571" t="s">
        <v>483</v>
      </c>
      <c r="B571" s="5">
        <v>45566</v>
      </c>
      <c r="C571" t="s">
        <v>173</v>
      </c>
      <c r="D571" t="s">
        <v>174</v>
      </c>
      <c r="E571" t="s">
        <v>120</v>
      </c>
      <c r="F571" t="s">
        <v>154</v>
      </c>
      <c r="G571" t="s">
        <v>202</v>
      </c>
      <c r="H571" s="6">
        <v>0</v>
      </c>
      <c r="I571" s="6">
        <v>914730.3333333329</v>
      </c>
      <c r="J571" s="6">
        <v>-914730.3333333329</v>
      </c>
    </row>
    <row r="572" spans="1:10">
      <c r="A572" t="s">
        <v>484</v>
      </c>
      <c r="B572" s="5">
        <v>45566</v>
      </c>
      <c r="C572" t="s">
        <v>156</v>
      </c>
      <c r="D572" t="s">
        <v>157</v>
      </c>
      <c r="E572" t="s">
        <v>121</v>
      </c>
      <c r="F572" t="s">
        <v>154</v>
      </c>
      <c r="G572" t="s">
        <v>204</v>
      </c>
      <c r="H572" s="6">
        <v>103613.8321</v>
      </c>
      <c r="I572" s="6">
        <v>0</v>
      </c>
      <c r="J572" s="6">
        <v>103613.8321</v>
      </c>
    </row>
    <row r="573" spans="1:10">
      <c r="A573" t="s">
        <v>484</v>
      </c>
      <c r="B573" s="5">
        <v>45566</v>
      </c>
      <c r="C573" t="s">
        <v>173</v>
      </c>
      <c r="D573" t="s">
        <v>174</v>
      </c>
      <c r="E573" t="s">
        <v>120</v>
      </c>
      <c r="F573" t="s">
        <v>154</v>
      </c>
      <c r="G573" t="s">
        <v>204</v>
      </c>
      <c r="H573" s="6">
        <v>0</v>
      </c>
      <c r="I573" s="6">
        <v>103613.8321</v>
      </c>
      <c r="J573" s="6">
        <v>-103613.8321</v>
      </c>
    </row>
    <row r="574" spans="1:10">
      <c r="A574" t="s">
        <v>485</v>
      </c>
      <c r="B574" s="5">
        <v>45566</v>
      </c>
      <c r="C574" t="s">
        <v>197</v>
      </c>
      <c r="D574" t="s">
        <v>198</v>
      </c>
      <c r="E574" t="s">
        <v>121</v>
      </c>
      <c r="F574" t="s">
        <v>154</v>
      </c>
      <c r="G574" t="s">
        <v>206</v>
      </c>
      <c r="H574" s="6">
        <v>21963.73408600001</v>
      </c>
      <c r="I574" s="6">
        <v>0</v>
      </c>
      <c r="J574" s="6">
        <v>21963.73408600001</v>
      </c>
    </row>
    <row r="575" spans="1:10">
      <c r="A575" t="s">
        <v>485</v>
      </c>
      <c r="B575" s="5">
        <v>45566</v>
      </c>
      <c r="C575" t="s">
        <v>173</v>
      </c>
      <c r="D575" t="s">
        <v>174</v>
      </c>
      <c r="E575" t="s">
        <v>120</v>
      </c>
      <c r="F575" t="s">
        <v>154</v>
      </c>
      <c r="G575" t="s">
        <v>206</v>
      </c>
      <c r="H575" s="6">
        <v>0</v>
      </c>
      <c r="I575" s="6">
        <v>21963.73408600001</v>
      </c>
      <c r="J575" s="6">
        <v>-21963.73408600001</v>
      </c>
    </row>
    <row r="576" spans="1:10">
      <c r="A576" t="s">
        <v>486</v>
      </c>
      <c r="B576" s="5">
        <v>45566</v>
      </c>
      <c r="C576" t="s">
        <v>208</v>
      </c>
      <c r="D576" t="s">
        <v>209</v>
      </c>
      <c r="E576" t="s">
        <v>120</v>
      </c>
      <c r="F576" t="s">
        <v>154</v>
      </c>
      <c r="G576" t="s">
        <v>210</v>
      </c>
      <c r="H576" s="6">
        <v>18000</v>
      </c>
      <c r="I576" s="6">
        <v>0</v>
      </c>
      <c r="J576" s="6">
        <v>18000</v>
      </c>
    </row>
    <row r="577" spans="1:10">
      <c r="A577" t="s">
        <v>486</v>
      </c>
      <c r="B577" s="5">
        <v>45566</v>
      </c>
      <c r="C577" t="s">
        <v>173</v>
      </c>
      <c r="D577" t="s">
        <v>174</v>
      </c>
      <c r="E577" t="s">
        <v>120</v>
      </c>
      <c r="F577" t="s">
        <v>154</v>
      </c>
      <c r="G577" t="s">
        <v>210</v>
      </c>
      <c r="H577" s="6">
        <v>0</v>
      </c>
      <c r="I577" s="6">
        <v>18000</v>
      </c>
      <c r="J577" s="6">
        <v>-18000</v>
      </c>
    </row>
    <row r="578" spans="1:10">
      <c r="A578" t="s">
        <v>487</v>
      </c>
      <c r="B578" s="5">
        <v>45566</v>
      </c>
      <c r="C578" t="s">
        <v>212</v>
      </c>
      <c r="D578" t="s">
        <v>213</v>
      </c>
      <c r="E578" t="s">
        <v>121</v>
      </c>
      <c r="F578" t="s">
        <v>154</v>
      </c>
      <c r="G578" t="s">
        <v>214</v>
      </c>
      <c r="H578" s="6">
        <v>18000</v>
      </c>
      <c r="I578" s="6">
        <v>0</v>
      </c>
      <c r="J578" s="6">
        <v>18000</v>
      </c>
    </row>
    <row r="579" spans="1:10">
      <c r="A579" t="s">
        <v>487</v>
      </c>
      <c r="B579" s="5">
        <v>45566</v>
      </c>
      <c r="C579" t="s">
        <v>173</v>
      </c>
      <c r="D579" t="s">
        <v>174</v>
      </c>
      <c r="E579" t="s">
        <v>120</v>
      </c>
      <c r="F579" t="s">
        <v>154</v>
      </c>
      <c r="G579" t="s">
        <v>214</v>
      </c>
      <c r="H579" s="6">
        <v>0</v>
      </c>
      <c r="I579" s="6">
        <v>18000</v>
      </c>
      <c r="J579" s="6">
        <v>-18000</v>
      </c>
    </row>
    <row r="580" spans="1:10">
      <c r="A580" t="s">
        <v>488</v>
      </c>
      <c r="B580" s="5">
        <v>45566</v>
      </c>
      <c r="C580" t="s">
        <v>148</v>
      </c>
      <c r="D580" t="s">
        <v>149</v>
      </c>
      <c r="E580" t="s">
        <v>150</v>
      </c>
      <c r="F580" t="s">
        <v>154</v>
      </c>
      <c r="G580" t="s">
        <v>216</v>
      </c>
      <c r="H580" s="6">
        <v>1336476.66</v>
      </c>
      <c r="I580" s="6">
        <v>0</v>
      </c>
      <c r="J580" s="6">
        <v>1336476.66</v>
      </c>
    </row>
    <row r="581" spans="1:10">
      <c r="A581" t="s">
        <v>488</v>
      </c>
      <c r="B581" s="5">
        <v>45566</v>
      </c>
      <c r="C581" t="s">
        <v>217</v>
      </c>
      <c r="D581" t="s">
        <v>218</v>
      </c>
      <c r="E581" t="s">
        <v>122</v>
      </c>
      <c r="F581" t="s">
        <v>154</v>
      </c>
      <c r="G581" t="s">
        <v>216</v>
      </c>
      <c r="H581" s="6">
        <v>0</v>
      </c>
      <c r="I581" s="6">
        <v>1336476.66</v>
      </c>
      <c r="J581" s="6">
        <v>-1336476.66</v>
      </c>
    </row>
    <row r="582" spans="1:10">
      <c r="A582" t="s">
        <v>489</v>
      </c>
      <c r="B582" s="5">
        <v>45566</v>
      </c>
      <c r="C582" t="s">
        <v>217</v>
      </c>
      <c r="D582" t="s">
        <v>218</v>
      </c>
      <c r="E582" t="s">
        <v>122</v>
      </c>
      <c r="F582" t="s">
        <v>154</v>
      </c>
      <c r="G582" t="s">
        <v>216</v>
      </c>
      <c r="H582" s="6">
        <v>113600.5161</v>
      </c>
      <c r="I582" s="6">
        <v>0</v>
      </c>
      <c r="J582" s="6">
        <v>113600.5161</v>
      </c>
    </row>
    <row r="583" spans="1:10">
      <c r="A583" t="s">
        <v>489</v>
      </c>
      <c r="B583" s="5">
        <v>45566</v>
      </c>
      <c r="C583" t="s">
        <v>152</v>
      </c>
      <c r="D583" t="s">
        <v>153</v>
      </c>
      <c r="E583" t="s">
        <v>150</v>
      </c>
      <c r="F583" t="s">
        <v>154</v>
      </c>
      <c r="G583" t="s">
        <v>216</v>
      </c>
      <c r="H583" s="6">
        <v>0</v>
      </c>
      <c r="I583" s="6">
        <v>113600.5161</v>
      </c>
      <c r="J583" s="6">
        <v>-113600.5161</v>
      </c>
    </row>
    <row r="584" spans="1:10">
      <c r="A584" t="s">
        <v>490</v>
      </c>
      <c r="B584" s="5">
        <v>45566</v>
      </c>
      <c r="C584" t="s">
        <v>217</v>
      </c>
      <c r="D584" t="s">
        <v>218</v>
      </c>
      <c r="E584" t="s">
        <v>122</v>
      </c>
      <c r="F584" t="s">
        <v>154</v>
      </c>
      <c r="G584" t="s">
        <v>216</v>
      </c>
      <c r="H584" s="6">
        <v>885430</v>
      </c>
      <c r="I584" s="6">
        <v>0</v>
      </c>
      <c r="J584" s="6">
        <v>885430</v>
      </c>
    </row>
    <row r="585" spans="1:10">
      <c r="A585" t="s">
        <v>490</v>
      </c>
      <c r="B585" s="5">
        <v>45566</v>
      </c>
      <c r="C585" t="s">
        <v>164</v>
      </c>
      <c r="D585" t="s">
        <v>36</v>
      </c>
      <c r="E585" t="s">
        <v>150</v>
      </c>
      <c r="F585" t="s">
        <v>154</v>
      </c>
      <c r="G585" t="s">
        <v>216</v>
      </c>
      <c r="H585" s="6">
        <v>0</v>
      </c>
      <c r="I585" s="6">
        <v>885430</v>
      </c>
      <c r="J585" s="6">
        <v>-885430</v>
      </c>
    </row>
    <row r="586" spans="1:10">
      <c r="A586" t="s">
        <v>491</v>
      </c>
      <c r="B586" s="5">
        <v>45566</v>
      </c>
      <c r="C586" t="s">
        <v>217</v>
      </c>
      <c r="D586" t="s">
        <v>218</v>
      </c>
      <c r="E586" t="s">
        <v>122</v>
      </c>
      <c r="F586" t="s">
        <v>154</v>
      </c>
      <c r="G586" t="s">
        <v>216</v>
      </c>
      <c r="H586" s="6">
        <v>98800</v>
      </c>
      <c r="I586" s="6">
        <v>0</v>
      </c>
      <c r="J586" s="6">
        <v>98800</v>
      </c>
    </row>
    <row r="587" spans="1:10">
      <c r="A587" t="s">
        <v>491</v>
      </c>
      <c r="B587" s="5">
        <v>45566</v>
      </c>
      <c r="C587" t="s">
        <v>167</v>
      </c>
      <c r="D587" t="s">
        <v>51</v>
      </c>
      <c r="E587" t="s">
        <v>150</v>
      </c>
      <c r="F587" t="s">
        <v>154</v>
      </c>
      <c r="G587" t="s">
        <v>216</v>
      </c>
      <c r="H587" s="6">
        <v>0</v>
      </c>
      <c r="I587" s="6">
        <v>98800</v>
      </c>
      <c r="J587" s="6">
        <v>-98800</v>
      </c>
    </row>
    <row r="588" spans="1:10">
      <c r="A588" t="s">
        <v>492</v>
      </c>
      <c r="B588" s="5">
        <v>45566</v>
      </c>
      <c r="C588" t="s">
        <v>217</v>
      </c>
      <c r="D588" t="s">
        <v>218</v>
      </c>
      <c r="E588" t="s">
        <v>122</v>
      </c>
      <c r="F588" t="s">
        <v>154</v>
      </c>
      <c r="G588" t="s">
        <v>216</v>
      </c>
      <c r="H588" s="6">
        <v>48113.16</v>
      </c>
      <c r="I588" s="6">
        <v>0</v>
      </c>
      <c r="J588" s="6">
        <v>48113.16</v>
      </c>
    </row>
    <row r="589" spans="1:10">
      <c r="A589" t="s">
        <v>492</v>
      </c>
      <c r="B589" s="5">
        <v>45566</v>
      </c>
      <c r="C589" t="s">
        <v>176</v>
      </c>
      <c r="D589" t="s">
        <v>52</v>
      </c>
      <c r="E589" t="s">
        <v>150</v>
      </c>
      <c r="F589" t="s">
        <v>154</v>
      </c>
      <c r="G589" t="s">
        <v>216</v>
      </c>
      <c r="H589" s="6">
        <v>0</v>
      </c>
      <c r="I589" s="6">
        <v>48113.16</v>
      </c>
      <c r="J589" s="6">
        <v>-48113.16</v>
      </c>
    </row>
    <row r="590" spans="1:10">
      <c r="A590" t="s">
        <v>493</v>
      </c>
      <c r="B590" s="5">
        <v>45566</v>
      </c>
      <c r="C590" t="s">
        <v>217</v>
      </c>
      <c r="D590" t="s">
        <v>218</v>
      </c>
      <c r="E590" t="s">
        <v>122</v>
      </c>
      <c r="F590" t="s">
        <v>154</v>
      </c>
      <c r="G590" t="s">
        <v>216</v>
      </c>
      <c r="H590" s="6">
        <v>32000</v>
      </c>
      <c r="I590" s="6">
        <v>0</v>
      </c>
      <c r="J590" s="6">
        <v>32000</v>
      </c>
    </row>
    <row r="591" spans="1:10">
      <c r="A591" t="s">
        <v>493</v>
      </c>
      <c r="B591" s="5">
        <v>45566</v>
      </c>
      <c r="C591" t="s">
        <v>179</v>
      </c>
      <c r="D591" t="s">
        <v>54</v>
      </c>
      <c r="E591" t="s">
        <v>150</v>
      </c>
      <c r="F591" t="s">
        <v>154</v>
      </c>
      <c r="G591" t="s">
        <v>216</v>
      </c>
      <c r="H591" s="6">
        <v>0</v>
      </c>
      <c r="I591" s="6">
        <v>32000</v>
      </c>
      <c r="J591" s="6">
        <v>-32000</v>
      </c>
    </row>
    <row r="592" spans="1:10">
      <c r="A592" t="s">
        <v>494</v>
      </c>
      <c r="B592" s="5">
        <v>45566</v>
      </c>
      <c r="C592" t="s">
        <v>217</v>
      </c>
      <c r="D592" t="s">
        <v>218</v>
      </c>
      <c r="E592" t="s">
        <v>122</v>
      </c>
      <c r="F592" t="s">
        <v>154</v>
      </c>
      <c r="G592" t="s">
        <v>216</v>
      </c>
      <c r="H592" s="6">
        <v>18000</v>
      </c>
      <c r="I592" s="6">
        <v>0</v>
      </c>
      <c r="J592" s="6">
        <v>18000</v>
      </c>
    </row>
    <row r="593" spans="1:10">
      <c r="A593" t="s">
        <v>494</v>
      </c>
      <c r="B593" s="5">
        <v>45566</v>
      </c>
      <c r="C593" t="s">
        <v>181</v>
      </c>
      <c r="D593" t="s">
        <v>56</v>
      </c>
      <c r="E593" t="s">
        <v>150</v>
      </c>
      <c r="F593" t="s">
        <v>154</v>
      </c>
      <c r="G593" t="s">
        <v>216</v>
      </c>
      <c r="H593" s="6">
        <v>0</v>
      </c>
      <c r="I593" s="6">
        <v>18000</v>
      </c>
      <c r="J593" s="6">
        <v>-18000</v>
      </c>
    </row>
    <row r="594" spans="1:10">
      <c r="A594" t="s">
        <v>495</v>
      </c>
      <c r="B594" s="5">
        <v>45566</v>
      </c>
      <c r="C594" t="s">
        <v>217</v>
      </c>
      <c r="D594" t="s">
        <v>218</v>
      </c>
      <c r="E594" t="s">
        <v>122</v>
      </c>
      <c r="F594" t="s">
        <v>154</v>
      </c>
      <c r="G594" t="s">
        <v>216</v>
      </c>
      <c r="H594" s="6">
        <v>29402.49</v>
      </c>
      <c r="I594" s="6">
        <v>0</v>
      </c>
      <c r="J594" s="6">
        <v>29402.49</v>
      </c>
    </row>
    <row r="595" spans="1:10">
      <c r="A595" t="s">
        <v>495</v>
      </c>
      <c r="B595" s="5">
        <v>45566</v>
      </c>
      <c r="C595" t="s">
        <v>183</v>
      </c>
      <c r="D595" t="s">
        <v>59</v>
      </c>
      <c r="E595" t="s">
        <v>150</v>
      </c>
      <c r="F595" t="s">
        <v>154</v>
      </c>
      <c r="G595" t="s">
        <v>216</v>
      </c>
      <c r="H595" s="6">
        <v>0</v>
      </c>
      <c r="I595" s="6">
        <v>29402.49</v>
      </c>
      <c r="J595" s="6">
        <v>-29402.49</v>
      </c>
    </row>
    <row r="596" spans="1:10">
      <c r="A596" t="s">
        <v>496</v>
      </c>
      <c r="B596" s="5">
        <v>45566</v>
      </c>
      <c r="C596" t="s">
        <v>217</v>
      </c>
      <c r="D596" t="s">
        <v>218</v>
      </c>
      <c r="E596" t="s">
        <v>122</v>
      </c>
      <c r="F596" t="s">
        <v>154</v>
      </c>
      <c r="G596" t="s">
        <v>216</v>
      </c>
      <c r="H596" s="6">
        <v>18780</v>
      </c>
      <c r="I596" s="6">
        <v>0</v>
      </c>
      <c r="J596" s="6">
        <v>18780</v>
      </c>
    </row>
    <row r="597" spans="1:10">
      <c r="A597" t="s">
        <v>496</v>
      </c>
      <c r="B597" s="5">
        <v>45566</v>
      </c>
      <c r="C597" t="s">
        <v>185</v>
      </c>
      <c r="D597" t="s">
        <v>186</v>
      </c>
      <c r="E597" t="s">
        <v>150</v>
      </c>
      <c r="F597" t="s">
        <v>154</v>
      </c>
      <c r="G597" t="s">
        <v>216</v>
      </c>
      <c r="H597" s="6">
        <v>0</v>
      </c>
      <c r="I597" s="6">
        <v>18780</v>
      </c>
      <c r="J597" s="6">
        <v>-18780</v>
      </c>
    </row>
    <row r="598" spans="1:10">
      <c r="A598" t="s">
        <v>497</v>
      </c>
      <c r="B598" s="5">
        <v>45566</v>
      </c>
      <c r="C598" t="s">
        <v>217</v>
      </c>
      <c r="D598" t="s">
        <v>218</v>
      </c>
      <c r="E598" t="s">
        <v>122</v>
      </c>
      <c r="F598" t="s">
        <v>154</v>
      </c>
      <c r="G598" t="s">
        <v>216</v>
      </c>
      <c r="H598" s="6">
        <v>7656</v>
      </c>
      <c r="I598" s="6">
        <v>0</v>
      </c>
      <c r="J598" s="6">
        <v>7656</v>
      </c>
    </row>
    <row r="599" spans="1:10">
      <c r="A599" t="s">
        <v>497</v>
      </c>
      <c r="B599" s="5">
        <v>45566</v>
      </c>
      <c r="C599" t="s">
        <v>191</v>
      </c>
      <c r="D599" t="s">
        <v>104</v>
      </c>
      <c r="E599" t="s">
        <v>150</v>
      </c>
      <c r="F599" t="s">
        <v>154</v>
      </c>
      <c r="G599" t="s">
        <v>216</v>
      </c>
      <c r="H599" s="6">
        <v>0</v>
      </c>
      <c r="I599" s="6">
        <v>7656</v>
      </c>
      <c r="J599" s="6">
        <v>-7656</v>
      </c>
    </row>
    <row r="600" spans="1:10">
      <c r="A600" t="s">
        <v>498</v>
      </c>
      <c r="B600" s="5">
        <v>45566</v>
      </c>
      <c r="C600" t="s">
        <v>217</v>
      </c>
      <c r="D600" t="s">
        <v>218</v>
      </c>
      <c r="E600" t="s">
        <v>122</v>
      </c>
      <c r="F600" t="s">
        <v>154</v>
      </c>
      <c r="G600" t="s">
        <v>216</v>
      </c>
      <c r="H600" s="6">
        <v>28796.12792600001</v>
      </c>
      <c r="I600" s="6">
        <v>0</v>
      </c>
      <c r="J600" s="6">
        <v>28796.12792600001</v>
      </c>
    </row>
    <row r="601" spans="1:10">
      <c r="A601" t="s">
        <v>498</v>
      </c>
      <c r="B601" s="5">
        <v>45566</v>
      </c>
      <c r="C601" t="s">
        <v>194</v>
      </c>
      <c r="D601" t="s">
        <v>195</v>
      </c>
      <c r="E601" t="s">
        <v>150</v>
      </c>
      <c r="F601" t="s">
        <v>154</v>
      </c>
      <c r="G601" t="s">
        <v>216</v>
      </c>
      <c r="H601" s="6">
        <v>0</v>
      </c>
      <c r="I601" s="6">
        <v>28796.12792600001</v>
      </c>
      <c r="J601" s="6">
        <v>-28796.12792600001</v>
      </c>
    </row>
    <row r="602" spans="1:10">
      <c r="A602" t="s">
        <v>499</v>
      </c>
      <c r="B602" s="5">
        <v>45597</v>
      </c>
      <c r="C602" t="s">
        <v>146</v>
      </c>
      <c r="D602" t="s">
        <v>86</v>
      </c>
      <c r="E602" t="s">
        <v>120</v>
      </c>
      <c r="F602" t="s">
        <v>52</v>
      </c>
      <c r="G602" t="s">
        <v>147</v>
      </c>
      <c r="H602" s="6">
        <v>1504412.32</v>
      </c>
      <c r="I602" s="6">
        <v>0</v>
      </c>
      <c r="J602" s="6">
        <v>1504412.32</v>
      </c>
    </row>
    <row r="603" spans="1:10">
      <c r="A603" t="s">
        <v>499</v>
      </c>
      <c r="B603" s="5">
        <v>45597</v>
      </c>
      <c r="C603" t="s">
        <v>148</v>
      </c>
      <c r="D603" t="s">
        <v>149</v>
      </c>
      <c r="E603" t="s">
        <v>150</v>
      </c>
      <c r="F603" t="s">
        <v>52</v>
      </c>
      <c r="G603" t="s">
        <v>147</v>
      </c>
      <c r="H603" s="6">
        <v>0</v>
      </c>
      <c r="I603" s="6">
        <v>1504412.32</v>
      </c>
      <c r="J603" s="6">
        <v>-1504412.32</v>
      </c>
    </row>
    <row r="604" spans="1:10">
      <c r="A604" t="s">
        <v>500</v>
      </c>
      <c r="B604" s="5">
        <v>45597</v>
      </c>
      <c r="C604" t="s">
        <v>152</v>
      </c>
      <c r="D604" t="s">
        <v>153</v>
      </c>
      <c r="E604" t="s">
        <v>150</v>
      </c>
      <c r="F604" t="s">
        <v>154</v>
      </c>
      <c r="G604" t="s">
        <v>155</v>
      </c>
      <c r="H604" s="6">
        <v>127875.0472</v>
      </c>
      <c r="I604" s="6">
        <v>0</v>
      </c>
      <c r="J604" s="6">
        <v>127875.0472</v>
      </c>
    </row>
    <row r="605" spans="1:10">
      <c r="A605" t="s">
        <v>500</v>
      </c>
      <c r="B605" s="5">
        <v>45597</v>
      </c>
      <c r="C605" t="s">
        <v>156</v>
      </c>
      <c r="D605" t="s">
        <v>157</v>
      </c>
      <c r="E605" t="s">
        <v>121</v>
      </c>
      <c r="F605" t="s">
        <v>154</v>
      </c>
      <c r="G605" t="s">
        <v>155</v>
      </c>
      <c r="H605" s="6">
        <v>0</v>
      </c>
      <c r="I605" s="6">
        <v>127875.0472</v>
      </c>
      <c r="J605" s="6">
        <v>-127875.0472</v>
      </c>
    </row>
    <row r="606" spans="1:10">
      <c r="A606" t="s">
        <v>501</v>
      </c>
      <c r="B606" s="5">
        <v>45597</v>
      </c>
      <c r="C606" t="s">
        <v>159</v>
      </c>
      <c r="D606" t="s">
        <v>160</v>
      </c>
      <c r="E606" t="s">
        <v>120</v>
      </c>
      <c r="F606" t="s">
        <v>58</v>
      </c>
      <c r="G606" t="s">
        <v>161</v>
      </c>
      <c r="H606" s="6">
        <v>1166250</v>
      </c>
      <c r="I606" s="6">
        <v>0</v>
      </c>
      <c r="J606" s="6">
        <v>1166250</v>
      </c>
    </row>
    <row r="607" spans="1:10">
      <c r="A607" t="s">
        <v>501</v>
      </c>
      <c r="B607" s="5">
        <v>45597</v>
      </c>
      <c r="C607" t="s">
        <v>162</v>
      </c>
      <c r="D607" t="s">
        <v>88</v>
      </c>
      <c r="E607" t="s">
        <v>121</v>
      </c>
      <c r="F607" t="s">
        <v>58</v>
      </c>
      <c r="G607" t="s">
        <v>161</v>
      </c>
      <c r="H607" s="6">
        <v>0</v>
      </c>
      <c r="I607" s="6">
        <v>1166250</v>
      </c>
      <c r="J607" s="6">
        <v>-1166250</v>
      </c>
    </row>
    <row r="608" spans="1:10">
      <c r="A608" t="s">
        <v>502</v>
      </c>
      <c r="B608" s="5">
        <v>45597</v>
      </c>
      <c r="C608" t="s">
        <v>164</v>
      </c>
      <c r="D608" t="s">
        <v>36</v>
      </c>
      <c r="E608" t="s">
        <v>150</v>
      </c>
      <c r="F608" t="s">
        <v>58</v>
      </c>
      <c r="G608" t="s">
        <v>165</v>
      </c>
      <c r="H608" s="6">
        <v>996280</v>
      </c>
      <c r="I608" s="6">
        <v>0</v>
      </c>
      <c r="J608" s="6">
        <v>996280</v>
      </c>
    </row>
    <row r="609" spans="1:10">
      <c r="A609" t="s">
        <v>502</v>
      </c>
      <c r="B609" s="5">
        <v>45597</v>
      </c>
      <c r="C609" t="s">
        <v>159</v>
      </c>
      <c r="D609" t="s">
        <v>160</v>
      </c>
      <c r="E609" t="s">
        <v>120</v>
      </c>
      <c r="F609" t="s">
        <v>58</v>
      </c>
      <c r="G609" t="s">
        <v>165</v>
      </c>
      <c r="H609" s="6">
        <v>0</v>
      </c>
      <c r="I609" s="6">
        <v>996280</v>
      </c>
      <c r="J609" s="6">
        <v>-996280</v>
      </c>
    </row>
    <row r="610" spans="1:10">
      <c r="A610" t="s">
        <v>503</v>
      </c>
      <c r="B610" s="5">
        <v>45597</v>
      </c>
      <c r="C610" t="s">
        <v>167</v>
      </c>
      <c r="D610" t="s">
        <v>51</v>
      </c>
      <c r="E610" t="s">
        <v>150</v>
      </c>
      <c r="F610" t="s">
        <v>51</v>
      </c>
      <c r="G610" t="s">
        <v>168</v>
      </c>
      <c r="H610" s="6">
        <v>98800</v>
      </c>
      <c r="I610" s="6">
        <v>0</v>
      </c>
      <c r="J610" s="6">
        <v>98800</v>
      </c>
    </row>
    <row r="611" spans="1:10">
      <c r="A611" t="s">
        <v>503</v>
      </c>
      <c r="B611" s="5">
        <v>45597</v>
      </c>
      <c r="C611" t="s">
        <v>169</v>
      </c>
      <c r="D611" t="s">
        <v>170</v>
      </c>
      <c r="E611" t="s">
        <v>121</v>
      </c>
      <c r="F611" t="s">
        <v>51</v>
      </c>
      <c r="G611" t="s">
        <v>168</v>
      </c>
      <c r="H611" s="6">
        <v>0</v>
      </c>
      <c r="I611" s="6">
        <v>98800</v>
      </c>
      <c r="J611" s="6">
        <v>-98800</v>
      </c>
    </row>
    <row r="612" spans="1:10">
      <c r="A612" t="s">
        <v>504</v>
      </c>
      <c r="B612" s="5">
        <v>45597</v>
      </c>
      <c r="C612" t="s">
        <v>169</v>
      </c>
      <c r="D612" t="s">
        <v>170</v>
      </c>
      <c r="E612" t="s">
        <v>121</v>
      </c>
      <c r="F612" t="s">
        <v>51</v>
      </c>
      <c r="G612" t="s">
        <v>172</v>
      </c>
      <c r="H612" s="6">
        <v>98800</v>
      </c>
      <c r="I612" s="6">
        <v>0</v>
      </c>
      <c r="J612" s="6">
        <v>98800</v>
      </c>
    </row>
    <row r="613" spans="1:10">
      <c r="A613" t="s">
        <v>504</v>
      </c>
      <c r="B613" s="5">
        <v>45597</v>
      </c>
      <c r="C613" t="s">
        <v>173</v>
      </c>
      <c r="D613" t="s">
        <v>174</v>
      </c>
      <c r="E613" t="s">
        <v>120</v>
      </c>
      <c r="F613" t="s">
        <v>51</v>
      </c>
      <c r="G613" t="s">
        <v>172</v>
      </c>
      <c r="H613" s="6">
        <v>0</v>
      </c>
      <c r="I613" s="6">
        <v>98800</v>
      </c>
      <c r="J613" s="6">
        <v>-98800</v>
      </c>
    </row>
    <row r="614" spans="1:10">
      <c r="A614" t="s">
        <v>505</v>
      </c>
      <c r="B614" s="5">
        <v>45597</v>
      </c>
      <c r="C614" t="s">
        <v>176</v>
      </c>
      <c r="D614" t="s">
        <v>52</v>
      </c>
      <c r="E614" t="s">
        <v>150</v>
      </c>
      <c r="F614" t="s">
        <v>52</v>
      </c>
      <c r="G614" t="s">
        <v>177</v>
      </c>
      <c r="H614" s="6">
        <v>54158.84</v>
      </c>
      <c r="I614" s="6">
        <v>0</v>
      </c>
      <c r="J614" s="6">
        <v>54158.84</v>
      </c>
    </row>
    <row r="615" spans="1:10">
      <c r="A615" t="s">
        <v>505</v>
      </c>
      <c r="B615" s="5">
        <v>45597</v>
      </c>
      <c r="C615" t="s">
        <v>173</v>
      </c>
      <c r="D615" t="s">
        <v>174</v>
      </c>
      <c r="E615" t="s">
        <v>120</v>
      </c>
      <c r="F615" t="s">
        <v>52</v>
      </c>
      <c r="G615" t="s">
        <v>177</v>
      </c>
      <c r="H615" s="6">
        <v>0</v>
      </c>
      <c r="I615" s="6">
        <v>54158.84</v>
      </c>
      <c r="J615" s="6">
        <v>-54158.84</v>
      </c>
    </row>
    <row r="616" spans="1:10">
      <c r="A616" t="s">
        <v>506</v>
      </c>
      <c r="B616" s="5">
        <v>45597</v>
      </c>
      <c r="C616" t="s">
        <v>179</v>
      </c>
      <c r="D616" t="s">
        <v>54</v>
      </c>
      <c r="E616" t="s">
        <v>150</v>
      </c>
      <c r="F616" t="s">
        <v>54</v>
      </c>
      <c r="G616" t="s">
        <v>177</v>
      </c>
      <c r="H616" s="6">
        <v>32000</v>
      </c>
      <c r="I616" s="6">
        <v>0</v>
      </c>
      <c r="J616" s="6">
        <v>32000</v>
      </c>
    </row>
    <row r="617" spans="1:10">
      <c r="A617" t="s">
        <v>506</v>
      </c>
      <c r="B617" s="5">
        <v>45597</v>
      </c>
      <c r="C617" t="s">
        <v>173</v>
      </c>
      <c r="D617" t="s">
        <v>174</v>
      </c>
      <c r="E617" t="s">
        <v>120</v>
      </c>
      <c r="F617" t="s">
        <v>54</v>
      </c>
      <c r="G617" t="s">
        <v>177</v>
      </c>
      <c r="H617" s="6">
        <v>0</v>
      </c>
      <c r="I617" s="6">
        <v>32000</v>
      </c>
      <c r="J617" s="6">
        <v>-32000</v>
      </c>
    </row>
    <row r="618" spans="1:10">
      <c r="A618" t="s">
        <v>507</v>
      </c>
      <c r="B618" s="5">
        <v>45597</v>
      </c>
      <c r="C618" t="s">
        <v>181</v>
      </c>
      <c r="D618" t="s">
        <v>56</v>
      </c>
      <c r="E618" t="s">
        <v>150</v>
      </c>
      <c r="F618" t="s">
        <v>56</v>
      </c>
      <c r="G618" t="s">
        <v>177</v>
      </c>
      <c r="H618" s="6">
        <v>18000</v>
      </c>
      <c r="I618" s="6">
        <v>0</v>
      </c>
      <c r="J618" s="6">
        <v>18000</v>
      </c>
    </row>
    <row r="619" spans="1:10">
      <c r="A619" t="s">
        <v>507</v>
      </c>
      <c r="B619" s="5">
        <v>45597</v>
      </c>
      <c r="C619" t="s">
        <v>173</v>
      </c>
      <c r="D619" t="s">
        <v>174</v>
      </c>
      <c r="E619" t="s">
        <v>120</v>
      </c>
      <c r="F619" t="s">
        <v>56</v>
      </c>
      <c r="G619" t="s">
        <v>177</v>
      </c>
      <c r="H619" s="6">
        <v>0</v>
      </c>
      <c r="I619" s="6">
        <v>18000</v>
      </c>
      <c r="J619" s="6">
        <v>-18000</v>
      </c>
    </row>
    <row r="620" spans="1:10">
      <c r="A620" t="s">
        <v>508</v>
      </c>
      <c r="B620" s="5">
        <v>45597</v>
      </c>
      <c r="C620" t="s">
        <v>183</v>
      </c>
      <c r="D620" t="s">
        <v>59</v>
      </c>
      <c r="E620" t="s">
        <v>150</v>
      </c>
      <c r="F620" t="s">
        <v>66</v>
      </c>
      <c r="G620" t="s">
        <v>177</v>
      </c>
      <c r="H620" s="6">
        <v>33097.07</v>
      </c>
      <c r="I620" s="6">
        <v>0</v>
      </c>
      <c r="J620" s="6">
        <v>33097.07</v>
      </c>
    </row>
    <row r="621" spans="1:10">
      <c r="A621" t="s">
        <v>508</v>
      </c>
      <c r="B621" s="5">
        <v>45597</v>
      </c>
      <c r="C621" t="s">
        <v>173</v>
      </c>
      <c r="D621" t="s">
        <v>174</v>
      </c>
      <c r="E621" t="s">
        <v>120</v>
      </c>
      <c r="F621" t="s">
        <v>66</v>
      </c>
      <c r="G621" t="s">
        <v>177</v>
      </c>
      <c r="H621" s="6">
        <v>0</v>
      </c>
      <c r="I621" s="6">
        <v>33097.07</v>
      </c>
      <c r="J621" s="6">
        <v>-33097.07</v>
      </c>
    </row>
    <row r="622" spans="1:10">
      <c r="A622" t="s">
        <v>509</v>
      </c>
      <c r="B622" s="5">
        <v>45597</v>
      </c>
      <c r="C622" t="s">
        <v>185</v>
      </c>
      <c r="D622" t="s">
        <v>186</v>
      </c>
      <c r="E622" t="s">
        <v>150</v>
      </c>
      <c r="F622" t="s">
        <v>154</v>
      </c>
      <c r="G622" t="s">
        <v>187</v>
      </c>
      <c r="H622" s="6">
        <v>18960</v>
      </c>
      <c r="I622" s="6">
        <v>0</v>
      </c>
      <c r="J622" s="6">
        <v>18960</v>
      </c>
    </row>
    <row r="623" spans="1:10">
      <c r="A623" t="s">
        <v>509</v>
      </c>
      <c r="B623" s="5">
        <v>45597</v>
      </c>
      <c r="C623" t="s">
        <v>188</v>
      </c>
      <c r="D623" t="s">
        <v>189</v>
      </c>
      <c r="E623" t="s">
        <v>120</v>
      </c>
      <c r="F623" t="s">
        <v>154</v>
      </c>
      <c r="G623" t="s">
        <v>187</v>
      </c>
      <c r="H623" s="6">
        <v>0</v>
      </c>
      <c r="I623" s="6">
        <v>18960</v>
      </c>
      <c r="J623" s="6">
        <v>-18960</v>
      </c>
    </row>
    <row r="624" spans="1:10">
      <c r="A624" t="s">
        <v>510</v>
      </c>
      <c r="B624" s="5">
        <v>45597</v>
      </c>
      <c r="C624" t="s">
        <v>191</v>
      </c>
      <c r="D624" t="s">
        <v>104</v>
      </c>
      <c r="E624" t="s">
        <v>150</v>
      </c>
      <c r="F624" t="s">
        <v>154</v>
      </c>
      <c r="G624" t="s">
        <v>192</v>
      </c>
      <c r="H624" s="6">
        <v>7440</v>
      </c>
      <c r="I624" s="6">
        <v>0</v>
      </c>
      <c r="J624" s="6">
        <v>7440</v>
      </c>
    </row>
    <row r="625" spans="1:10">
      <c r="A625" t="s">
        <v>510</v>
      </c>
      <c r="B625" s="5">
        <v>45597</v>
      </c>
      <c r="C625" t="s">
        <v>173</v>
      </c>
      <c r="D625" t="s">
        <v>174</v>
      </c>
      <c r="E625" t="s">
        <v>120</v>
      </c>
      <c r="F625" t="s">
        <v>154</v>
      </c>
      <c r="G625" t="s">
        <v>192</v>
      </c>
      <c r="H625" s="6">
        <v>0</v>
      </c>
      <c r="I625" s="6">
        <v>7440</v>
      </c>
      <c r="J625" s="6">
        <v>-7440</v>
      </c>
    </row>
    <row r="626" spans="1:10">
      <c r="A626" t="s">
        <v>511</v>
      </c>
      <c r="B626" s="5">
        <v>45597</v>
      </c>
      <c r="C626" t="s">
        <v>194</v>
      </c>
      <c r="D626" t="s">
        <v>195</v>
      </c>
      <c r="E626" t="s">
        <v>150</v>
      </c>
      <c r="F626" t="s">
        <v>154</v>
      </c>
      <c r="G626" t="s">
        <v>196</v>
      </c>
      <c r="H626" s="6">
        <v>40052.46335200005</v>
      </c>
      <c r="I626" s="6">
        <v>0</v>
      </c>
      <c r="J626" s="6">
        <v>40052.46335200005</v>
      </c>
    </row>
    <row r="627" spans="1:10">
      <c r="A627" t="s">
        <v>511</v>
      </c>
      <c r="B627" s="5">
        <v>45597</v>
      </c>
      <c r="C627" t="s">
        <v>197</v>
      </c>
      <c r="D627" t="s">
        <v>198</v>
      </c>
      <c r="E627" t="s">
        <v>121</v>
      </c>
      <c r="F627" t="s">
        <v>154</v>
      </c>
      <c r="G627" t="s">
        <v>196</v>
      </c>
      <c r="H627" s="6">
        <v>0</v>
      </c>
      <c r="I627" s="6">
        <v>40052.46335200005</v>
      </c>
      <c r="J627" s="6">
        <v>-40052.46335200005</v>
      </c>
    </row>
    <row r="628" spans="1:10">
      <c r="A628" t="s">
        <v>512</v>
      </c>
      <c r="B628" s="5">
        <v>45597</v>
      </c>
      <c r="C628" t="s">
        <v>173</v>
      </c>
      <c r="D628" t="s">
        <v>174</v>
      </c>
      <c r="E628" t="s">
        <v>120</v>
      </c>
      <c r="F628" t="s">
        <v>154</v>
      </c>
      <c r="G628" t="s">
        <v>200</v>
      </c>
      <c r="H628" s="6">
        <v>1280498.106666667</v>
      </c>
      <c r="I628" s="6">
        <v>0</v>
      </c>
      <c r="J628" s="6">
        <v>1280498.106666667</v>
      </c>
    </row>
    <row r="629" spans="1:10">
      <c r="A629" t="s">
        <v>512</v>
      </c>
      <c r="B629" s="5">
        <v>45597</v>
      </c>
      <c r="C629" t="s">
        <v>146</v>
      </c>
      <c r="D629" t="s">
        <v>86</v>
      </c>
      <c r="E629" t="s">
        <v>120</v>
      </c>
      <c r="F629" t="s">
        <v>154</v>
      </c>
      <c r="G629" t="s">
        <v>200</v>
      </c>
      <c r="H629" s="6">
        <v>0</v>
      </c>
      <c r="I629" s="6">
        <v>1280498.106666667</v>
      </c>
      <c r="J629" s="6">
        <v>-1280498.106666667</v>
      </c>
    </row>
    <row r="630" spans="1:10">
      <c r="A630" t="s">
        <v>513</v>
      </c>
      <c r="B630" s="5">
        <v>45597</v>
      </c>
      <c r="C630" t="s">
        <v>162</v>
      </c>
      <c r="D630" t="s">
        <v>88</v>
      </c>
      <c r="E630" t="s">
        <v>121</v>
      </c>
      <c r="F630" t="s">
        <v>154</v>
      </c>
      <c r="G630" t="s">
        <v>202</v>
      </c>
      <c r="H630" s="6">
        <v>1036925</v>
      </c>
      <c r="I630" s="6">
        <v>0</v>
      </c>
      <c r="J630" s="6">
        <v>1036925</v>
      </c>
    </row>
    <row r="631" spans="1:10">
      <c r="A631" t="s">
        <v>513</v>
      </c>
      <c r="B631" s="5">
        <v>45597</v>
      </c>
      <c r="C631" t="s">
        <v>173</v>
      </c>
      <c r="D631" t="s">
        <v>174</v>
      </c>
      <c r="E631" t="s">
        <v>120</v>
      </c>
      <c r="F631" t="s">
        <v>154</v>
      </c>
      <c r="G631" t="s">
        <v>202</v>
      </c>
      <c r="H631" s="6">
        <v>0</v>
      </c>
      <c r="I631" s="6">
        <v>1036925</v>
      </c>
      <c r="J631" s="6">
        <v>-1036925</v>
      </c>
    </row>
    <row r="632" spans="1:10">
      <c r="A632" t="s">
        <v>514</v>
      </c>
      <c r="B632" s="5">
        <v>45597</v>
      </c>
      <c r="C632" t="s">
        <v>156</v>
      </c>
      <c r="D632" t="s">
        <v>157</v>
      </c>
      <c r="E632" t="s">
        <v>121</v>
      </c>
      <c r="F632" t="s">
        <v>154</v>
      </c>
      <c r="G632" t="s">
        <v>204</v>
      </c>
      <c r="H632" s="6">
        <v>113600.5161</v>
      </c>
      <c r="I632" s="6">
        <v>0</v>
      </c>
      <c r="J632" s="6">
        <v>113600.5161</v>
      </c>
    </row>
    <row r="633" spans="1:10">
      <c r="A633" t="s">
        <v>514</v>
      </c>
      <c r="B633" s="5">
        <v>45597</v>
      </c>
      <c r="C633" t="s">
        <v>173</v>
      </c>
      <c r="D633" t="s">
        <v>174</v>
      </c>
      <c r="E633" t="s">
        <v>120</v>
      </c>
      <c r="F633" t="s">
        <v>154</v>
      </c>
      <c r="G633" t="s">
        <v>204</v>
      </c>
      <c r="H633" s="6">
        <v>0</v>
      </c>
      <c r="I633" s="6">
        <v>113600.5161</v>
      </c>
      <c r="J633" s="6">
        <v>-113600.5161</v>
      </c>
    </row>
    <row r="634" spans="1:10">
      <c r="A634" t="s">
        <v>515</v>
      </c>
      <c r="B634" s="5">
        <v>45597</v>
      </c>
      <c r="C634" t="s">
        <v>197</v>
      </c>
      <c r="D634" t="s">
        <v>198</v>
      </c>
      <c r="E634" t="s">
        <v>121</v>
      </c>
      <c r="F634" t="s">
        <v>154</v>
      </c>
      <c r="G634" t="s">
        <v>206</v>
      </c>
      <c r="H634" s="6">
        <v>28796.12792600002</v>
      </c>
      <c r="I634" s="6">
        <v>0</v>
      </c>
      <c r="J634" s="6">
        <v>28796.12792600002</v>
      </c>
    </row>
    <row r="635" spans="1:10">
      <c r="A635" t="s">
        <v>515</v>
      </c>
      <c r="B635" s="5">
        <v>45597</v>
      </c>
      <c r="C635" t="s">
        <v>173</v>
      </c>
      <c r="D635" t="s">
        <v>174</v>
      </c>
      <c r="E635" t="s">
        <v>120</v>
      </c>
      <c r="F635" t="s">
        <v>154</v>
      </c>
      <c r="G635" t="s">
        <v>206</v>
      </c>
      <c r="H635" s="6">
        <v>0</v>
      </c>
      <c r="I635" s="6">
        <v>28796.12792600002</v>
      </c>
      <c r="J635" s="6">
        <v>-28796.12792600002</v>
      </c>
    </row>
    <row r="636" spans="1:10">
      <c r="A636" t="s">
        <v>516</v>
      </c>
      <c r="B636" s="5">
        <v>45597</v>
      </c>
      <c r="C636" t="s">
        <v>208</v>
      </c>
      <c r="D636" t="s">
        <v>209</v>
      </c>
      <c r="E636" t="s">
        <v>120</v>
      </c>
      <c r="F636" t="s">
        <v>154</v>
      </c>
      <c r="G636" t="s">
        <v>210</v>
      </c>
      <c r="H636" s="6">
        <v>18000</v>
      </c>
      <c r="I636" s="6">
        <v>0</v>
      </c>
      <c r="J636" s="6">
        <v>18000</v>
      </c>
    </row>
    <row r="637" spans="1:10">
      <c r="A637" t="s">
        <v>516</v>
      </c>
      <c r="B637" s="5">
        <v>45597</v>
      </c>
      <c r="C637" t="s">
        <v>173</v>
      </c>
      <c r="D637" t="s">
        <v>174</v>
      </c>
      <c r="E637" t="s">
        <v>120</v>
      </c>
      <c r="F637" t="s">
        <v>154</v>
      </c>
      <c r="G637" t="s">
        <v>210</v>
      </c>
      <c r="H637" s="6">
        <v>0</v>
      </c>
      <c r="I637" s="6">
        <v>18000</v>
      </c>
      <c r="J637" s="6">
        <v>-18000</v>
      </c>
    </row>
    <row r="638" spans="1:10">
      <c r="A638" t="s">
        <v>517</v>
      </c>
      <c r="B638" s="5">
        <v>45597</v>
      </c>
      <c r="C638" t="s">
        <v>212</v>
      </c>
      <c r="D638" t="s">
        <v>213</v>
      </c>
      <c r="E638" t="s">
        <v>121</v>
      </c>
      <c r="F638" t="s">
        <v>154</v>
      </c>
      <c r="G638" t="s">
        <v>214</v>
      </c>
      <c r="H638" s="6">
        <v>18000</v>
      </c>
      <c r="I638" s="6">
        <v>0</v>
      </c>
      <c r="J638" s="6">
        <v>18000</v>
      </c>
    </row>
    <row r="639" spans="1:10">
      <c r="A639" t="s">
        <v>517</v>
      </c>
      <c r="B639" s="5">
        <v>45597</v>
      </c>
      <c r="C639" t="s">
        <v>173</v>
      </c>
      <c r="D639" t="s">
        <v>174</v>
      </c>
      <c r="E639" t="s">
        <v>120</v>
      </c>
      <c r="F639" t="s">
        <v>154</v>
      </c>
      <c r="G639" t="s">
        <v>214</v>
      </c>
      <c r="H639" s="6">
        <v>0</v>
      </c>
      <c r="I639" s="6">
        <v>18000</v>
      </c>
      <c r="J639" s="6">
        <v>-18000</v>
      </c>
    </row>
    <row r="640" spans="1:10">
      <c r="A640" t="s">
        <v>518</v>
      </c>
      <c r="B640" s="5">
        <v>45597</v>
      </c>
      <c r="C640" t="s">
        <v>148</v>
      </c>
      <c r="D640" t="s">
        <v>149</v>
      </c>
      <c r="E640" t="s">
        <v>150</v>
      </c>
      <c r="F640" t="s">
        <v>154</v>
      </c>
      <c r="G640" t="s">
        <v>216</v>
      </c>
      <c r="H640" s="6">
        <v>1504412.32</v>
      </c>
      <c r="I640" s="6">
        <v>0</v>
      </c>
      <c r="J640" s="6">
        <v>1504412.32</v>
      </c>
    </row>
    <row r="641" spans="1:10">
      <c r="A641" t="s">
        <v>518</v>
      </c>
      <c r="B641" s="5">
        <v>45597</v>
      </c>
      <c r="C641" t="s">
        <v>217</v>
      </c>
      <c r="D641" t="s">
        <v>218</v>
      </c>
      <c r="E641" t="s">
        <v>122</v>
      </c>
      <c r="F641" t="s">
        <v>154</v>
      </c>
      <c r="G641" t="s">
        <v>216</v>
      </c>
      <c r="H641" s="6">
        <v>0</v>
      </c>
      <c r="I641" s="6">
        <v>1504412.32</v>
      </c>
      <c r="J641" s="6">
        <v>-1504412.32</v>
      </c>
    </row>
    <row r="642" spans="1:10">
      <c r="A642" t="s">
        <v>519</v>
      </c>
      <c r="B642" s="5">
        <v>45597</v>
      </c>
      <c r="C642" t="s">
        <v>217</v>
      </c>
      <c r="D642" t="s">
        <v>218</v>
      </c>
      <c r="E642" t="s">
        <v>122</v>
      </c>
      <c r="F642" t="s">
        <v>154</v>
      </c>
      <c r="G642" t="s">
        <v>216</v>
      </c>
      <c r="H642" s="6">
        <v>127875.0472</v>
      </c>
      <c r="I642" s="6">
        <v>0</v>
      </c>
      <c r="J642" s="6">
        <v>127875.0472</v>
      </c>
    </row>
    <row r="643" spans="1:10">
      <c r="A643" t="s">
        <v>519</v>
      </c>
      <c r="B643" s="5">
        <v>45597</v>
      </c>
      <c r="C643" t="s">
        <v>152</v>
      </c>
      <c r="D643" t="s">
        <v>153</v>
      </c>
      <c r="E643" t="s">
        <v>150</v>
      </c>
      <c r="F643" t="s">
        <v>154</v>
      </c>
      <c r="G643" t="s">
        <v>216</v>
      </c>
      <c r="H643" s="6">
        <v>0</v>
      </c>
      <c r="I643" s="6">
        <v>127875.0472</v>
      </c>
      <c r="J643" s="6">
        <v>-127875.0472</v>
      </c>
    </row>
    <row r="644" spans="1:10">
      <c r="A644" t="s">
        <v>520</v>
      </c>
      <c r="B644" s="5">
        <v>45597</v>
      </c>
      <c r="C644" t="s">
        <v>217</v>
      </c>
      <c r="D644" t="s">
        <v>218</v>
      </c>
      <c r="E644" t="s">
        <v>122</v>
      </c>
      <c r="F644" t="s">
        <v>154</v>
      </c>
      <c r="G644" t="s">
        <v>216</v>
      </c>
      <c r="H644" s="6">
        <v>996280</v>
      </c>
      <c r="I644" s="6">
        <v>0</v>
      </c>
      <c r="J644" s="6">
        <v>996280</v>
      </c>
    </row>
    <row r="645" spans="1:10">
      <c r="A645" t="s">
        <v>520</v>
      </c>
      <c r="B645" s="5">
        <v>45597</v>
      </c>
      <c r="C645" t="s">
        <v>164</v>
      </c>
      <c r="D645" t="s">
        <v>36</v>
      </c>
      <c r="E645" t="s">
        <v>150</v>
      </c>
      <c r="F645" t="s">
        <v>154</v>
      </c>
      <c r="G645" t="s">
        <v>216</v>
      </c>
      <c r="H645" s="6">
        <v>0</v>
      </c>
      <c r="I645" s="6">
        <v>996280</v>
      </c>
      <c r="J645" s="6">
        <v>-996280</v>
      </c>
    </row>
    <row r="646" spans="1:10">
      <c r="A646" t="s">
        <v>521</v>
      </c>
      <c r="B646" s="5">
        <v>45597</v>
      </c>
      <c r="C646" t="s">
        <v>217</v>
      </c>
      <c r="D646" t="s">
        <v>218</v>
      </c>
      <c r="E646" t="s">
        <v>122</v>
      </c>
      <c r="F646" t="s">
        <v>154</v>
      </c>
      <c r="G646" t="s">
        <v>216</v>
      </c>
      <c r="H646" s="6">
        <v>98800</v>
      </c>
      <c r="I646" s="6">
        <v>0</v>
      </c>
      <c r="J646" s="6">
        <v>98800</v>
      </c>
    </row>
    <row r="647" spans="1:10">
      <c r="A647" t="s">
        <v>521</v>
      </c>
      <c r="B647" s="5">
        <v>45597</v>
      </c>
      <c r="C647" t="s">
        <v>167</v>
      </c>
      <c r="D647" t="s">
        <v>51</v>
      </c>
      <c r="E647" t="s">
        <v>150</v>
      </c>
      <c r="F647" t="s">
        <v>154</v>
      </c>
      <c r="G647" t="s">
        <v>216</v>
      </c>
      <c r="H647" s="6">
        <v>0</v>
      </c>
      <c r="I647" s="6">
        <v>98800</v>
      </c>
      <c r="J647" s="6">
        <v>-98800</v>
      </c>
    </row>
    <row r="648" spans="1:10">
      <c r="A648" t="s">
        <v>522</v>
      </c>
      <c r="B648" s="5">
        <v>45597</v>
      </c>
      <c r="C648" t="s">
        <v>217</v>
      </c>
      <c r="D648" t="s">
        <v>218</v>
      </c>
      <c r="E648" t="s">
        <v>122</v>
      </c>
      <c r="F648" t="s">
        <v>154</v>
      </c>
      <c r="G648" t="s">
        <v>216</v>
      </c>
      <c r="H648" s="6">
        <v>54158.84</v>
      </c>
      <c r="I648" s="6">
        <v>0</v>
      </c>
      <c r="J648" s="6">
        <v>54158.84</v>
      </c>
    </row>
    <row r="649" spans="1:10">
      <c r="A649" t="s">
        <v>522</v>
      </c>
      <c r="B649" s="5">
        <v>45597</v>
      </c>
      <c r="C649" t="s">
        <v>176</v>
      </c>
      <c r="D649" t="s">
        <v>52</v>
      </c>
      <c r="E649" t="s">
        <v>150</v>
      </c>
      <c r="F649" t="s">
        <v>154</v>
      </c>
      <c r="G649" t="s">
        <v>216</v>
      </c>
      <c r="H649" s="6">
        <v>0</v>
      </c>
      <c r="I649" s="6">
        <v>54158.84</v>
      </c>
      <c r="J649" s="6">
        <v>-54158.84</v>
      </c>
    </row>
    <row r="650" spans="1:10">
      <c r="A650" t="s">
        <v>523</v>
      </c>
      <c r="B650" s="5">
        <v>45597</v>
      </c>
      <c r="C650" t="s">
        <v>217</v>
      </c>
      <c r="D650" t="s">
        <v>218</v>
      </c>
      <c r="E650" t="s">
        <v>122</v>
      </c>
      <c r="F650" t="s">
        <v>154</v>
      </c>
      <c r="G650" t="s">
        <v>216</v>
      </c>
      <c r="H650" s="6">
        <v>32000</v>
      </c>
      <c r="I650" s="6">
        <v>0</v>
      </c>
      <c r="J650" s="6">
        <v>32000</v>
      </c>
    </row>
    <row r="651" spans="1:10">
      <c r="A651" t="s">
        <v>523</v>
      </c>
      <c r="B651" s="5">
        <v>45597</v>
      </c>
      <c r="C651" t="s">
        <v>179</v>
      </c>
      <c r="D651" t="s">
        <v>54</v>
      </c>
      <c r="E651" t="s">
        <v>150</v>
      </c>
      <c r="F651" t="s">
        <v>154</v>
      </c>
      <c r="G651" t="s">
        <v>216</v>
      </c>
      <c r="H651" s="6">
        <v>0</v>
      </c>
      <c r="I651" s="6">
        <v>32000</v>
      </c>
      <c r="J651" s="6">
        <v>-32000</v>
      </c>
    </row>
    <row r="652" spans="1:10">
      <c r="A652" t="s">
        <v>524</v>
      </c>
      <c r="B652" s="5">
        <v>45597</v>
      </c>
      <c r="C652" t="s">
        <v>217</v>
      </c>
      <c r="D652" t="s">
        <v>218</v>
      </c>
      <c r="E652" t="s">
        <v>122</v>
      </c>
      <c r="F652" t="s">
        <v>154</v>
      </c>
      <c r="G652" t="s">
        <v>216</v>
      </c>
      <c r="H652" s="6">
        <v>18000</v>
      </c>
      <c r="I652" s="6">
        <v>0</v>
      </c>
      <c r="J652" s="6">
        <v>18000</v>
      </c>
    </row>
    <row r="653" spans="1:10">
      <c r="A653" t="s">
        <v>524</v>
      </c>
      <c r="B653" s="5">
        <v>45597</v>
      </c>
      <c r="C653" t="s">
        <v>181</v>
      </c>
      <c r="D653" t="s">
        <v>56</v>
      </c>
      <c r="E653" t="s">
        <v>150</v>
      </c>
      <c r="F653" t="s">
        <v>154</v>
      </c>
      <c r="G653" t="s">
        <v>216</v>
      </c>
      <c r="H653" s="6">
        <v>0</v>
      </c>
      <c r="I653" s="6">
        <v>18000</v>
      </c>
      <c r="J653" s="6">
        <v>-18000</v>
      </c>
    </row>
    <row r="654" spans="1:10">
      <c r="A654" t="s">
        <v>525</v>
      </c>
      <c r="B654" s="5">
        <v>45597</v>
      </c>
      <c r="C654" t="s">
        <v>217</v>
      </c>
      <c r="D654" t="s">
        <v>218</v>
      </c>
      <c r="E654" t="s">
        <v>122</v>
      </c>
      <c r="F654" t="s">
        <v>154</v>
      </c>
      <c r="G654" t="s">
        <v>216</v>
      </c>
      <c r="H654" s="6">
        <v>33097.07</v>
      </c>
      <c r="I654" s="6">
        <v>0</v>
      </c>
      <c r="J654" s="6">
        <v>33097.07</v>
      </c>
    </row>
    <row r="655" spans="1:10">
      <c r="A655" t="s">
        <v>525</v>
      </c>
      <c r="B655" s="5">
        <v>45597</v>
      </c>
      <c r="C655" t="s">
        <v>183</v>
      </c>
      <c r="D655" t="s">
        <v>59</v>
      </c>
      <c r="E655" t="s">
        <v>150</v>
      </c>
      <c r="F655" t="s">
        <v>154</v>
      </c>
      <c r="G655" t="s">
        <v>216</v>
      </c>
      <c r="H655" s="6">
        <v>0</v>
      </c>
      <c r="I655" s="6">
        <v>33097.07</v>
      </c>
      <c r="J655" s="6">
        <v>-33097.07</v>
      </c>
    </row>
    <row r="656" spans="1:10">
      <c r="A656" t="s">
        <v>526</v>
      </c>
      <c r="B656" s="5">
        <v>45597</v>
      </c>
      <c r="C656" t="s">
        <v>217</v>
      </c>
      <c r="D656" t="s">
        <v>218</v>
      </c>
      <c r="E656" t="s">
        <v>122</v>
      </c>
      <c r="F656" t="s">
        <v>154</v>
      </c>
      <c r="G656" t="s">
        <v>216</v>
      </c>
      <c r="H656" s="6">
        <v>18960</v>
      </c>
      <c r="I656" s="6">
        <v>0</v>
      </c>
      <c r="J656" s="6">
        <v>18960</v>
      </c>
    </row>
    <row r="657" spans="1:10">
      <c r="A657" t="s">
        <v>526</v>
      </c>
      <c r="B657" s="5">
        <v>45597</v>
      </c>
      <c r="C657" t="s">
        <v>185</v>
      </c>
      <c r="D657" t="s">
        <v>186</v>
      </c>
      <c r="E657" t="s">
        <v>150</v>
      </c>
      <c r="F657" t="s">
        <v>154</v>
      </c>
      <c r="G657" t="s">
        <v>216</v>
      </c>
      <c r="H657" s="6">
        <v>0</v>
      </c>
      <c r="I657" s="6">
        <v>18960</v>
      </c>
      <c r="J657" s="6">
        <v>-18960</v>
      </c>
    </row>
    <row r="658" spans="1:10">
      <c r="A658" t="s">
        <v>527</v>
      </c>
      <c r="B658" s="5">
        <v>45597</v>
      </c>
      <c r="C658" t="s">
        <v>217</v>
      </c>
      <c r="D658" t="s">
        <v>218</v>
      </c>
      <c r="E658" t="s">
        <v>122</v>
      </c>
      <c r="F658" t="s">
        <v>154</v>
      </c>
      <c r="G658" t="s">
        <v>216</v>
      </c>
      <c r="H658" s="6">
        <v>7440</v>
      </c>
      <c r="I658" s="6">
        <v>0</v>
      </c>
      <c r="J658" s="6">
        <v>7440</v>
      </c>
    </row>
    <row r="659" spans="1:10">
      <c r="A659" t="s">
        <v>527</v>
      </c>
      <c r="B659" s="5">
        <v>45597</v>
      </c>
      <c r="C659" t="s">
        <v>191</v>
      </c>
      <c r="D659" t="s">
        <v>104</v>
      </c>
      <c r="E659" t="s">
        <v>150</v>
      </c>
      <c r="F659" t="s">
        <v>154</v>
      </c>
      <c r="G659" t="s">
        <v>216</v>
      </c>
      <c r="H659" s="6">
        <v>0</v>
      </c>
      <c r="I659" s="6">
        <v>7440</v>
      </c>
      <c r="J659" s="6">
        <v>-7440</v>
      </c>
    </row>
    <row r="660" spans="1:10">
      <c r="A660" t="s">
        <v>528</v>
      </c>
      <c r="B660" s="5">
        <v>45597</v>
      </c>
      <c r="C660" t="s">
        <v>217</v>
      </c>
      <c r="D660" t="s">
        <v>218</v>
      </c>
      <c r="E660" t="s">
        <v>122</v>
      </c>
      <c r="F660" t="s">
        <v>154</v>
      </c>
      <c r="G660" t="s">
        <v>216</v>
      </c>
      <c r="H660" s="6">
        <v>40052.46335200005</v>
      </c>
      <c r="I660" s="6">
        <v>0</v>
      </c>
      <c r="J660" s="6">
        <v>40052.46335200005</v>
      </c>
    </row>
    <row r="661" spans="1:10">
      <c r="A661" t="s">
        <v>528</v>
      </c>
      <c r="B661" s="5">
        <v>45597</v>
      </c>
      <c r="C661" t="s">
        <v>194</v>
      </c>
      <c r="D661" t="s">
        <v>195</v>
      </c>
      <c r="E661" t="s">
        <v>150</v>
      </c>
      <c r="F661" t="s">
        <v>154</v>
      </c>
      <c r="G661" t="s">
        <v>216</v>
      </c>
      <c r="H661" s="6">
        <v>0</v>
      </c>
      <c r="I661" s="6">
        <v>40052.46335200005</v>
      </c>
      <c r="J661" s="6">
        <v>-40052.46335200005</v>
      </c>
    </row>
    <row r="662" spans="1:10">
      <c r="A662" t="s">
        <v>529</v>
      </c>
      <c r="B662" s="5">
        <v>45627</v>
      </c>
      <c r="C662" t="s">
        <v>146</v>
      </c>
      <c r="D662" t="s">
        <v>86</v>
      </c>
      <c r="E662" t="s">
        <v>120</v>
      </c>
      <c r="F662" t="s">
        <v>52</v>
      </c>
      <c r="G662" t="s">
        <v>147</v>
      </c>
      <c r="H662" s="6">
        <v>1381719.58</v>
      </c>
      <c r="I662" s="6">
        <v>0</v>
      </c>
      <c r="J662" s="6">
        <v>1381719.58</v>
      </c>
    </row>
    <row r="663" spans="1:10">
      <c r="A663" t="s">
        <v>529</v>
      </c>
      <c r="B663" s="5">
        <v>45627</v>
      </c>
      <c r="C663" t="s">
        <v>148</v>
      </c>
      <c r="D663" t="s">
        <v>149</v>
      </c>
      <c r="E663" t="s">
        <v>150</v>
      </c>
      <c r="F663" t="s">
        <v>52</v>
      </c>
      <c r="G663" t="s">
        <v>147</v>
      </c>
      <c r="H663" s="6">
        <v>0</v>
      </c>
      <c r="I663" s="6">
        <v>1381719.58</v>
      </c>
      <c r="J663" s="6">
        <v>-1381719.58</v>
      </c>
    </row>
    <row r="664" spans="1:10">
      <c r="A664" t="s">
        <v>530</v>
      </c>
      <c r="B664" s="5">
        <v>45627</v>
      </c>
      <c r="C664" t="s">
        <v>152</v>
      </c>
      <c r="D664" t="s">
        <v>153</v>
      </c>
      <c r="E664" t="s">
        <v>150</v>
      </c>
      <c r="F664" t="s">
        <v>154</v>
      </c>
      <c r="G664" t="s">
        <v>155</v>
      </c>
      <c r="H664" s="6">
        <v>117446.1643</v>
      </c>
      <c r="I664" s="6">
        <v>0</v>
      </c>
      <c r="J664" s="6">
        <v>117446.1643</v>
      </c>
    </row>
    <row r="665" spans="1:10">
      <c r="A665" t="s">
        <v>530</v>
      </c>
      <c r="B665" s="5">
        <v>45627</v>
      </c>
      <c r="C665" t="s">
        <v>156</v>
      </c>
      <c r="D665" t="s">
        <v>157</v>
      </c>
      <c r="E665" t="s">
        <v>121</v>
      </c>
      <c r="F665" t="s">
        <v>154</v>
      </c>
      <c r="G665" t="s">
        <v>155</v>
      </c>
      <c r="H665" s="6">
        <v>0</v>
      </c>
      <c r="I665" s="6">
        <v>117446.1643</v>
      </c>
      <c r="J665" s="6">
        <v>-117446.1643</v>
      </c>
    </row>
    <row r="666" spans="1:10">
      <c r="A666" t="s">
        <v>531</v>
      </c>
      <c r="B666" s="5">
        <v>45627</v>
      </c>
      <c r="C666" t="s">
        <v>159</v>
      </c>
      <c r="D666" t="s">
        <v>160</v>
      </c>
      <c r="E666" t="s">
        <v>120</v>
      </c>
      <c r="F666" t="s">
        <v>58</v>
      </c>
      <c r="G666" t="s">
        <v>161</v>
      </c>
      <c r="H666" s="6">
        <v>790699.9999999998</v>
      </c>
      <c r="I666" s="6">
        <v>0</v>
      </c>
      <c r="J666" s="6">
        <v>790699.9999999998</v>
      </c>
    </row>
    <row r="667" spans="1:10">
      <c r="A667" t="s">
        <v>531</v>
      </c>
      <c r="B667" s="5">
        <v>45627</v>
      </c>
      <c r="C667" t="s">
        <v>162</v>
      </c>
      <c r="D667" t="s">
        <v>88</v>
      </c>
      <c r="E667" t="s">
        <v>121</v>
      </c>
      <c r="F667" t="s">
        <v>58</v>
      </c>
      <c r="G667" t="s">
        <v>161</v>
      </c>
      <c r="H667" s="6">
        <v>0</v>
      </c>
      <c r="I667" s="6">
        <v>790699.9999999998</v>
      </c>
      <c r="J667" s="6">
        <v>-790699.9999999998</v>
      </c>
    </row>
    <row r="668" spans="1:10">
      <c r="A668" t="s">
        <v>532</v>
      </c>
      <c r="B668" s="5">
        <v>45627</v>
      </c>
      <c r="C668" t="s">
        <v>164</v>
      </c>
      <c r="D668" t="s">
        <v>36</v>
      </c>
      <c r="E668" t="s">
        <v>150</v>
      </c>
      <c r="F668" t="s">
        <v>58</v>
      </c>
      <c r="G668" t="s">
        <v>165</v>
      </c>
      <c r="H668" s="6">
        <v>915130</v>
      </c>
      <c r="I668" s="6">
        <v>0</v>
      </c>
      <c r="J668" s="6">
        <v>915130</v>
      </c>
    </row>
    <row r="669" spans="1:10">
      <c r="A669" t="s">
        <v>532</v>
      </c>
      <c r="B669" s="5">
        <v>45627</v>
      </c>
      <c r="C669" t="s">
        <v>159</v>
      </c>
      <c r="D669" t="s">
        <v>160</v>
      </c>
      <c r="E669" t="s">
        <v>120</v>
      </c>
      <c r="F669" t="s">
        <v>58</v>
      </c>
      <c r="G669" t="s">
        <v>165</v>
      </c>
      <c r="H669" s="6">
        <v>0</v>
      </c>
      <c r="I669" s="6">
        <v>915130</v>
      </c>
      <c r="J669" s="6">
        <v>-915130</v>
      </c>
    </row>
    <row r="670" spans="1:10">
      <c r="A670" t="s">
        <v>533</v>
      </c>
      <c r="B670" s="5">
        <v>45627</v>
      </c>
      <c r="C670" t="s">
        <v>167</v>
      </c>
      <c r="D670" t="s">
        <v>51</v>
      </c>
      <c r="E670" t="s">
        <v>150</v>
      </c>
      <c r="F670" t="s">
        <v>51</v>
      </c>
      <c r="G670" t="s">
        <v>168</v>
      </c>
      <c r="H670" s="6">
        <v>98800</v>
      </c>
      <c r="I670" s="6">
        <v>0</v>
      </c>
      <c r="J670" s="6">
        <v>98800</v>
      </c>
    </row>
    <row r="671" spans="1:10">
      <c r="A671" t="s">
        <v>533</v>
      </c>
      <c r="B671" s="5">
        <v>45627</v>
      </c>
      <c r="C671" t="s">
        <v>169</v>
      </c>
      <c r="D671" t="s">
        <v>170</v>
      </c>
      <c r="E671" t="s">
        <v>121</v>
      </c>
      <c r="F671" t="s">
        <v>51</v>
      </c>
      <c r="G671" t="s">
        <v>168</v>
      </c>
      <c r="H671" s="6">
        <v>0</v>
      </c>
      <c r="I671" s="6">
        <v>98800</v>
      </c>
      <c r="J671" s="6">
        <v>-98800</v>
      </c>
    </row>
    <row r="672" spans="1:10">
      <c r="A672" t="s">
        <v>534</v>
      </c>
      <c r="B672" s="5">
        <v>45627</v>
      </c>
      <c r="C672" t="s">
        <v>169</v>
      </c>
      <c r="D672" t="s">
        <v>170</v>
      </c>
      <c r="E672" t="s">
        <v>121</v>
      </c>
      <c r="F672" t="s">
        <v>51</v>
      </c>
      <c r="G672" t="s">
        <v>172</v>
      </c>
      <c r="H672" s="6">
        <v>98800</v>
      </c>
      <c r="I672" s="6">
        <v>0</v>
      </c>
      <c r="J672" s="6">
        <v>98800</v>
      </c>
    </row>
    <row r="673" spans="1:10">
      <c r="A673" t="s">
        <v>534</v>
      </c>
      <c r="B673" s="5">
        <v>45627</v>
      </c>
      <c r="C673" t="s">
        <v>173</v>
      </c>
      <c r="D673" t="s">
        <v>174</v>
      </c>
      <c r="E673" t="s">
        <v>120</v>
      </c>
      <c r="F673" t="s">
        <v>51</v>
      </c>
      <c r="G673" t="s">
        <v>172</v>
      </c>
      <c r="H673" s="6">
        <v>0</v>
      </c>
      <c r="I673" s="6">
        <v>98800</v>
      </c>
      <c r="J673" s="6">
        <v>-98800</v>
      </c>
    </row>
    <row r="674" spans="1:10">
      <c r="A674" t="s">
        <v>535</v>
      </c>
      <c r="B674" s="5">
        <v>45627</v>
      </c>
      <c r="C674" t="s">
        <v>176</v>
      </c>
      <c r="D674" t="s">
        <v>52</v>
      </c>
      <c r="E674" t="s">
        <v>150</v>
      </c>
      <c r="F674" t="s">
        <v>52</v>
      </c>
      <c r="G674" t="s">
        <v>177</v>
      </c>
      <c r="H674" s="6">
        <v>49741.9</v>
      </c>
      <c r="I674" s="6">
        <v>0</v>
      </c>
      <c r="J674" s="6">
        <v>49741.9</v>
      </c>
    </row>
    <row r="675" spans="1:10">
      <c r="A675" t="s">
        <v>535</v>
      </c>
      <c r="B675" s="5">
        <v>45627</v>
      </c>
      <c r="C675" t="s">
        <v>173</v>
      </c>
      <c r="D675" t="s">
        <v>174</v>
      </c>
      <c r="E675" t="s">
        <v>120</v>
      </c>
      <c r="F675" t="s">
        <v>52</v>
      </c>
      <c r="G675" t="s">
        <v>177</v>
      </c>
      <c r="H675" s="6">
        <v>0</v>
      </c>
      <c r="I675" s="6">
        <v>49741.9</v>
      </c>
      <c r="J675" s="6">
        <v>-49741.9</v>
      </c>
    </row>
    <row r="676" spans="1:10">
      <c r="A676" t="s">
        <v>536</v>
      </c>
      <c r="B676" s="5">
        <v>45627</v>
      </c>
      <c r="C676" t="s">
        <v>179</v>
      </c>
      <c r="D676" t="s">
        <v>54</v>
      </c>
      <c r="E676" t="s">
        <v>150</v>
      </c>
      <c r="F676" t="s">
        <v>54</v>
      </c>
      <c r="G676" t="s">
        <v>177</v>
      </c>
      <c r="H676" s="6">
        <v>32000</v>
      </c>
      <c r="I676" s="6">
        <v>0</v>
      </c>
      <c r="J676" s="6">
        <v>32000</v>
      </c>
    </row>
    <row r="677" spans="1:10">
      <c r="A677" t="s">
        <v>536</v>
      </c>
      <c r="B677" s="5">
        <v>45627</v>
      </c>
      <c r="C677" t="s">
        <v>173</v>
      </c>
      <c r="D677" t="s">
        <v>174</v>
      </c>
      <c r="E677" t="s">
        <v>120</v>
      </c>
      <c r="F677" t="s">
        <v>54</v>
      </c>
      <c r="G677" t="s">
        <v>177</v>
      </c>
      <c r="H677" s="6">
        <v>0</v>
      </c>
      <c r="I677" s="6">
        <v>32000</v>
      </c>
      <c r="J677" s="6">
        <v>-32000</v>
      </c>
    </row>
    <row r="678" spans="1:10">
      <c r="A678" t="s">
        <v>537</v>
      </c>
      <c r="B678" s="5">
        <v>45627</v>
      </c>
      <c r="C678" t="s">
        <v>181</v>
      </c>
      <c r="D678" t="s">
        <v>56</v>
      </c>
      <c r="E678" t="s">
        <v>150</v>
      </c>
      <c r="F678" t="s">
        <v>56</v>
      </c>
      <c r="G678" t="s">
        <v>177</v>
      </c>
      <c r="H678" s="6">
        <v>18000</v>
      </c>
      <c r="I678" s="6">
        <v>0</v>
      </c>
      <c r="J678" s="6">
        <v>18000</v>
      </c>
    </row>
    <row r="679" spans="1:10">
      <c r="A679" t="s">
        <v>537</v>
      </c>
      <c r="B679" s="5">
        <v>45627</v>
      </c>
      <c r="C679" t="s">
        <v>173</v>
      </c>
      <c r="D679" t="s">
        <v>174</v>
      </c>
      <c r="E679" t="s">
        <v>120</v>
      </c>
      <c r="F679" t="s">
        <v>56</v>
      </c>
      <c r="G679" t="s">
        <v>177</v>
      </c>
      <c r="H679" s="6">
        <v>0</v>
      </c>
      <c r="I679" s="6">
        <v>18000</v>
      </c>
      <c r="J679" s="6">
        <v>-18000</v>
      </c>
    </row>
    <row r="680" spans="1:10">
      <c r="A680" t="s">
        <v>538</v>
      </c>
      <c r="B680" s="5">
        <v>45627</v>
      </c>
      <c r="C680" t="s">
        <v>183</v>
      </c>
      <c r="D680" t="s">
        <v>59</v>
      </c>
      <c r="E680" t="s">
        <v>150</v>
      </c>
      <c r="F680" t="s">
        <v>66</v>
      </c>
      <c r="G680" t="s">
        <v>177</v>
      </c>
      <c r="H680" s="6">
        <v>30397.83</v>
      </c>
      <c r="I680" s="6">
        <v>0</v>
      </c>
      <c r="J680" s="6">
        <v>30397.83</v>
      </c>
    </row>
    <row r="681" spans="1:10">
      <c r="A681" t="s">
        <v>538</v>
      </c>
      <c r="B681" s="5">
        <v>45627</v>
      </c>
      <c r="C681" t="s">
        <v>173</v>
      </c>
      <c r="D681" t="s">
        <v>174</v>
      </c>
      <c r="E681" t="s">
        <v>120</v>
      </c>
      <c r="F681" t="s">
        <v>66</v>
      </c>
      <c r="G681" t="s">
        <v>177</v>
      </c>
      <c r="H681" s="6">
        <v>0</v>
      </c>
      <c r="I681" s="6">
        <v>30397.83</v>
      </c>
      <c r="J681" s="6">
        <v>-30397.83</v>
      </c>
    </row>
    <row r="682" spans="1:10">
      <c r="A682" t="s">
        <v>539</v>
      </c>
      <c r="B682" s="5">
        <v>45627</v>
      </c>
      <c r="C682" t="s">
        <v>185</v>
      </c>
      <c r="D682" t="s">
        <v>186</v>
      </c>
      <c r="E682" t="s">
        <v>150</v>
      </c>
      <c r="F682" t="s">
        <v>154</v>
      </c>
      <c r="G682" t="s">
        <v>187</v>
      </c>
      <c r="H682" s="6">
        <v>19140</v>
      </c>
      <c r="I682" s="6">
        <v>0</v>
      </c>
      <c r="J682" s="6">
        <v>19140</v>
      </c>
    </row>
    <row r="683" spans="1:10">
      <c r="A683" t="s">
        <v>539</v>
      </c>
      <c r="B683" s="5">
        <v>45627</v>
      </c>
      <c r="C683" t="s">
        <v>188</v>
      </c>
      <c r="D683" t="s">
        <v>189</v>
      </c>
      <c r="E683" t="s">
        <v>120</v>
      </c>
      <c r="F683" t="s">
        <v>154</v>
      </c>
      <c r="G683" t="s">
        <v>187</v>
      </c>
      <c r="H683" s="6">
        <v>0</v>
      </c>
      <c r="I683" s="6">
        <v>19140</v>
      </c>
      <c r="J683" s="6">
        <v>-19140</v>
      </c>
    </row>
    <row r="684" spans="1:10">
      <c r="A684" t="s">
        <v>540</v>
      </c>
      <c r="B684" s="5">
        <v>45627</v>
      </c>
      <c r="C684" t="s">
        <v>191</v>
      </c>
      <c r="D684" t="s">
        <v>104</v>
      </c>
      <c r="E684" t="s">
        <v>150</v>
      </c>
      <c r="F684" t="s">
        <v>154</v>
      </c>
      <c r="G684" t="s">
        <v>192</v>
      </c>
      <c r="H684" s="6">
        <v>7224</v>
      </c>
      <c r="I684" s="6">
        <v>0</v>
      </c>
      <c r="J684" s="6">
        <v>7224</v>
      </c>
    </row>
    <row r="685" spans="1:10">
      <c r="A685" t="s">
        <v>540</v>
      </c>
      <c r="B685" s="5">
        <v>45627</v>
      </c>
      <c r="C685" t="s">
        <v>173</v>
      </c>
      <c r="D685" t="s">
        <v>174</v>
      </c>
      <c r="E685" t="s">
        <v>120</v>
      </c>
      <c r="F685" t="s">
        <v>154</v>
      </c>
      <c r="G685" t="s">
        <v>192</v>
      </c>
      <c r="H685" s="6">
        <v>0</v>
      </c>
      <c r="I685" s="6">
        <v>7224</v>
      </c>
      <c r="J685" s="6">
        <v>-7224</v>
      </c>
    </row>
    <row r="686" spans="1:10">
      <c r="A686" t="s">
        <v>541</v>
      </c>
      <c r="B686" s="5">
        <v>45627</v>
      </c>
      <c r="C686" t="s">
        <v>194</v>
      </c>
      <c r="D686" t="s">
        <v>195</v>
      </c>
      <c r="E686" t="s">
        <v>150</v>
      </c>
      <c r="F686" t="s">
        <v>154</v>
      </c>
      <c r="G686" t="s">
        <v>196</v>
      </c>
      <c r="H686" s="6">
        <v>31905.493138</v>
      </c>
      <c r="I686" s="6">
        <v>0</v>
      </c>
      <c r="J686" s="6">
        <v>31905.493138</v>
      </c>
    </row>
    <row r="687" spans="1:10">
      <c r="A687" t="s">
        <v>541</v>
      </c>
      <c r="B687" s="5">
        <v>45627</v>
      </c>
      <c r="C687" t="s">
        <v>197</v>
      </c>
      <c r="D687" t="s">
        <v>198</v>
      </c>
      <c r="E687" t="s">
        <v>121</v>
      </c>
      <c r="F687" t="s">
        <v>154</v>
      </c>
      <c r="G687" t="s">
        <v>196</v>
      </c>
      <c r="H687" s="6">
        <v>0</v>
      </c>
      <c r="I687" s="6">
        <v>31905.493138</v>
      </c>
      <c r="J687" s="6">
        <v>-31905.493138</v>
      </c>
    </row>
    <row r="688" spans="1:10">
      <c r="A688" t="s">
        <v>542</v>
      </c>
      <c r="B688" s="5">
        <v>45627</v>
      </c>
      <c r="C688" t="s">
        <v>173</v>
      </c>
      <c r="D688" t="s">
        <v>174</v>
      </c>
      <c r="E688" t="s">
        <v>120</v>
      </c>
      <c r="F688" t="s">
        <v>154</v>
      </c>
      <c r="G688" t="s">
        <v>200</v>
      </c>
      <c r="H688" s="6">
        <v>1545309.9</v>
      </c>
      <c r="I688" s="6">
        <v>0</v>
      </c>
      <c r="J688" s="6">
        <v>1545309.9</v>
      </c>
    </row>
    <row r="689" spans="1:10">
      <c r="A689" t="s">
        <v>542</v>
      </c>
      <c r="B689" s="5">
        <v>45627</v>
      </c>
      <c r="C689" t="s">
        <v>146</v>
      </c>
      <c r="D689" t="s">
        <v>86</v>
      </c>
      <c r="E689" t="s">
        <v>120</v>
      </c>
      <c r="F689" t="s">
        <v>154</v>
      </c>
      <c r="G689" t="s">
        <v>200</v>
      </c>
      <c r="H689" s="6">
        <v>0</v>
      </c>
      <c r="I689" s="6">
        <v>1545309.9</v>
      </c>
      <c r="J689" s="6">
        <v>-1545309.9</v>
      </c>
    </row>
    <row r="690" spans="1:10">
      <c r="A690" t="s">
        <v>543</v>
      </c>
      <c r="B690" s="5">
        <v>45627</v>
      </c>
      <c r="C690" t="s">
        <v>162</v>
      </c>
      <c r="D690" t="s">
        <v>88</v>
      </c>
      <c r="E690" t="s">
        <v>121</v>
      </c>
      <c r="F690" t="s">
        <v>154</v>
      </c>
      <c r="G690" t="s">
        <v>202</v>
      </c>
      <c r="H690" s="6">
        <v>885374.9999999998</v>
      </c>
      <c r="I690" s="6">
        <v>0</v>
      </c>
      <c r="J690" s="6">
        <v>885374.9999999998</v>
      </c>
    </row>
    <row r="691" spans="1:10">
      <c r="A691" t="s">
        <v>543</v>
      </c>
      <c r="B691" s="5">
        <v>45627</v>
      </c>
      <c r="C691" t="s">
        <v>173</v>
      </c>
      <c r="D691" t="s">
        <v>174</v>
      </c>
      <c r="E691" t="s">
        <v>120</v>
      </c>
      <c r="F691" t="s">
        <v>154</v>
      </c>
      <c r="G691" t="s">
        <v>202</v>
      </c>
      <c r="H691" s="6">
        <v>0</v>
      </c>
      <c r="I691" s="6">
        <v>885374.9999999998</v>
      </c>
      <c r="J691" s="6">
        <v>-885374.9999999998</v>
      </c>
    </row>
    <row r="692" spans="1:10">
      <c r="A692" t="s">
        <v>544</v>
      </c>
      <c r="B692" s="5">
        <v>45627</v>
      </c>
      <c r="C692" t="s">
        <v>156</v>
      </c>
      <c r="D692" t="s">
        <v>157</v>
      </c>
      <c r="E692" t="s">
        <v>121</v>
      </c>
      <c r="F692" t="s">
        <v>154</v>
      </c>
      <c r="G692" t="s">
        <v>204</v>
      </c>
      <c r="H692" s="6">
        <v>127875.0472</v>
      </c>
      <c r="I692" s="6">
        <v>0</v>
      </c>
      <c r="J692" s="6">
        <v>127875.0472</v>
      </c>
    </row>
    <row r="693" spans="1:10">
      <c r="A693" t="s">
        <v>544</v>
      </c>
      <c r="B693" s="5">
        <v>45627</v>
      </c>
      <c r="C693" t="s">
        <v>173</v>
      </c>
      <c r="D693" t="s">
        <v>174</v>
      </c>
      <c r="E693" t="s">
        <v>120</v>
      </c>
      <c r="F693" t="s">
        <v>154</v>
      </c>
      <c r="G693" t="s">
        <v>204</v>
      </c>
      <c r="H693" s="6">
        <v>0</v>
      </c>
      <c r="I693" s="6">
        <v>127875.0472</v>
      </c>
      <c r="J693" s="6">
        <v>-127875.0472</v>
      </c>
    </row>
    <row r="694" spans="1:10">
      <c r="A694" t="s">
        <v>545</v>
      </c>
      <c r="B694" s="5">
        <v>45627</v>
      </c>
      <c r="C694" t="s">
        <v>197</v>
      </c>
      <c r="D694" t="s">
        <v>198</v>
      </c>
      <c r="E694" t="s">
        <v>121</v>
      </c>
      <c r="F694" t="s">
        <v>154</v>
      </c>
      <c r="G694" t="s">
        <v>206</v>
      </c>
      <c r="H694" s="6">
        <v>40052.46335200005</v>
      </c>
      <c r="I694" s="6">
        <v>0</v>
      </c>
      <c r="J694" s="6">
        <v>40052.46335200005</v>
      </c>
    </row>
    <row r="695" spans="1:10">
      <c r="A695" t="s">
        <v>545</v>
      </c>
      <c r="B695" s="5">
        <v>45627</v>
      </c>
      <c r="C695" t="s">
        <v>173</v>
      </c>
      <c r="D695" t="s">
        <v>174</v>
      </c>
      <c r="E695" t="s">
        <v>120</v>
      </c>
      <c r="F695" t="s">
        <v>154</v>
      </c>
      <c r="G695" t="s">
        <v>206</v>
      </c>
      <c r="H695" s="6">
        <v>0</v>
      </c>
      <c r="I695" s="6">
        <v>40052.46335200005</v>
      </c>
      <c r="J695" s="6">
        <v>-40052.46335200005</v>
      </c>
    </row>
    <row r="696" spans="1:10">
      <c r="A696" t="s">
        <v>546</v>
      </c>
      <c r="B696" s="5">
        <v>45627</v>
      </c>
      <c r="C696" t="s">
        <v>208</v>
      </c>
      <c r="D696" t="s">
        <v>209</v>
      </c>
      <c r="E696" t="s">
        <v>120</v>
      </c>
      <c r="F696" t="s">
        <v>154</v>
      </c>
      <c r="G696" t="s">
        <v>210</v>
      </c>
      <c r="H696" s="6">
        <v>90000</v>
      </c>
      <c r="I696" s="6">
        <v>0</v>
      </c>
      <c r="J696" s="6">
        <v>90000</v>
      </c>
    </row>
    <row r="697" spans="1:10">
      <c r="A697" t="s">
        <v>546</v>
      </c>
      <c r="B697" s="5">
        <v>45627</v>
      </c>
      <c r="C697" t="s">
        <v>173</v>
      </c>
      <c r="D697" t="s">
        <v>174</v>
      </c>
      <c r="E697" t="s">
        <v>120</v>
      </c>
      <c r="F697" t="s">
        <v>154</v>
      </c>
      <c r="G697" t="s">
        <v>210</v>
      </c>
      <c r="H697" s="6">
        <v>0</v>
      </c>
      <c r="I697" s="6">
        <v>90000</v>
      </c>
      <c r="J697" s="6">
        <v>-90000</v>
      </c>
    </row>
    <row r="698" spans="1:10">
      <c r="A698" t="s">
        <v>547</v>
      </c>
      <c r="B698" s="5">
        <v>45627</v>
      </c>
      <c r="C698" t="s">
        <v>212</v>
      </c>
      <c r="D698" t="s">
        <v>213</v>
      </c>
      <c r="E698" t="s">
        <v>121</v>
      </c>
      <c r="F698" t="s">
        <v>154</v>
      </c>
      <c r="G698" t="s">
        <v>214</v>
      </c>
      <c r="H698" s="6">
        <v>18000</v>
      </c>
      <c r="I698" s="6">
        <v>0</v>
      </c>
      <c r="J698" s="6">
        <v>18000</v>
      </c>
    </row>
    <row r="699" spans="1:10">
      <c r="A699" t="s">
        <v>547</v>
      </c>
      <c r="B699" s="5">
        <v>45627</v>
      </c>
      <c r="C699" t="s">
        <v>173</v>
      </c>
      <c r="D699" t="s">
        <v>174</v>
      </c>
      <c r="E699" t="s">
        <v>120</v>
      </c>
      <c r="F699" t="s">
        <v>154</v>
      </c>
      <c r="G699" t="s">
        <v>214</v>
      </c>
      <c r="H699" s="6">
        <v>0</v>
      </c>
      <c r="I699" s="6">
        <v>18000</v>
      </c>
      <c r="J699" s="6">
        <v>-18000</v>
      </c>
    </row>
    <row r="700" spans="1:10">
      <c r="A700" t="s">
        <v>548</v>
      </c>
      <c r="B700" s="5">
        <v>45627</v>
      </c>
      <c r="C700" t="s">
        <v>148</v>
      </c>
      <c r="D700" t="s">
        <v>149</v>
      </c>
      <c r="E700" t="s">
        <v>150</v>
      </c>
      <c r="F700" t="s">
        <v>154</v>
      </c>
      <c r="G700" t="s">
        <v>216</v>
      </c>
      <c r="H700" s="6">
        <v>1381719.58</v>
      </c>
      <c r="I700" s="6">
        <v>0</v>
      </c>
      <c r="J700" s="6">
        <v>1381719.58</v>
      </c>
    </row>
    <row r="701" spans="1:10">
      <c r="A701" t="s">
        <v>548</v>
      </c>
      <c r="B701" s="5">
        <v>45627</v>
      </c>
      <c r="C701" t="s">
        <v>217</v>
      </c>
      <c r="D701" t="s">
        <v>218</v>
      </c>
      <c r="E701" t="s">
        <v>122</v>
      </c>
      <c r="F701" t="s">
        <v>154</v>
      </c>
      <c r="G701" t="s">
        <v>216</v>
      </c>
      <c r="H701" s="6">
        <v>0</v>
      </c>
      <c r="I701" s="6">
        <v>1381719.58</v>
      </c>
      <c r="J701" s="6">
        <v>-1381719.58</v>
      </c>
    </row>
    <row r="702" spans="1:10">
      <c r="A702" t="s">
        <v>549</v>
      </c>
      <c r="B702" s="5">
        <v>45627</v>
      </c>
      <c r="C702" t="s">
        <v>217</v>
      </c>
      <c r="D702" t="s">
        <v>218</v>
      </c>
      <c r="E702" t="s">
        <v>122</v>
      </c>
      <c r="F702" t="s">
        <v>154</v>
      </c>
      <c r="G702" t="s">
        <v>216</v>
      </c>
      <c r="H702" s="6">
        <v>117446.1643</v>
      </c>
      <c r="I702" s="6">
        <v>0</v>
      </c>
      <c r="J702" s="6">
        <v>117446.1643</v>
      </c>
    </row>
    <row r="703" spans="1:10">
      <c r="A703" t="s">
        <v>549</v>
      </c>
      <c r="B703" s="5">
        <v>45627</v>
      </c>
      <c r="C703" t="s">
        <v>152</v>
      </c>
      <c r="D703" t="s">
        <v>153</v>
      </c>
      <c r="E703" t="s">
        <v>150</v>
      </c>
      <c r="F703" t="s">
        <v>154</v>
      </c>
      <c r="G703" t="s">
        <v>216</v>
      </c>
      <c r="H703" s="6">
        <v>0</v>
      </c>
      <c r="I703" s="6">
        <v>117446.1643</v>
      </c>
      <c r="J703" s="6">
        <v>-117446.1643</v>
      </c>
    </row>
    <row r="704" spans="1:10">
      <c r="A704" t="s">
        <v>550</v>
      </c>
      <c r="B704" s="5">
        <v>45627</v>
      </c>
      <c r="C704" t="s">
        <v>217</v>
      </c>
      <c r="D704" t="s">
        <v>218</v>
      </c>
      <c r="E704" t="s">
        <v>122</v>
      </c>
      <c r="F704" t="s">
        <v>154</v>
      </c>
      <c r="G704" t="s">
        <v>216</v>
      </c>
      <c r="H704" s="6">
        <v>915130</v>
      </c>
      <c r="I704" s="6">
        <v>0</v>
      </c>
      <c r="J704" s="6">
        <v>915130</v>
      </c>
    </row>
    <row r="705" spans="1:10">
      <c r="A705" t="s">
        <v>550</v>
      </c>
      <c r="B705" s="5">
        <v>45627</v>
      </c>
      <c r="C705" t="s">
        <v>164</v>
      </c>
      <c r="D705" t="s">
        <v>36</v>
      </c>
      <c r="E705" t="s">
        <v>150</v>
      </c>
      <c r="F705" t="s">
        <v>154</v>
      </c>
      <c r="G705" t="s">
        <v>216</v>
      </c>
      <c r="H705" s="6">
        <v>0</v>
      </c>
      <c r="I705" s="6">
        <v>915130</v>
      </c>
      <c r="J705" s="6">
        <v>-915130</v>
      </c>
    </row>
    <row r="706" spans="1:10">
      <c r="A706" t="s">
        <v>551</v>
      </c>
      <c r="B706" s="5">
        <v>45627</v>
      </c>
      <c r="C706" t="s">
        <v>217</v>
      </c>
      <c r="D706" t="s">
        <v>218</v>
      </c>
      <c r="E706" t="s">
        <v>122</v>
      </c>
      <c r="F706" t="s">
        <v>154</v>
      </c>
      <c r="G706" t="s">
        <v>216</v>
      </c>
      <c r="H706" s="6">
        <v>98800</v>
      </c>
      <c r="I706" s="6">
        <v>0</v>
      </c>
      <c r="J706" s="6">
        <v>98800</v>
      </c>
    </row>
    <row r="707" spans="1:10">
      <c r="A707" t="s">
        <v>551</v>
      </c>
      <c r="B707" s="5">
        <v>45627</v>
      </c>
      <c r="C707" t="s">
        <v>167</v>
      </c>
      <c r="D707" t="s">
        <v>51</v>
      </c>
      <c r="E707" t="s">
        <v>150</v>
      </c>
      <c r="F707" t="s">
        <v>154</v>
      </c>
      <c r="G707" t="s">
        <v>216</v>
      </c>
      <c r="H707" s="6">
        <v>0</v>
      </c>
      <c r="I707" s="6">
        <v>98800</v>
      </c>
      <c r="J707" s="6">
        <v>-98800</v>
      </c>
    </row>
    <row r="708" spans="1:10">
      <c r="A708" t="s">
        <v>552</v>
      </c>
      <c r="B708" s="5">
        <v>45627</v>
      </c>
      <c r="C708" t="s">
        <v>217</v>
      </c>
      <c r="D708" t="s">
        <v>218</v>
      </c>
      <c r="E708" t="s">
        <v>122</v>
      </c>
      <c r="F708" t="s">
        <v>154</v>
      </c>
      <c r="G708" t="s">
        <v>216</v>
      </c>
      <c r="H708" s="6">
        <v>49741.9</v>
      </c>
      <c r="I708" s="6">
        <v>0</v>
      </c>
      <c r="J708" s="6">
        <v>49741.9</v>
      </c>
    </row>
    <row r="709" spans="1:10">
      <c r="A709" t="s">
        <v>552</v>
      </c>
      <c r="B709" s="5">
        <v>45627</v>
      </c>
      <c r="C709" t="s">
        <v>176</v>
      </c>
      <c r="D709" t="s">
        <v>52</v>
      </c>
      <c r="E709" t="s">
        <v>150</v>
      </c>
      <c r="F709" t="s">
        <v>154</v>
      </c>
      <c r="G709" t="s">
        <v>216</v>
      </c>
      <c r="H709" s="6">
        <v>0</v>
      </c>
      <c r="I709" s="6">
        <v>49741.9</v>
      </c>
      <c r="J709" s="6">
        <v>-49741.9</v>
      </c>
    </row>
    <row r="710" spans="1:10">
      <c r="A710" t="s">
        <v>553</v>
      </c>
      <c r="B710" s="5">
        <v>45627</v>
      </c>
      <c r="C710" t="s">
        <v>217</v>
      </c>
      <c r="D710" t="s">
        <v>218</v>
      </c>
      <c r="E710" t="s">
        <v>122</v>
      </c>
      <c r="F710" t="s">
        <v>154</v>
      </c>
      <c r="G710" t="s">
        <v>216</v>
      </c>
      <c r="H710" s="6">
        <v>32000</v>
      </c>
      <c r="I710" s="6">
        <v>0</v>
      </c>
      <c r="J710" s="6">
        <v>32000</v>
      </c>
    </row>
    <row r="711" spans="1:10">
      <c r="A711" t="s">
        <v>553</v>
      </c>
      <c r="B711" s="5">
        <v>45627</v>
      </c>
      <c r="C711" t="s">
        <v>179</v>
      </c>
      <c r="D711" t="s">
        <v>54</v>
      </c>
      <c r="E711" t="s">
        <v>150</v>
      </c>
      <c r="F711" t="s">
        <v>154</v>
      </c>
      <c r="G711" t="s">
        <v>216</v>
      </c>
      <c r="H711" s="6">
        <v>0</v>
      </c>
      <c r="I711" s="6">
        <v>32000</v>
      </c>
      <c r="J711" s="6">
        <v>-32000</v>
      </c>
    </row>
    <row r="712" spans="1:10">
      <c r="A712" t="s">
        <v>554</v>
      </c>
      <c r="B712" s="5">
        <v>45627</v>
      </c>
      <c r="C712" t="s">
        <v>217</v>
      </c>
      <c r="D712" t="s">
        <v>218</v>
      </c>
      <c r="E712" t="s">
        <v>122</v>
      </c>
      <c r="F712" t="s">
        <v>154</v>
      </c>
      <c r="G712" t="s">
        <v>216</v>
      </c>
      <c r="H712" s="6">
        <v>18000</v>
      </c>
      <c r="I712" s="6">
        <v>0</v>
      </c>
      <c r="J712" s="6">
        <v>18000</v>
      </c>
    </row>
    <row r="713" spans="1:10">
      <c r="A713" t="s">
        <v>554</v>
      </c>
      <c r="B713" s="5">
        <v>45627</v>
      </c>
      <c r="C713" t="s">
        <v>181</v>
      </c>
      <c r="D713" t="s">
        <v>56</v>
      </c>
      <c r="E713" t="s">
        <v>150</v>
      </c>
      <c r="F713" t="s">
        <v>154</v>
      </c>
      <c r="G713" t="s">
        <v>216</v>
      </c>
      <c r="H713" s="6">
        <v>0</v>
      </c>
      <c r="I713" s="6">
        <v>18000</v>
      </c>
      <c r="J713" s="6">
        <v>-18000</v>
      </c>
    </row>
    <row r="714" spans="1:10">
      <c r="A714" t="s">
        <v>555</v>
      </c>
      <c r="B714" s="5">
        <v>45627</v>
      </c>
      <c r="C714" t="s">
        <v>217</v>
      </c>
      <c r="D714" t="s">
        <v>218</v>
      </c>
      <c r="E714" t="s">
        <v>122</v>
      </c>
      <c r="F714" t="s">
        <v>154</v>
      </c>
      <c r="G714" t="s">
        <v>216</v>
      </c>
      <c r="H714" s="6">
        <v>30397.83</v>
      </c>
      <c r="I714" s="6">
        <v>0</v>
      </c>
      <c r="J714" s="6">
        <v>30397.83</v>
      </c>
    </row>
    <row r="715" spans="1:10">
      <c r="A715" t="s">
        <v>555</v>
      </c>
      <c r="B715" s="5">
        <v>45627</v>
      </c>
      <c r="C715" t="s">
        <v>183</v>
      </c>
      <c r="D715" t="s">
        <v>59</v>
      </c>
      <c r="E715" t="s">
        <v>150</v>
      </c>
      <c r="F715" t="s">
        <v>154</v>
      </c>
      <c r="G715" t="s">
        <v>216</v>
      </c>
      <c r="H715" s="6">
        <v>0</v>
      </c>
      <c r="I715" s="6">
        <v>30397.83</v>
      </c>
      <c r="J715" s="6">
        <v>-30397.83</v>
      </c>
    </row>
    <row r="716" spans="1:10">
      <c r="A716" t="s">
        <v>556</v>
      </c>
      <c r="B716" s="5">
        <v>45627</v>
      </c>
      <c r="C716" t="s">
        <v>217</v>
      </c>
      <c r="D716" t="s">
        <v>218</v>
      </c>
      <c r="E716" t="s">
        <v>122</v>
      </c>
      <c r="F716" t="s">
        <v>154</v>
      </c>
      <c r="G716" t="s">
        <v>216</v>
      </c>
      <c r="H716" s="6">
        <v>19140</v>
      </c>
      <c r="I716" s="6">
        <v>0</v>
      </c>
      <c r="J716" s="6">
        <v>19140</v>
      </c>
    </row>
    <row r="717" spans="1:10">
      <c r="A717" t="s">
        <v>556</v>
      </c>
      <c r="B717" s="5">
        <v>45627</v>
      </c>
      <c r="C717" t="s">
        <v>185</v>
      </c>
      <c r="D717" t="s">
        <v>186</v>
      </c>
      <c r="E717" t="s">
        <v>150</v>
      </c>
      <c r="F717" t="s">
        <v>154</v>
      </c>
      <c r="G717" t="s">
        <v>216</v>
      </c>
      <c r="H717" s="6">
        <v>0</v>
      </c>
      <c r="I717" s="6">
        <v>19140</v>
      </c>
      <c r="J717" s="6">
        <v>-19140</v>
      </c>
    </row>
    <row r="718" spans="1:10">
      <c r="A718" t="s">
        <v>557</v>
      </c>
      <c r="B718" s="5">
        <v>45627</v>
      </c>
      <c r="C718" t="s">
        <v>217</v>
      </c>
      <c r="D718" t="s">
        <v>218</v>
      </c>
      <c r="E718" t="s">
        <v>122</v>
      </c>
      <c r="F718" t="s">
        <v>154</v>
      </c>
      <c r="G718" t="s">
        <v>216</v>
      </c>
      <c r="H718" s="6">
        <v>7224</v>
      </c>
      <c r="I718" s="6">
        <v>0</v>
      </c>
      <c r="J718" s="6">
        <v>7224</v>
      </c>
    </row>
    <row r="719" spans="1:10">
      <c r="A719" t="s">
        <v>557</v>
      </c>
      <c r="B719" s="5">
        <v>45627</v>
      </c>
      <c r="C719" t="s">
        <v>191</v>
      </c>
      <c r="D719" t="s">
        <v>104</v>
      </c>
      <c r="E719" t="s">
        <v>150</v>
      </c>
      <c r="F719" t="s">
        <v>154</v>
      </c>
      <c r="G719" t="s">
        <v>216</v>
      </c>
      <c r="H719" s="6">
        <v>0</v>
      </c>
      <c r="I719" s="6">
        <v>7224</v>
      </c>
      <c r="J719" s="6">
        <v>-7224</v>
      </c>
    </row>
    <row r="720" spans="1:10">
      <c r="A720" t="s">
        <v>558</v>
      </c>
      <c r="B720" s="5">
        <v>45627</v>
      </c>
      <c r="C720" t="s">
        <v>217</v>
      </c>
      <c r="D720" t="s">
        <v>218</v>
      </c>
      <c r="E720" t="s">
        <v>122</v>
      </c>
      <c r="F720" t="s">
        <v>154</v>
      </c>
      <c r="G720" t="s">
        <v>216</v>
      </c>
      <c r="H720" s="6">
        <v>31905.493138</v>
      </c>
      <c r="I720" s="6">
        <v>0</v>
      </c>
      <c r="J720" s="6">
        <v>31905.493138</v>
      </c>
    </row>
    <row r="721" spans="1:10">
      <c r="A721" t="s">
        <v>558</v>
      </c>
      <c r="B721" s="5">
        <v>45627</v>
      </c>
      <c r="C721" t="s">
        <v>194</v>
      </c>
      <c r="D721" t="s">
        <v>195</v>
      </c>
      <c r="E721" t="s">
        <v>150</v>
      </c>
      <c r="F721" t="s">
        <v>154</v>
      </c>
      <c r="G721" t="s">
        <v>216</v>
      </c>
      <c r="H721" s="6">
        <v>0</v>
      </c>
      <c r="I721" s="6">
        <v>31905.493138</v>
      </c>
      <c r="J721" s="6">
        <v>-31905.493138</v>
      </c>
    </row>
    <row r="722" spans="1:10">
      <c r="A722" t="s">
        <v>559</v>
      </c>
      <c r="B722" s="5">
        <v>45658</v>
      </c>
      <c r="C722" t="s">
        <v>146</v>
      </c>
      <c r="D722" t="s">
        <v>86</v>
      </c>
      <c r="E722" t="s">
        <v>120</v>
      </c>
      <c r="F722" t="s">
        <v>52</v>
      </c>
      <c r="G722" t="s">
        <v>147</v>
      </c>
      <c r="H722" s="6">
        <v>1151091.49</v>
      </c>
      <c r="I722" s="6">
        <v>0</v>
      </c>
      <c r="J722" s="6">
        <v>1151091.49</v>
      </c>
    </row>
    <row r="723" spans="1:10">
      <c r="A723" t="s">
        <v>559</v>
      </c>
      <c r="B723" s="5">
        <v>45658</v>
      </c>
      <c r="C723" t="s">
        <v>148</v>
      </c>
      <c r="D723" t="s">
        <v>149</v>
      </c>
      <c r="E723" t="s">
        <v>150</v>
      </c>
      <c r="F723" t="s">
        <v>52</v>
      </c>
      <c r="G723" t="s">
        <v>147</v>
      </c>
      <c r="H723" s="6">
        <v>0</v>
      </c>
      <c r="I723" s="6">
        <v>1151091.49</v>
      </c>
      <c r="J723" s="6">
        <v>-1151091.49</v>
      </c>
    </row>
    <row r="724" spans="1:10">
      <c r="A724" t="s">
        <v>560</v>
      </c>
      <c r="B724" s="5">
        <v>45658</v>
      </c>
      <c r="C724" t="s">
        <v>152</v>
      </c>
      <c r="D724" t="s">
        <v>153</v>
      </c>
      <c r="E724" t="s">
        <v>150</v>
      </c>
      <c r="F724" t="s">
        <v>154</v>
      </c>
      <c r="G724" t="s">
        <v>155</v>
      </c>
      <c r="H724" s="6">
        <v>97842.77665</v>
      </c>
      <c r="I724" s="6">
        <v>0</v>
      </c>
      <c r="J724" s="6">
        <v>97842.77665</v>
      </c>
    </row>
    <row r="725" spans="1:10">
      <c r="A725" t="s">
        <v>560</v>
      </c>
      <c r="B725" s="5">
        <v>45658</v>
      </c>
      <c r="C725" t="s">
        <v>156</v>
      </c>
      <c r="D725" t="s">
        <v>157</v>
      </c>
      <c r="E725" t="s">
        <v>121</v>
      </c>
      <c r="F725" t="s">
        <v>154</v>
      </c>
      <c r="G725" t="s">
        <v>155</v>
      </c>
      <c r="H725" s="6">
        <v>0</v>
      </c>
      <c r="I725" s="6">
        <v>97842.77665</v>
      </c>
      <c r="J725" s="6">
        <v>-97842.77665</v>
      </c>
    </row>
    <row r="726" spans="1:10">
      <c r="A726" t="s">
        <v>561</v>
      </c>
      <c r="B726" s="5">
        <v>45658</v>
      </c>
      <c r="C726" t="s">
        <v>159</v>
      </c>
      <c r="D726" t="s">
        <v>160</v>
      </c>
      <c r="E726" t="s">
        <v>120</v>
      </c>
      <c r="F726" t="s">
        <v>58</v>
      </c>
      <c r="G726" t="s">
        <v>161</v>
      </c>
      <c r="H726" s="6">
        <v>747883.652</v>
      </c>
      <c r="I726" s="6">
        <v>0</v>
      </c>
      <c r="J726" s="6">
        <v>747883.652</v>
      </c>
    </row>
    <row r="727" spans="1:10">
      <c r="A727" t="s">
        <v>561</v>
      </c>
      <c r="B727" s="5">
        <v>45658</v>
      </c>
      <c r="C727" t="s">
        <v>162</v>
      </c>
      <c r="D727" t="s">
        <v>88</v>
      </c>
      <c r="E727" t="s">
        <v>121</v>
      </c>
      <c r="F727" t="s">
        <v>58</v>
      </c>
      <c r="G727" t="s">
        <v>161</v>
      </c>
      <c r="H727" s="6">
        <v>0</v>
      </c>
      <c r="I727" s="6">
        <v>747883.652</v>
      </c>
      <c r="J727" s="6">
        <v>-747883.652</v>
      </c>
    </row>
    <row r="728" spans="1:10">
      <c r="A728" t="s">
        <v>562</v>
      </c>
      <c r="B728" s="5">
        <v>45658</v>
      </c>
      <c r="C728" t="s">
        <v>164</v>
      </c>
      <c r="D728" t="s">
        <v>36</v>
      </c>
      <c r="E728" t="s">
        <v>150</v>
      </c>
      <c r="F728" t="s">
        <v>58</v>
      </c>
      <c r="G728" t="s">
        <v>165</v>
      </c>
      <c r="H728" s="6">
        <v>786981.58</v>
      </c>
      <c r="I728" s="6">
        <v>0</v>
      </c>
      <c r="J728" s="6">
        <v>786981.58</v>
      </c>
    </row>
    <row r="729" spans="1:10">
      <c r="A729" t="s">
        <v>562</v>
      </c>
      <c r="B729" s="5">
        <v>45658</v>
      </c>
      <c r="C729" t="s">
        <v>159</v>
      </c>
      <c r="D729" t="s">
        <v>160</v>
      </c>
      <c r="E729" t="s">
        <v>120</v>
      </c>
      <c r="F729" t="s">
        <v>58</v>
      </c>
      <c r="G729" t="s">
        <v>165</v>
      </c>
      <c r="H729" s="6">
        <v>0</v>
      </c>
      <c r="I729" s="6">
        <v>786981.58</v>
      </c>
      <c r="J729" s="6">
        <v>-786981.58</v>
      </c>
    </row>
    <row r="730" spans="1:10">
      <c r="A730" t="s">
        <v>563</v>
      </c>
      <c r="B730" s="5">
        <v>45658</v>
      </c>
      <c r="C730" t="s">
        <v>167</v>
      </c>
      <c r="D730" t="s">
        <v>51</v>
      </c>
      <c r="E730" t="s">
        <v>150</v>
      </c>
      <c r="F730" t="s">
        <v>51</v>
      </c>
      <c r="G730" t="s">
        <v>168</v>
      </c>
      <c r="H730" s="6">
        <v>105925</v>
      </c>
      <c r="I730" s="6">
        <v>0</v>
      </c>
      <c r="J730" s="6">
        <v>105925</v>
      </c>
    </row>
    <row r="731" spans="1:10">
      <c r="A731" t="s">
        <v>563</v>
      </c>
      <c r="B731" s="5">
        <v>45658</v>
      </c>
      <c r="C731" t="s">
        <v>169</v>
      </c>
      <c r="D731" t="s">
        <v>170</v>
      </c>
      <c r="E731" t="s">
        <v>121</v>
      </c>
      <c r="F731" t="s">
        <v>51</v>
      </c>
      <c r="G731" t="s">
        <v>168</v>
      </c>
      <c r="H731" s="6">
        <v>0</v>
      </c>
      <c r="I731" s="6">
        <v>105925</v>
      </c>
      <c r="J731" s="6">
        <v>-105925</v>
      </c>
    </row>
    <row r="732" spans="1:10">
      <c r="A732" t="s">
        <v>564</v>
      </c>
      <c r="B732" s="5">
        <v>45658</v>
      </c>
      <c r="C732" t="s">
        <v>169</v>
      </c>
      <c r="D732" t="s">
        <v>170</v>
      </c>
      <c r="E732" t="s">
        <v>121</v>
      </c>
      <c r="F732" t="s">
        <v>51</v>
      </c>
      <c r="G732" t="s">
        <v>172</v>
      </c>
      <c r="H732" s="6">
        <v>104500</v>
      </c>
      <c r="I732" s="6">
        <v>0</v>
      </c>
      <c r="J732" s="6">
        <v>104500</v>
      </c>
    </row>
    <row r="733" spans="1:10">
      <c r="A733" t="s">
        <v>564</v>
      </c>
      <c r="B733" s="5">
        <v>45658</v>
      </c>
      <c r="C733" t="s">
        <v>173</v>
      </c>
      <c r="D733" t="s">
        <v>174</v>
      </c>
      <c r="E733" t="s">
        <v>120</v>
      </c>
      <c r="F733" t="s">
        <v>51</v>
      </c>
      <c r="G733" t="s">
        <v>172</v>
      </c>
      <c r="H733" s="6">
        <v>0</v>
      </c>
      <c r="I733" s="6">
        <v>104500</v>
      </c>
      <c r="J733" s="6">
        <v>-104500</v>
      </c>
    </row>
    <row r="734" spans="1:10">
      <c r="A734" t="s">
        <v>565</v>
      </c>
      <c r="B734" s="5">
        <v>45658</v>
      </c>
      <c r="C734" t="s">
        <v>176</v>
      </c>
      <c r="D734" t="s">
        <v>52</v>
      </c>
      <c r="E734" t="s">
        <v>150</v>
      </c>
      <c r="F734" t="s">
        <v>52</v>
      </c>
      <c r="G734" t="s">
        <v>177</v>
      </c>
      <c r="H734" s="6">
        <v>41439.29</v>
      </c>
      <c r="I734" s="6">
        <v>0</v>
      </c>
      <c r="J734" s="6">
        <v>41439.29</v>
      </c>
    </row>
    <row r="735" spans="1:10">
      <c r="A735" t="s">
        <v>565</v>
      </c>
      <c r="B735" s="5">
        <v>45658</v>
      </c>
      <c r="C735" t="s">
        <v>173</v>
      </c>
      <c r="D735" t="s">
        <v>174</v>
      </c>
      <c r="E735" t="s">
        <v>120</v>
      </c>
      <c r="F735" t="s">
        <v>52</v>
      </c>
      <c r="G735" t="s">
        <v>177</v>
      </c>
      <c r="H735" s="6">
        <v>0</v>
      </c>
      <c r="I735" s="6">
        <v>41439.29</v>
      </c>
      <c r="J735" s="6">
        <v>-41439.29</v>
      </c>
    </row>
    <row r="736" spans="1:10">
      <c r="A736" t="s">
        <v>566</v>
      </c>
      <c r="B736" s="5">
        <v>45658</v>
      </c>
      <c r="C736" t="s">
        <v>179</v>
      </c>
      <c r="D736" t="s">
        <v>54</v>
      </c>
      <c r="E736" t="s">
        <v>150</v>
      </c>
      <c r="F736" t="s">
        <v>54</v>
      </c>
      <c r="G736" t="s">
        <v>177</v>
      </c>
      <c r="H736" s="6">
        <v>33920</v>
      </c>
      <c r="I736" s="6">
        <v>0</v>
      </c>
      <c r="J736" s="6">
        <v>33920</v>
      </c>
    </row>
    <row r="737" spans="1:10">
      <c r="A737" t="s">
        <v>566</v>
      </c>
      <c r="B737" s="5">
        <v>45658</v>
      </c>
      <c r="C737" t="s">
        <v>173</v>
      </c>
      <c r="D737" t="s">
        <v>174</v>
      </c>
      <c r="E737" t="s">
        <v>120</v>
      </c>
      <c r="F737" t="s">
        <v>54</v>
      </c>
      <c r="G737" t="s">
        <v>177</v>
      </c>
      <c r="H737" s="6">
        <v>0</v>
      </c>
      <c r="I737" s="6">
        <v>33920</v>
      </c>
      <c r="J737" s="6">
        <v>-33920</v>
      </c>
    </row>
    <row r="738" spans="1:10">
      <c r="A738" t="s">
        <v>567</v>
      </c>
      <c r="B738" s="5">
        <v>45658</v>
      </c>
      <c r="C738" t="s">
        <v>181</v>
      </c>
      <c r="D738" t="s">
        <v>56</v>
      </c>
      <c r="E738" t="s">
        <v>150</v>
      </c>
      <c r="F738" t="s">
        <v>56</v>
      </c>
      <c r="G738" t="s">
        <v>177</v>
      </c>
      <c r="H738" s="6">
        <v>20160</v>
      </c>
      <c r="I738" s="6">
        <v>0</v>
      </c>
      <c r="J738" s="6">
        <v>20160</v>
      </c>
    </row>
    <row r="739" spans="1:10">
      <c r="A739" t="s">
        <v>567</v>
      </c>
      <c r="B739" s="5">
        <v>45658</v>
      </c>
      <c r="C739" t="s">
        <v>173</v>
      </c>
      <c r="D739" t="s">
        <v>174</v>
      </c>
      <c r="E739" t="s">
        <v>120</v>
      </c>
      <c r="F739" t="s">
        <v>56</v>
      </c>
      <c r="G739" t="s">
        <v>177</v>
      </c>
      <c r="H739" s="6">
        <v>0</v>
      </c>
      <c r="I739" s="6">
        <v>20160</v>
      </c>
      <c r="J739" s="6">
        <v>-20160</v>
      </c>
    </row>
    <row r="740" spans="1:10">
      <c r="A740" t="s">
        <v>568</v>
      </c>
      <c r="B740" s="5">
        <v>45658</v>
      </c>
      <c r="C740" t="s">
        <v>183</v>
      </c>
      <c r="D740" t="s">
        <v>59</v>
      </c>
      <c r="E740" t="s">
        <v>150</v>
      </c>
      <c r="F740" t="s">
        <v>66</v>
      </c>
      <c r="G740" t="s">
        <v>177</v>
      </c>
      <c r="H740" s="6">
        <v>25324.01</v>
      </c>
      <c r="I740" s="6">
        <v>0</v>
      </c>
      <c r="J740" s="6">
        <v>25324.01</v>
      </c>
    </row>
    <row r="741" spans="1:10">
      <c r="A741" t="s">
        <v>568</v>
      </c>
      <c r="B741" s="5">
        <v>45658</v>
      </c>
      <c r="C741" t="s">
        <v>173</v>
      </c>
      <c r="D741" t="s">
        <v>174</v>
      </c>
      <c r="E741" t="s">
        <v>120</v>
      </c>
      <c r="F741" t="s">
        <v>66</v>
      </c>
      <c r="G741" t="s">
        <v>177</v>
      </c>
      <c r="H741" s="6">
        <v>0</v>
      </c>
      <c r="I741" s="6">
        <v>25324.01</v>
      </c>
      <c r="J741" s="6">
        <v>-25324.01</v>
      </c>
    </row>
    <row r="742" spans="1:10">
      <c r="A742" t="s">
        <v>569</v>
      </c>
      <c r="B742" s="5">
        <v>45658</v>
      </c>
      <c r="C742" t="s">
        <v>185</v>
      </c>
      <c r="D742" t="s">
        <v>186</v>
      </c>
      <c r="E742" t="s">
        <v>150</v>
      </c>
      <c r="F742" t="s">
        <v>154</v>
      </c>
      <c r="G742" t="s">
        <v>187</v>
      </c>
      <c r="H742" s="6">
        <v>20040</v>
      </c>
      <c r="I742" s="6">
        <v>0</v>
      </c>
      <c r="J742" s="6">
        <v>20040</v>
      </c>
    </row>
    <row r="743" spans="1:10">
      <c r="A743" t="s">
        <v>569</v>
      </c>
      <c r="B743" s="5">
        <v>45658</v>
      </c>
      <c r="C743" t="s">
        <v>188</v>
      </c>
      <c r="D743" t="s">
        <v>189</v>
      </c>
      <c r="E743" t="s">
        <v>120</v>
      </c>
      <c r="F743" t="s">
        <v>154</v>
      </c>
      <c r="G743" t="s">
        <v>187</v>
      </c>
      <c r="H743" s="6">
        <v>0</v>
      </c>
      <c r="I743" s="6">
        <v>20040</v>
      </c>
      <c r="J743" s="6">
        <v>-20040</v>
      </c>
    </row>
    <row r="744" spans="1:10">
      <c r="A744" t="s">
        <v>570</v>
      </c>
      <c r="B744" s="5">
        <v>45658</v>
      </c>
      <c r="C744" t="s">
        <v>191</v>
      </c>
      <c r="D744" t="s">
        <v>104</v>
      </c>
      <c r="E744" t="s">
        <v>150</v>
      </c>
      <c r="F744" t="s">
        <v>154</v>
      </c>
      <c r="G744" t="s">
        <v>192</v>
      </c>
      <c r="H744" s="6">
        <v>7008</v>
      </c>
      <c r="I744" s="6">
        <v>0</v>
      </c>
      <c r="J744" s="6">
        <v>7008</v>
      </c>
    </row>
    <row r="745" spans="1:10">
      <c r="A745" t="s">
        <v>570</v>
      </c>
      <c r="B745" s="5">
        <v>45658</v>
      </c>
      <c r="C745" t="s">
        <v>173</v>
      </c>
      <c r="D745" t="s">
        <v>174</v>
      </c>
      <c r="E745" t="s">
        <v>120</v>
      </c>
      <c r="F745" t="s">
        <v>154</v>
      </c>
      <c r="G745" t="s">
        <v>192</v>
      </c>
      <c r="H745" s="6">
        <v>0</v>
      </c>
      <c r="I745" s="6">
        <v>7008</v>
      </c>
      <c r="J745" s="6">
        <v>-7008</v>
      </c>
    </row>
    <row r="746" spans="1:10">
      <c r="A746" t="s">
        <v>571</v>
      </c>
      <c r="B746" s="5">
        <v>45658</v>
      </c>
      <c r="C746" t="s">
        <v>194</v>
      </c>
      <c r="D746" t="s">
        <v>195</v>
      </c>
      <c r="E746" t="s">
        <v>150</v>
      </c>
      <c r="F746" t="s">
        <v>154</v>
      </c>
      <c r="G746" t="s">
        <v>196</v>
      </c>
      <c r="H746" s="6">
        <v>4233.28333900005</v>
      </c>
      <c r="I746" s="6">
        <v>0</v>
      </c>
      <c r="J746" s="6">
        <v>4233.28333900005</v>
      </c>
    </row>
    <row r="747" spans="1:10">
      <c r="A747" t="s">
        <v>571</v>
      </c>
      <c r="B747" s="5">
        <v>45658</v>
      </c>
      <c r="C747" t="s">
        <v>197</v>
      </c>
      <c r="D747" t="s">
        <v>198</v>
      </c>
      <c r="E747" t="s">
        <v>121</v>
      </c>
      <c r="F747" t="s">
        <v>154</v>
      </c>
      <c r="G747" t="s">
        <v>196</v>
      </c>
      <c r="H747" s="6">
        <v>0</v>
      </c>
      <c r="I747" s="6">
        <v>4233.28333900005</v>
      </c>
      <c r="J747" s="6">
        <v>-4233.28333900005</v>
      </c>
    </row>
    <row r="748" spans="1:10">
      <c r="A748" t="s">
        <v>572</v>
      </c>
      <c r="B748" s="5">
        <v>45658</v>
      </c>
      <c r="C748" t="s">
        <v>173</v>
      </c>
      <c r="D748" t="s">
        <v>174</v>
      </c>
      <c r="E748" t="s">
        <v>120</v>
      </c>
      <c r="F748" t="s">
        <v>154</v>
      </c>
      <c r="G748" t="s">
        <v>200</v>
      </c>
      <c r="H748" s="6">
        <v>1190007.595666667</v>
      </c>
      <c r="I748" s="6">
        <v>0</v>
      </c>
      <c r="J748" s="6">
        <v>1190007.595666667</v>
      </c>
    </row>
    <row r="749" spans="1:10">
      <c r="A749" t="s">
        <v>572</v>
      </c>
      <c r="B749" s="5">
        <v>45658</v>
      </c>
      <c r="C749" t="s">
        <v>146</v>
      </c>
      <c r="D749" t="s">
        <v>86</v>
      </c>
      <c r="E749" t="s">
        <v>120</v>
      </c>
      <c r="F749" t="s">
        <v>154</v>
      </c>
      <c r="G749" t="s">
        <v>200</v>
      </c>
      <c r="H749" s="6">
        <v>0</v>
      </c>
      <c r="I749" s="6">
        <v>1190007.595666667</v>
      </c>
      <c r="J749" s="6">
        <v>-1190007.595666667</v>
      </c>
    </row>
    <row r="750" spans="1:10">
      <c r="A750" t="s">
        <v>573</v>
      </c>
      <c r="B750" s="5">
        <v>45658</v>
      </c>
      <c r="C750" t="s">
        <v>162</v>
      </c>
      <c r="D750" t="s">
        <v>88</v>
      </c>
      <c r="E750" t="s">
        <v>121</v>
      </c>
      <c r="F750" t="s">
        <v>154</v>
      </c>
      <c r="G750" t="s">
        <v>202</v>
      </c>
      <c r="H750" s="6">
        <v>897390.1420000002</v>
      </c>
      <c r="I750" s="6">
        <v>0</v>
      </c>
      <c r="J750" s="6">
        <v>897390.1420000002</v>
      </c>
    </row>
    <row r="751" spans="1:10">
      <c r="A751" t="s">
        <v>573</v>
      </c>
      <c r="B751" s="5">
        <v>45658</v>
      </c>
      <c r="C751" t="s">
        <v>173</v>
      </c>
      <c r="D751" t="s">
        <v>174</v>
      </c>
      <c r="E751" t="s">
        <v>120</v>
      </c>
      <c r="F751" t="s">
        <v>154</v>
      </c>
      <c r="G751" t="s">
        <v>202</v>
      </c>
      <c r="H751" s="6">
        <v>0</v>
      </c>
      <c r="I751" s="6">
        <v>897390.1420000002</v>
      </c>
      <c r="J751" s="6">
        <v>-897390.1420000002</v>
      </c>
    </row>
    <row r="752" spans="1:10">
      <c r="A752" t="s">
        <v>574</v>
      </c>
      <c r="B752" s="5">
        <v>45658</v>
      </c>
      <c r="C752" t="s">
        <v>156</v>
      </c>
      <c r="D752" t="s">
        <v>157</v>
      </c>
      <c r="E752" t="s">
        <v>121</v>
      </c>
      <c r="F752" t="s">
        <v>154</v>
      </c>
      <c r="G752" t="s">
        <v>204</v>
      </c>
      <c r="H752" s="6">
        <v>117446.1643</v>
      </c>
      <c r="I752" s="6">
        <v>0</v>
      </c>
      <c r="J752" s="6">
        <v>117446.1643</v>
      </c>
    </row>
    <row r="753" spans="1:10">
      <c r="A753" t="s">
        <v>574</v>
      </c>
      <c r="B753" s="5">
        <v>45658</v>
      </c>
      <c r="C753" t="s">
        <v>173</v>
      </c>
      <c r="D753" t="s">
        <v>174</v>
      </c>
      <c r="E753" t="s">
        <v>120</v>
      </c>
      <c r="F753" t="s">
        <v>154</v>
      </c>
      <c r="G753" t="s">
        <v>204</v>
      </c>
      <c r="H753" s="6">
        <v>0</v>
      </c>
      <c r="I753" s="6">
        <v>117446.1643</v>
      </c>
      <c r="J753" s="6">
        <v>-117446.1643</v>
      </c>
    </row>
    <row r="754" spans="1:10">
      <c r="A754" t="s">
        <v>575</v>
      </c>
      <c r="B754" s="5">
        <v>45658</v>
      </c>
      <c r="C754" t="s">
        <v>197</v>
      </c>
      <c r="D754" t="s">
        <v>198</v>
      </c>
      <c r="E754" t="s">
        <v>121</v>
      </c>
      <c r="F754" t="s">
        <v>154</v>
      </c>
      <c r="G754" t="s">
        <v>206</v>
      </c>
      <c r="H754" s="6">
        <v>31905.493138</v>
      </c>
      <c r="I754" s="6">
        <v>0</v>
      </c>
      <c r="J754" s="6">
        <v>31905.493138</v>
      </c>
    </row>
    <row r="755" spans="1:10">
      <c r="A755" t="s">
        <v>575</v>
      </c>
      <c r="B755" s="5">
        <v>45658</v>
      </c>
      <c r="C755" t="s">
        <v>173</v>
      </c>
      <c r="D755" t="s">
        <v>174</v>
      </c>
      <c r="E755" t="s">
        <v>120</v>
      </c>
      <c r="F755" t="s">
        <v>154</v>
      </c>
      <c r="G755" t="s">
        <v>206</v>
      </c>
      <c r="H755" s="6">
        <v>0</v>
      </c>
      <c r="I755" s="6">
        <v>31905.493138</v>
      </c>
      <c r="J755" s="6">
        <v>-31905.493138</v>
      </c>
    </row>
    <row r="756" spans="1:10">
      <c r="A756" t="s">
        <v>576</v>
      </c>
      <c r="B756" s="5">
        <v>45658</v>
      </c>
      <c r="C756" t="s">
        <v>208</v>
      </c>
      <c r="D756" t="s">
        <v>209</v>
      </c>
      <c r="E756" t="s">
        <v>120</v>
      </c>
      <c r="F756" t="s">
        <v>154</v>
      </c>
      <c r="G756" t="s">
        <v>210</v>
      </c>
      <c r="H756" s="6">
        <v>18000</v>
      </c>
      <c r="I756" s="6">
        <v>0</v>
      </c>
      <c r="J756" s="6">
        <v>18000</v>
      </c>
    </row>
    <row r="757" spans="1:10">
      <c r="A757" t="s">
        <v>576</v>
      </c>
      <c r="B757" s="5">
        <v>45658</v>
      </c>
      <c r="C757" t="s">
        <v>173</v>
      </c>
      <c r="D757" t="s">
        <v>174</v>
      </c>
      <c r="E757" t="s">
        <v>120</v>
      </c>
      <c r="F757" t="s">
        <v>154</v>
      </c>
      <c r="G757" t="s">
        <v>210</v>
      </c>
      <c r="H757" s="6">
        <v>0</v>
      </c>
      <c r="I757" s="6">
        <v>18000</v>
      </c>
      <c r="J757" s="6">
        <v>-18000</v>
      </c>
    </row>
    <row r="758" spans="1:10">
      <c r="A758" t="s">
        <v>577</v>
      </c>
      <c r="B758" s="5">
        <v>45658</v>
      </c>
      <c r="C758" t="s">
        <v>212</v>
      </c>
      <c r="D758" t="s">
        <v>213</v>
      </c>
      <c r="E758" t="s">
        <v>121</v>
      </c>
      <c r="F758" t="s">
        <v>154</v>
      </c>
      <c r="G758" t="s">
        <v>214</v>
      </c>
      <c r="H758" s="6">
        <v>18000</v>
      </c>
      <c r="I758" s="6">
        <v>0</v>
      </c>
      <c r="J758" s="6">
        <v>18000</v>
      </c>
    </row>
    <row r="759" spans="1:10">
      <c r="A759" t="s">
        <v>577</v>
      </c>
      <c r="B759" s="5">
        <v>45658</v>
      </c>
      <c r="C759" t="s">
        <v>173</v>
      </c>
      <c r="D759" t="s">
        <v>174</v>
      </c>
      <c r="E759" t="s">
        <v>120</v>
      </c>
      <c r="F759" t="s">
        <v>154</v>
      </c>
      <c r="G759" t="s">
        <v>214</v>
      </c>
      <c r="H759" s="6">
        <v>0</v>
      </c>
      <c r="I759" s="6">
        <v>18000</v>
      </c>
      <c r="J759" s="6">
        <v>-18000</v>
      </c>
    </row>
    <row r="760" spans="1:10">
      <c r="A760" t="s">
        <v>578</v>
      </c>
      <c r="B760" s="5">
        <v>45658</v>
      </c>
      <c r="C760" t="s">
        <v>148</v>
      </c>
      <c r="D760" t="s">
        <v>149</v>
      </c>
      <c r="E760" t="s">
        <v>150</v>
      </c>
      <c r="F760" t="s">
        <v>154</v>
      </c>
      <c r="G760" t="s">
        <v>216</v>
      </c>
      <c r="H760" s="6">
        <v>1151091.49</v>
      </c>
      <c r="I760" s="6">
        <v>0</v>
      </c>
      <c r="J760" s="6">
        <v>1151091.49</v>
      </c>
    </row>
    <row r="761" spans="1:10">
      <c r="A761" t="s">
        <v>578</v>
      </c>
      <c r="B761" s="5">
        <v>45658</v>
      </c>
      <c r="C761" t="s">
        <v>217</v>
      </c>
      <c r="D761" t="s">
        <v>218</v>
      </c>
      <c r="E761" t="s">
        <v>122</v>
      </c>
      <c r="F761" t="s">
        <v>154</v>
      </c>
      <c r="G761" t="s">
        <v>216</v>
      </c>
      <c r="H761" s="6">
        <v>0</v>
      </c>
      <c r="I761" s="6">
        <v>1151091.49</v>
      </c>
      <c r="J761" s="6">
        <v>-1151091.49</v>
      </c>
    </row>
    <row r="762" spans="1:10">
      <c r="A762" t="s">
        <v>579</v>
      </c>
      <c r="B762" s="5">
        <v>45658</v>
      </c>
      <c r="C762" t="s">
        <v>217</v>
      </c>
      <c r="D762" t="s">
        <v>218</v>
      </c>
      <c r="E762" t="s">
        <v>122</v>
      </c>
      <c r="F762" t="s">
        <v>154</v>
      </c>
      <c r="G762" t="s">
        <v>216</v>
      </c>
      <c r="H762" s="6">
        <v>97842.77665</v>
      </c>
      <c r="I762" s="6">
        <v>0</v>
      </c>
      <c r="J762" s="6">
        <v>97842.77665</v>
      </c>
    </row>
    <row r="763" spans="1:10">
      <c r="A763" t="s">
        <v>579</v>
      </c>
      <c r="B763" s="5">
        <v>45658</v>
      </c>
      <c r="C763" t="s">
        <v>152</v>
      </c>
      <c r="D763" t="s">
        <v>153</v>
      </c>
      <c r="E763" t="s">
        <v>150</v>
      </c>
      <c r="F763" t="s">
        <v>154</v>
      </c>
      <c r="G763" t="s">
        <v>216</v>
      </c>
      <c r="H763" s="6">
        <v>0</v>
      </c>
      <c r="I763" s="6">
        <v>97842.77665</v>
      </c>
      <c r="J763" s="6">
        <v>-97842.77665</v>
      </c>
    </row>
    <row r="764" spans="1:10">
      <c r="A764" t="s">
        <v>580</v>
      </c>
      <c r="B764" s="5">
        <v>45658</v>
      </c>
      <c r="C764" t="s">
        <v>217</v>
      </c>
      <c r="D764" t="s">
        <v>218</v>
      </c>
      <c r="E764" t="s">
        <v>122</v>
      </c>
      <c r="F764" t="s">
        <v>154</v>
      </c>
      <c r="G764" t="s">
        <v>216</v>
      </c>
      <c r="H764" s="6">
        <v>786981.58</v>
      </c>
      <c r="I764" s="6">
        <v>0</v>
      </c>
      <c r="J764" s="6">
        <v>786981.58</v>
      </c>
    </row>
    <row r="765" spans="1:10">
      <c r="A765" t="s">
        <v>580</v>
      </c>
      <c r="B765" s="5">
        <v>45658</v>
      </c>
      <c r="C765" t="s">
        <v>164</v>
      </c>
      <c r="D765" t="s">
        <v>36</v>
      </c>
      <c r="E765" t="s">
        <v>150</v>
      </c>
      <c r="F765" t="s">
        <v>154</v>
      </c>
      <c r="G765" t="s">
        <v>216</v>
      </c>
      <c r="H765" s="6">
        <v>0</v>
      </c>
      <c r="I765" s="6">
        <v>786981.58</v>
      </c>
      <c r="J765" s="6">
        <v>-786981.58</v>
      </c>
    </row>
    <row r="766" spans="1:10">
      <c r="A766" t="s">
        <v>581</v>
      </c>
      <c r="B766" s="5">
        <v>45658</v>
      </c>
      <c r="C766" t="s">
        <v>217</v>
      </c>
      <c r="D766" t="s">
        <v>218</v>
      </c>
      <c r="E766" t="s">
        <v>122</v>
      </c>
      <c r="F766" t="s">
        <v>154</v>
      </c>
      <c r="G766" t="s">
        <v>216</v>
      </c>
      <c r="H766" s="6">
        <v>105925</v>
      </c>
      <c r="I766" s="6">
        <v>0</v>
      </c>
      <c r="J766" s="6">
        <v>105925</v>
      </c>
    </row>
    <row r="767" spans="1:10">
      <c r="A767" t="s">
        <v>581</v>
      </c>
      <c r="B767" s="5">
        <v>45658</v>
      </c>
      <c r="C767" t="s">
        <v>167</v>
      </c>
      <c r="D767" t="s">
        <v>51</v>
      </c>
      <c r="E767" t="s">
        <v>150</v>
      </c>
      <c r="F767" t="s">
        <v>154</v>
      </c>
      <c r="G767" t="s">
        <v>216</v>
      </c>
      <c r="H767" s="6">
        <v>0</v>
      </c>
      <c r="I767" s="6">
        <v>105925</v>
      </c>
      <c r="J767" s="6">
        <v>-105925</v>
      </c>
    </row>
    <row r="768" spans="1:10">
      <c r="A768" t="s">
        <v>582</v>
      </c>
      <c r="B768" s="5">
        <v>45658</v>
      </c>
      <c r="C768" t="s">
        <v>217</v>
      </c>
      <c r="D768" t="s">
        <v>218</v>
      </c>
      <c r="E768" t="s">
        <v>122</v>
      </c>
      <c r="F768" t="s">
        <v>154</v>
      </c>
      <c r="G768" t="s">
        <v>216</v>
      </c>
      <c r="H768" s="6">
        <v>41439.29</v>
      </c>
      <c r="I768" s="6">
        <v>0</v>
      </c>
      <c r="J768" s="6">
        <v>41439.29</v>
      </c>
    </row>
    <row r="769" spans="1:10">
      <c r="A769" t="s">
        <v>582</v>
      </c>
      <c r="B769" s="5">
        <v>45658</v>
      </c>
      <c r="C769" t="s">
        <v>176</v>
      </c>
      <c r="D769" t="s">
        <v>52</v>
      </c>
      <c r="E769" t="s">
        <v>150</v>
      </c>
      <c r="F769" t="s">
        <v>154</v>
      </c>
      <c r="G769" t="s">
        <v>216</v>
      </c>
      <c r="H769" s="6">
        <v>0</v>
      </c>
      <c r="I769" s="6">
        <v>41439.29</v>
      </c>
      <c r="J769" s="6">
        <v>-41439.29</v>
      </c>
    </row>
    <row r="770" spans="1:10">
      <c r="A770" t="s">
        <v>583</v>
      </c>
      <c r="B770" s="5">
        <v>45658</v>
      </c>
      <c r="C770" t="s">
        <v>217</v>
      </c>
      <c r="D770" t="s">
        <v>218</v>
      </c>
      <c r="E770" t="s">
        <v>122</v>
      </c>
      <c r="F770" t="s">
        <v>154</v>
      </c>
      <c r="G770" t="s">
        <v>216</v>
      </c>
      <c r="H770" s="6">
        <v>33920</v>
      </c>
      <c r="I770" s="6">
        <v>0</v>
      </c>
      <c r="J770" s="6">
        <v>33920</v>
      </c>
    </row>
    <row r="771" spans="1:10">
      <c r="A771" t="s">
        <v>583</v>
      </c>
      <c r="B771" s="5">
        <v>45658</v>
      </c>
      <c r="C771" t="s">
        <v>179</v>
      </c>
      <c r="D771" t="s">
        <v>54</v>
      </c>
      <c r="E771" t="s">
        <v>150</v>
      </c>
      <c r="F771" t="s">
        <v>154</v>
      </c>
      <c r="G771" t="s">
        <v>216</v>
      </c>
      <c r="H771" s="6">
        <v>0</v>
      </c>
      <c r="I771" s="6">
        <v>33920</v>
      </c>
      <c r="J771" s="6">
        <v>-33920</v>
      </c>
    </row>
    <row r="772" spans="1:10">
      <c r="A772" t="s">
        <v>584</v>
      </c>
      <c r="B772" s="5">
        <v>45658</v>
      </c>
      <c r="C772" t="s">
        <v>217</v>
      </c>
      <c r="D772" t="s">
        <v>218</v>
      </c>
      <c r="E772" t="s">
        <v>122</v>
      </c>
      <c r="F772" t="s">
        <v>154</v>
      </c>
      <c r="G772" t="s">
        <v>216</v>
      </c>
      <c r="H772" s="6">
        <v>20160</v>
      </c>
      <c r="I772" s="6">
        <v>0</v>
      </c>
      <c r="J772" s="6">
        <v>20160</v>
      </c>
    </row>
    <row r="773" spans="1:10">
      <c r="A773" t="s">
        <v>584</v>
      </c>
      <c r="B773" s="5">
        <v>45658</v>
      </c>
      <c r="C773" t="s">
        <v>181</v>
      </c>
      <c r="D773" t="s">
        <v>56</v>
      </c>
      <c r="E773" t="s">
        <v>150</v>
      </c>
      <c r="F773" t="s">
        <v>154</v>
      </c>
      <c r="G773" t="s">
        <v>216</v>
      </c>
      <c r="H773" s="6">
        <v>0</v>
      </c>
      <c r="I773" s="6">
        <v>20160</v>
      </c>
      <c r="J773" s="6">
        <v>-20160</v>
      </c>
    </row>
    <row r="774" spans="1:10">
      <c r="A774" t="s">
        <v>585</v>
      </c>
      <c r="B774" s="5">
        <v>45658</v>
      </c>
      <c r="C774" t="s">
        <v>217</v>
      </c>
      <c r="D774" t="s">
        <v>218</v>
      </c>
      <c r="E774" t="s">
        <v>122</v>
      </c>
      <c r="F774" t="s">
        <v>154</v>
      </c>
      <c r="G774" t="s">
        <v>216</v>
      </c>
      <c r="H774" s="6">
        <v>25324.01</v>
      </c>
      <c r="I774" s="6">
        <v>0</v>
      </c>
      <c r="J774" s="6">
        <v>25324.01</v>
      </c>
    </row>
    <row r="775" spans="1:10">
      <c r="A775" t="s">
        <v>585</v>
      </c>
      <c r="B775" s="5">
        <v>45658</v>
      </c>
      <c r="C775" t="s">
        <v>183</v>
      </c>
      <c r="D775" t="s">
        <v>59</v>
      </c>
      <c r="E775" t="s">
        <v>150</v>
      </c>
      <c r="F775" t="s">
        <v>154</v>
      </c>
      <c r="G775" t="s">
        <v>216</v>
      </c>
      <c r="H775" s="6">
        <v>0</v>
      </c>
      <c r="I775" s="6">
        <v>25324.01</v>
      </c>
      <c r="J775" s="6">
        <v>-25324.01</v>
      </c>
    </row>
    <row r="776" spans="1:10">
      <c r="A776" t="s">
        <v>586</v>
      </c>
      <c r="B776" s="5">
        <v>45658</v>
      </c>
      <c r="C776" t="s">
        <v>217</v>
      </c>
      <c r="D776" t="s">
        <v>218</v>
      </c>
      <c r="E776" t="s">
        <v>122</v>
      </c>
      <c r="F776" t="s">
        <v>154</v>
      </c>
      <c r="G776" t="s">
        <v>216</v>
      </c>
      <c r="H776" s="6">
        <v>20040</v>
      </c>
      <c r="I776" s="6">
        <v>0</v>
      </c>
      <c r="J776" s="6">
        <v>20040</v>
      </c>
    </row>
    <row r="777" spans="1:10">
      <c r="A777" t="s">
        <v>586</v>
      </c>
      <c r="B777" s="5">
        <v>45658</v>
      </c>
      <c r="C777" t="s">
        <v>185</v>
      </c>
      <c r="D777" t="s">
        <v>186</v>
      </c>
      <c r="E777" t="s">
        <v>150</v>
      </c>
      <c r="F777" t="s">
        <v>154</v>
      </c>
      <c r="G777" t="s">
        <v>216</v>
      </c>
      <c r="H777" s="6">
        <v>0</v>
      </c>
      <c r="I777" s="6">
        <v>20040</v>
      </c>
      <c r="J777" s="6">
        <v>-20040</v>
      </c>
    </row>
    <row r="778" spans="1:10">
      <c r="A778" t="s">
        <v>587</v>
      </c>
      <c r="B778" s="5">
        <v>45658</v>
      </c>
      <c r="C778" t="s">
        <v>217</v>
      </c>
      <c r="D778" t="s">
        <v>218</v>
      </c>
      <c r="E778" t="s">
        <v>122</v>
      </c>
      <c r="F778" t="s">
        <v>154</v>
      </c>
      <c r="G778" t="s">
        <v>216</v>
      </c>
      <c r="H778" s="6">
        <v>7008</v>
      </c>
      <c r="I778" s="6">
        <v>0</v>
      </c>
      <c r="J778" s="6">
        <v>7008</v>
      </c>
    </row>
    <row r="779" spans="1:10">
      <c r="A779" t="s">
        <v>587</v>
      </c>
      <c r="B779" s="5">
        <v>45658</v>
      </c>
      <c r="C779" t="s">
        <v>191</v>
      </c>
      <c r="D779" t="s">
        <v>104</v>
      </c>
      <c r="E779" t="s">
        <v>150</v>
      </c>
      <c r="F779" t="s">
        <v>154</v>
      </c>
      <c r="G779" t="s">
        <v>216</v>
      </c>
      <c r="H779" s="6">
        <v>0</v>
      </c>
      <c r="I779" s="6">
        <v>7008</v>
      </c>
      <c r="J779" s="6">
        <v>-7008</v>
      </c>
    </row>
    <row r="780" spans="1:10">
      <c r="A780" t="s">
        <v>588</v>
      </c>
      <c r="B780" s="5">
        <v>45658</v>
      </c>
      <c r="C780" t="s">
        <v>217</v>
      </c>
      <c r="D780" t="s">
        <v>218</v>
      </c>
      <c r="E780" t="s">
        <v>122</v>
      </c>
      <c r="F780" t="s">
        <v>154</v>
      </c>
      <c r="G780" t="s">
        <v>216</v>
      </c>
      <c r="H780" s="6">
        <v>4233.28333900005</v>
      </c>
      <c r="I780" s="6">
        <v>0</v>
      </c>
      <c r="J780" s="6">
        <v>4233.28333900005</v>
      </c>
    </row>
    <row r="781" spans="1:10">
      <c r="A781" t="s">
        <v>588</v>
      </c>
      <c r="B781" s="5">
        <v>45658</v>
      </c>
      <c r="C781" t="s">
        <v>194</v>
      </c>
      <c r="D781" t="s">
        <v>195</v>
      </c>
      <c r="E781" t="s">
        <v>150</v>
      </c>
      <c r="F781" t="s">
        <v>154</v>
      </c>
      <c r="G781" t="s">
        <v>216</v>
      </c>
      <c r="H781" s="6">
        <v>0</v>
      </c>
      <c r="I781" s="6">
        <v>4233.28333900005</v>
      </c>
      <c r="J781" s="6">
        <v>-4233.28333900005</v>
      </c>
    </row>
    <row r="782" spans="1:10">
      <c r="A782" t="s">
        <v>589</v>
      </c>
      <c r="B782" s="5">
        <v>45689</v>
      </c>
      <c r="C782" t="s">
        <v>146</v>
      </c>
      <c r="D782" t="s">
        <v>86</v>
      </c>
      <c r="E782" t="s">
        <v>120</v>
      </c>
      <c r="F782" t="s">
        <v>52</v>
      </c>
      <c r="G782" t="s">
        <v>147</v>
      </c>
      <c r="H782" s="6">
        <v>1176731.76</v>
      </c>
      <c r="I782" s="6">
        <v>0</v>
      </c>
      <c r="J782" s="6">
        <v>1176731.76</v>
      </c>
    </row>
    <row r="783" spans="1:10">
      <c r="A783" t="s">
        <v>589</v>
      </c>
      <c r="B783" s="5">
        <v>45689</v>
      </c>
      <c r="C783" t="s">
        <v>148</v>
      </c>
      <c r="D783" t="s">
        <v>149</v>
      </c>
      <c r="E783" t="s">
        <v>150</v>
      </c>
      <c r="F783" t="s">
        <v>52</v>
      </c>
      <c r="G783" t="s">
        <v>147</v>
      </c>
      <c r="H783" s="6">
        <v>0</v>
      </c>
      <c r="I783" s="6">
        <v>1176731.76</v>
      </c>
      <c r="J783" s="6">
        <v>-1176731.76</v>
      </c>
    </row>
    <row r="784" spans="1:10">
      <c r="A784" t="s">
        <v>590</v>
      </c>
      <c r="B784" s="5">
        <v>45689</v>
      </c>
      <c r="C784" t="s">
        <v>152</v>
      </c>
      <c r="D784" t="s">
        <v>153</v>
      </c>
      <c r="E784" t="s">
        <v>150</v>
      </c>
      <c r="F784" t="s">
        <v>154</v>
      </c>
      <c r="G784" t="s">
        <v>155</v>
      </c>
      <c r="H784" s="6">
        <v>100022.1996</v>
      </c>
      <c r="I784" s="6">
        <v>0</v>
      </c>
      <c r="J784" s="6">
        <v>100022.1996</v>
      </c>
    </row>
    <row r="785" spans="1:10">
      <c r="A785" t="s">
        <v>590</v>
      </c>
      <c r="B785" s="5">
        <v>45689</v>
      </c>
      <c r="C785" t="s">
        <v>156</v>
      </c>
      <c r="D785" t="s">
        <v>157</v>
      </c>
      <c r="E785" t="s">
        <v>121</v>
      </c>
      <c r="F785" t="s">
        <v>154</v>
      </c>
      <c r="G785" t="s">
        <v>155</v>
      </c>
      <c r="H785" s="6">
        <v>0</v>
      </c>
      <c r="I785" s="6">
        <v>100022.1996</v>
      </c>
      <c r="J785" s="6">
        <v>-100022.1996</v>
      </c>
    </row>
    <row r="786" spans="1:10">
      <c r="A786" t="s">
        <v>591</v>
      </c>
      <c r="B786" s="5">
        <v>45689</v>
      </c>
      <c r="C786" t="s">
        <v>159</v>
      </c>
      <c r="D786" t="s">
        <v>160</v>
      </c>
      <c r="E786" t="s">
        <v>120</v>
      </c>
      <c r="F786" t="s">
        <v>58</v>
      </c>
      <c r="G786" t="s">
        <v>161</v>
      </c>
      <c r="H786" s="6">
        <v>838438.4386666669</v>
      </c>
      <c r="I786" s="6">
        <v>0</v>
      </c>
      <c r="J786" s="6">
        <v>838438.4386666669</v>
      </c>
    </row>
    <row r="787" spans="1:10">
      <c r="A787" t="s">
        <v>591</v>
      </c>
      <c r="B787" s="5">
        <v>45689</v>
      </c>
      <c r="C787" t="s">
        <v>162</v>
      </c>
      <c r="D787" t="s">
        <v>88</v>
      </c>
      <c r="E787" t="s">
        <v>121</v>
      </c>
      <c r="F787" t="s">
        <v>58</v>
      </c>
      <c r="G787" t="s">
        <v>161</v>
      </c>
      <c r="H787" s="6">
        <v>0</v>
      </c>
      <c r="I787" s="6">
        <v>838438.4386666669</v>
      </c>
      <c r="J787" s="6">
        <v>-838438.4386666669</v>
      </c>
    </row>
    <row r="788" spans="1:10">
      <c r="A788" t="s">
        <v>592</v>
      </c>
      <c r="B788" s="5">
        <v>45689</v>
      </c>
      <c r="C788" t="s">
        <v>164</v>
      </c>
      <c r="D788" t="s">
        <v>36</v>
      </c>
      <c r="E788" t="s">
        <v>150</v>
      </c>
      <c r="F788" t="s">
        <v>58</v>
      </c>
      <c r="G788" t="s">
        <v>165</v>
      </c>
      <c r="H788" s="6">
        <v>805807.26</v>
      </c>
      <c r="I788" s="6">
        <v>0</v>
      </c>
      <c r="J788" s="6">
        <v>805807.26</v>
      </c>
    </row>
    <row r="789" spans="1:10">
      <c r="A789" t="s">
        <v>592</v>
      </c>
      <c r="B789" s="5">
        <v>45689</v>
      </c>
      <c r="C789" t="s">
        <v>159</v>
      </c>
      <c r="D789" t="s">
        <v>160</v>
      </c>
      <c r="E789" t="s">
        <v>120</v>
      </c>
      <c r="F789" t="s">
        <v>58</v>
      </c>
      <c r="G789" t="s">
        <v>165</v>
      </c>
      <c r="H789" s="6">
        <v>0</v>
      </c>
      <c r="I789" s="6">
        <v>805807.26</v>
      </c>
      <c r="J789" s="6">
        <v>-805807.26</v>
      </c>
    </row>
    <row r="790" spans="1:10">
      <c r="A790" t="s">
        <v>593</v>
      </c>
      <c r="B790" s="5">
        <v>45689</v>
      </c>
      <c r="C790" t="s">
        <v>167</v>
      </c>
      <c r="D790" t="s">
        <v>51</v>
      </c>
      <c r="E790" t="s">
        <v>150</v>
      </c>
      <c r="F790" t="s">
        <v>51</v>
      </c>
      <c r="G790" t="s">
        <v>168</v>
      </c>
      <c r="H790" s="6">
        <v>105925</v>
      </c>
      <c r="I790" s="6">
        <v>0</v>
      </c>
      <c r="J790" s="6">
        <v>105925</v>
      </c>
    </row>
    <row r="791" spans="1:10">
      <c r="A791" t="s">
        <v>593</v>
      </c>
      <c r="B791" s="5">
        <v>45689</v>
      </c>
      <c r="C791" t="s">
        <v>169</v>
      </c>
      <c r="D791" t="s">
        <v>170</v>
      </c>
      <c r="E791" t="s">
        <v>121</v>
      </c>
      <c r="F791" t="s">
        <v>51</v>
      </c>
      <c r="G791" t="s">
        <v>168</v>
      </c>
      <c r="H791" s="6">
        <v>0</v>
      </c>
      <c r="I791" s="6">
        <v>105925</v>
      </c>
      <c r="J791" s="6">
        <v>-105925</v>
      </c>
    </row>
    <row r="792" spans="1:10">
      <c r="A792" t="s">
        <v>594</v>
      </c>
      <c r="B792" s="5">
        <v>45689</v>
      </c>
      <c r="C792" t="s">
        <v>169</v>
      </c>
      <c r="D792" t="s">
        <v>170</v>
      </c>
      <c r="E792" t="s">
        <v>121</v>
      </c>
      <c r="F792" t="s">
        <v>51</v>
      </c>
      <c r="G792" t="s">
        <v>172</v>
      </c>
      <c r="H792" s="6">
        <v>105925</v>
      </c>
      <c r="I792" s="6">
        <v>0</v>
      </c>
      <c r="J792" s="6">
        <v>105925</v>
      </c>
    </row>
    <row r="793" spans="1:10">
      <c r="A793" t="s">
        <v>594</v>
      </c>
      <c r="B793" s="5">
        <v>45689</v>
      </c>
      <c r="C793" t="s">
        <v>173</v>
      </c>
      <c r="D793" t="s">
        <v>174</v>
      </c>
      <c r="E793" t="s">
        <v>120</v>
      </c>
      <c r="F793" t="s">
        <v>51</v>
      </c>
      <c r="G793" t="s">
        <v>172</v>
      </c>
      <c r="H793" s="6">
        <v>0</v>
      </c>
      <c r="I793" s="6">
        <v>105925</v>
      </c>
      <c r="J793" s="6">
        <v>-105925</v>
      </c>
    </row>
    <row r="794" spans="1:10">
      <c r="A794" t="s">
        <v>595</v>
      </c>
      <c r="B794" s="5">
        <v>45689</v>
      </c>
      <c r="C794" t="s">
        <v>176</v>
      </c>
      <c r="D794" t="s">
        <v>52</v>
      </c>
      <c r="E794" t="s">
        <v>150</v>
      </c>
      <c r="F794" t="s">
        <v>52</v>
      </c>
      <c r="G794" t="s">
        <v>177</v>
      </c>
      <c r="H794" s="6">
        <v>42362.34</v>
      </c>
      <c r="I794" s="6">
        <v>0</v>
      </c>
      <c r="J794" s="6">
        <v>42362.34</v>
      </c>
    </row>
    <row r="795" spans="1:10">
      <c r="A795" t="s">
        <v>595</v>
      </c>
      <c r="B795" s="5">
        <v>45689</v>
      </c>
      <c r="C795" t="s">
        <v>173</v>
      </c>
      <c r="D795" t="s">
        <v>174</v>
      </c>
      <c r="E795" t="s">
        <v>120</v>
      </c>
      <c r="F795" t="s">
        <v>52</v>
      </c>
      <c r="G795" t="s">
        <v>177</v>
      </c>
      <c r="H795" s="6">
        <v>0</v>
      </c>
      <c r="I795" s="6">
        <v>42362.34</v>
      </c>
      <c r="J795" s="6">
        <v>-42362.34</v>
      </c>
    </row>
    <row r="796" spans="1:10">
      <c r="A796" t="s">
        <v>596</v>
      </c>
      <c r="B796" s="5">
        <v>45689</v>
      </c>
      <c r="C796" t="s">
        <v>179</v>
      </c>
      <c r="D796" t="s">
        <v>54</v>
      </c>
      <c r="E796" t="s">
        <v>150</v>
      </c>
      <c r="F796" t="s">
        <v>54</v>
      </c>
      <c r="G796" t="s">
        <v>177</v>
      </c>
      <c r="H796" s="6">
        <v>33920</v>
      </c>
      <c r="I796" s="6">
        <v>0</v>
      </c>
      <c r="J796" s="6">
        <v>33920</v>
      </c>
    </row>
    <row r="797" spans="1:10">
      <c r="A797" t="s">
        <v>596</v>
      </c>
      <c r="B797" s="5">
        <v>45689</v>
      </c>
      <c r="C797" t="s">
        <v>173</v>
      </c>
      <c r="D797" t="s">
        <v>174</v>
      </c>
      <c r="E797" t="s">
        <v>120</v>
      </c>
      <c r="F797" t="s">
        <v>54</v>
      </c>
      <c r="G797" t="s">
        <v>177</v>
      </c>
      <c r="H797" s="6">
        <v>0</v>
      </c>
      <c r="I797" s="6">
        <v>33920</v>
      </c>
      <c r="J797" s="6">
        <v>-33920</v>
      </c>
    </row>
    <row r="798" spans="1:10">
      <c r="A798" t="s">
        <v>597</v>
      </c>
      <c r="B798" s="5">
        <v>45689</v>
      </c>
      <c r="C798" t="s">
        <v>181</v>
      </c>
      <c r="D798" t="s">
        <v>56</v>
      </c>
      <c r="E798" t="s">
        <v>150</v>
      </c>
      <c r="F798" t="s">
        <v>56</v>
      </c>
      <c r="G798" t="s">
        <v>177</v>
      </c>
      <c r="H798" s="6">
        <v>20160</v>
      </c>
      <c r="I798" s="6">
        <v>0</v>
      </c>
      <c r="J798" s="6">
        <v>20160</v>
      </c>
    </row>
    <row r="799" spans="1:10">
      <c r="A799" t="s">
        <v>597</v>
      </c>
      <c r="B799" s="5">
        <v>45689</v>
      </c>
      <c r="C799" t="s">
        <v>173</v>
      </c>
      <c r="D799" t="s">
        <v>174</v>
      </c>
      <c r="E799" t="s">
        <v>120</v>
      </c>
      <c r="F799" t="s">
        <v>56</v>
      </c>
      <c r="G799" t="s">
        <v>177</v>
      </c>
      <c r="H799" s="6">
        <v>0</v>
      </c>
      <c r="I799" s="6">
        <v>20160</v>
      </c>
      <c r="J799" s="6">
        <v>-20160</v>
      </c>
    </row>
    <row r="800" spans="1:10">
      <c r="A800" t="s">
        <v>598</v>
      </c>
      <c r="B800" s="5">
        <v>45689</v>
      </c>
      <c r="C800" t="s">
        <v>183</v>
      </c>
      <c r="D800" t="s">
        <v>59</v>
      </c>
      <c r="E800" t="s">
        <v>150</v>
      </c>
      <c r="F800" t="s">
        <v>66</v>
      </c>
      <c r="G800" t="s">
        <v>177</v>
      </c>
      <c r="H800" s="6">
        <v>25888.1</v>
      </c>
      <c r="I800" s="6">
        <v>0</v>
      </c>
      <c r="J800" s="6">
        <v>25888.1</v>
      </c>
    </row>
    <row r="801" spans="1:10">
      <c r="A801" t="s">
        <v>598</v>
      </c>
      <c r="B801" s="5">
        <v>45689</v>
      </c>
      <c r="C801" t="s">
        <v>173</v>
      </c>
      <c r="D801" t="s">
        <v>174</v>
      </c>
      <c r="E801" t="s">
        <v>120</v>
      </c>
      <c r="F801" t="s">
        <v>66</v>
      </c>
      <c r="G801" t="s">
        <v>177</v>
      </c>
      <c r="H801" s="6">
        <v>0</v>
      </c>
      <c r="I801" s="6">
        <v>25888.1</v>
      </c>
      <c r="J801" s="6">
        <v>-25888.1</v>
      </c>
    </row>
    <row r="802" spans="1:10">
      <c r="A802" t="s">
        <v>599</v>
      </c>
      <c r="B802" s="5">
        <v>45689</v>
      </c>
      <c r="C802" t="s">
        <v>185</v>
      </c>
      <c r="D802" t="s">
        <v>186</v>
      </c>
      <c r="E802" t="s">
        <v>150</v>
      </c>
      <c r="F802" t="s">
        <v>154</v>
      </c>
      <c r="G802" t="s">
        <v>187</v>
      </c>
      <c r="H802" s="6">
        <v>20220</v>
      </c>
      <c r="I802" s="6">
        <v>0</v>
      </c>
      <c r="J802" s="6">
        <v>20220</v>
      </c>
    </row>
    <row r="803" spans="1:10">
      <c r="A803" t="s">
        <v>599</v>
      </c>
      <c r="B803" s="5">
        <v>45689</v>
      </c>
      <c r="C803" t="s">
        <v>188</v>
      </c>
      <c r="D803" t="s">
        <v>189</v>
      </c>
      <c r="E803" t="s">
        <v>120</v>
      </c>
      <c r="F803" t="s">
        <v>154</v>
      </c>
      <c r="G803" t="s">
        <v>187</v>
      </c>
      <c r="H803" s="6">
        <v>0</v>
      </c>
      <c r="I803" s="6">
        <v>20220</v>
      </c>
      <c r="J803" s="6">
        <v>-20220</v>
      </c>
    </row>
    <row r="804" spans="1:10">
      <c r="A804" t="s">
        <v>600</v>
      </c>
      <c r="B804" s="5">
        <v>45689</v>
      </c>
      <c r="C804" t="s">
        <v>191</v>
      </c>
      <c r="D804" t="s">
        <v>104</v>
      </c>
      <c r="E804" t="s">
        <v>150</v>
      </c>
      <c r="F804" t="s">
        <v>154</v>
      </c>
      <c r="G804" t="s">
        <v>192</v>
      </c>
      <c r="H804" s="6">
        <v>6792</v>
      </c>
      <c r="I804" s="6">
        <v>0</v>
      </c>
      <c r="J804" s="6">
        <v>6792</v>
      </c>
    </row>
    <row r="805" spans="1:10">
      <c r="A805" t="s">
        <v>600</v>
      </c>
      <c r="B805" s="5">
        <v>45689</v>
      </c>
      <c r="C805" t="s">
        <v>173</v>
      </c>
      <c r="D805" t="s">
        <v>174</v>
      </c>
      <c r="E805" t="s">
        <v>120</v>
      </c>
      <c r="F805" t="s">
        <v>154</v>
      </c>
      <c r="G805" t="s">
        <v>192</v>
      </c>
      <c r="H805" s="6">
        <v>0</v>
      </c>
      <c r="I805" s="6">
        <v>6792</v>
      </c>
      <c r="J805" s="6">
        <v>-6792</v>
      </c>
    </row>
    <row r="806" spans="1:10">
      <c r="A806" t="s">
        <v>601</v>
      </c>
      <c r="B806" s="5">
        <v>45689</v>
      </c>
      <c r="C806" t="s">
        <v>194</v>
      </c>
      <c r="D806" t="s">
        <v>195</v>
      </c>
      <c r="E806" t="s">
        <v>150</v>
      </c>
      <c r="F806" t="s">
        <v>154</v>
      </c>
      <c r="G806" t="s">
        <v>196</v>
      </c>
      <c r="H806" s="6">
        <v>5315.852536000022</v>
      </c>
      <c r="I806" s="6">
        <v>0</v>
      </c>
      <c r="J806" s="6">
        <v>5315.852536000022</v>
      </c>
    </row>
    <row r="807" spans="1:10">
      <c r="A807" t="s">
        <v>601</v>
      </c>
      <c r="B807" s="5">
        <v>45689</v>
      </c>
      <c r="C807" t="s">
        <v>197</v>
      </c>
      <c r="D807" t="s">
        <v>198</v>
      </c>
      <c r="E807" t="s">
        <v>121</v>
      </c>
      <c r="F807" t="s">
        <v>154</v>
      </c>
      <c r="G807" t="s">
        <v>196</v>
      </c>
      <c r="H807" s="6">
        <v>0</v>
      </c>
      <c r="I807" s="6">
        <v>5315.852536000022</v>
      </c>
      <c r="J807" s="6">
        <v>-5315.852536000022</v>
      </c>
    </row>
    <row r="808" spans="1:10">
      <c r="A808" t="s">
        <v>602</v>
      </c>
      <c r="B808" s="5">
        <v>45689</v>
      </c>
      <c r="C808" t="s">
        <v>173</v>
      </c>
      <c r="D808" t="s">
        <v>174</v>
      </c>
      <c r="E808" t="s">
        <v>120</v>
      </c>
      <c r="F808" t="s">
        <v>154</v>
      </c>
      <c r="G808" t="s">
        <v>200</v>
      </c>
      <c r="H808" s="6">
        <v>1136562.003666667</v>
      </c>
      <c r="I808" s="6">
        <v>0</v>
      </c>
      <c r="J808" s="6">
        <v>1136562.003666667</v>
      </c>
    </row>
    <row r="809" spans="1:10">
      <c r="A809" t="s">
        <v>602</v>
      </c>
      <c r="B809" s="5">
        <v>45689</v>
      </c>
      <c r="C809" t="s">
        <v>146</v>
      </c>
      <c r="D809" t="s">
        <v>86</v>
      </c>
      <c r="E809" t="s">
        <v>120</v>
      </c>
      <c r="F809" t="s">
        <v>154</v>
      </c>
      <c r="G809" t="s">
        <v>200</v>
      </c>
      <c r="H809" s="6">
        <v>0</v>
      </c>
      <c r="I809" s="6">
        <v>1136562.003666667</v>
      </c>
      <c r="J809" s="6">
        <v>-1136562.003666667</v>
      </c>
    </row>
    <row r="810" spans="1:10">
      <c r="A810" t="s">
        <v>603</v>
      </c>
      <c r="B810" s="5">
        <v>45689</v>
      </c>
      <c r="C810" t="s">
        <v>162</v>
      </c>
      <c r="D810" t="s">
        <v>88</v>
      </c>
      <c r="E810" t="s">
        <v>121</v>
      </c>
      <c r="F810" t="s">
        <v>154</v>
      </c>
      <c r="G810" t="s">
        <v>202</v>
      </c>
      <c r="H810" s="6">
        <v>816475.1453333333</v>
      </c>
      <c r="I810" s="6">
        <v>0</v>
      </c>
      <c r="J810" s="6">
        <v>816475.1453333333</v>
      </c>
    </row>
    <row r="811" spans="1:10">
      <c r="A811" t="s">
        <v>603</v>
      </c>
      <c r="B811" s="5">
        <v>45689</v>
      </c>
      <c r="C811" t="s">
        <v>173</v>
      </c>
      <c r="D811" t="s">
        <v>174</v>
      </c>
      <c r="E811" t="s">
        <v>120</v>
      </c>
      <c r="F811" t="s">
        <v>154</v>
      </c>
      <c r="G811" t="s">
        <v>202</v>
      </c>
      <c r="H811" s="6">
        <v>0</v>
      </c>
      <c r="I811" s="6">
        <v>816475.1453333333</v>
      </c>
      <c r="J811" s="6">
        <v>-816475.1453333333</v>
      </c>
    </row>
    <row r="812" spans="1:10">
      <c r="A812" t="s">
        <v>604</v>
      </c>
      <c r="B812" s="5">
        <v>45689</v>
      </c>
      <c r="C812" t="s">
        <v>156</v>
      </c>
      <c r="D812" t="s">
        <v>157</v>
      </c>
      <c r="E812" t="s">
        <v>121</v>
      </c>
      <c r="F812" t="s">
        <v>154</v>
      </c>
      <c r="G812" t="s">
        <v>204</v>
      </c>
      <c r="H812" s="6">
        <v>97842.77665</v>
      </c>
      <c r="I812" s="6">
        <v>0</v>
      </c>
      <c r="J812" s="6">
        <v>97842.77665</v>
      </c>
    </row>
    <row r="813" spans="1:10">
      <c r="A813" t="s">
        <v>604</v>
      </c>
      <c r="B813" s="5">
        <v>45689</v>
      </c>
      <c r="C813" t="s">
        <v>173</v>
      </c>
      <c r="D813" t="s">
        <v>174</v>
      </c>
      <c r="E813" t="s">
        <v>120</v>
      </c>
      <c r="F813" t="s">
        <v>154</v>
      </c>
      <c r="G813" t="s">
        <v>204</v>
      </c>
      <c r="H813" s="6">
        <v>0</v>
      </c>
      <c r="I813" s="6">
        <v>97842.77665</v>
      </c>
      <c r="J813" s="6">
        <v>-97842.77665</v>
      </c>
    </row>
    <row r="814" spans="1:10">
      <c r="A814" t="s">
        <v>605</v>
      </c>
      <c r="B814" s="5">
        <v>45689</v>
      </c>
      <c r="C814" t="s">
        <v>197</v>
      </c>
      <c r="D814" t="s">
        <v>198</v>
      </c>
      <c r="E814" t="s">
        <v>121</v>
      </c>
      <c r="F814" t="s">
        <v>154</v>
      </c>
      <c r="G814" t="s">
        <v>206</v>
      </c>
      <c r="H814" s="6">
        <v>4233.283339000051</v>
      </c>
      <c r="I814" s="6">
        <v>0</v>
      </c>
      <c r="J814" s="6">
        <v>4233.283339000051</v>
      </c>
    </row>
    <row r="815" spans="1:10">
      <c r="A815" t="s">
        <v>605</v>
      </c>
      <c r="B815" s="5">
        <v>45689</v>
      </c>
      <c r="C815" t="s">
        <v>173</v>
      </c>
      <c r="D815" t="s">
        <v>174</v>
      </c>
      <c r="E815" t="s">
        <v>120</v>
      </c>
      <c r="F815" t="s">
        <v>154</v>
      </c>
      <c r="G815" t="s">
        <v>206</v>
      </c>
      <c r="H815" s="6">
        <v>0</v>
      </c>
      <c r="I815" s="6">
        <v>4233.283339000051</v>
      </c>
      <c r="J815" s="6">
        <v>-4233.283339000051</v>
      </c>
    </row>
    <row r="816" spans="1:10">
      <c r="A816" t="s">
        <v>606</v>
      </c>
      <c r="B816" s="5">
        <v>45689</v>
      </c>
      <c r="C816" t="s">
        <v>208</v>
      </c>
      <c r="D816" t="s">
        <v>209</v>
      </c>
      <c r="E816" t="s">
        <v>120</v>
      </c>
      <c r="F816" t="s">
        <v>154</v>
      </c>
      <c r="G816" t="s">
        <v>210</v>
      </c>
      <c r="H816" s="6">
        <v>18000</v>
      </c>
      <c r="I816" s="6">
        <v>0</v>
      </c>
      <c r="J816" s="6">
        <v>18000</v>
      </c>
    </row>
    <row r="817" spans="1:10">
      <c r="A817" t="s">
        <v>606</v>
      </c>
      <c r="B817" s="5">
        <v>45689</v>
      </c>
      <c r="C817" t="s">
        <v>173</v>
      </c>
      <c r="D817" t="s">
        <v>174</v>
      </c>
      <c r="E817" t="s">
        <v>120</v>
      </c>
      <c r="F817" t="s">
        <v>154</v>
      </c>
      <c r="G817" t="s">
        <v>210</v>
      </c>
      <c r="H817" s="6">
        <v>0</v>
      </c>
      <c r="I817" s="6">
        <v>18000</v>
      </c>
      <c r="J817" s="6">
        <v>-18000</v>
      </c>
    </row>
    <row r="818" spans="1:10">
      <c r="A818" t="s">
        <v>607</v>
      </c>
      <c r="B818" s="5">
        <v>45689</v>
      </c>
      <c r="C818" t="s">
        <v>212</v>
      </c>
      <c r="D818" t="s">
        <v>213</v>
      </c>
      <c r="E818" t="s">
        <v>121</v>
      </c>
      <c r="F818" t="s">
        <v>154</v>
      </c>
      <c r="G818" t="s">
        <v>214</v>
      </c>
      <c r="H818" s="6">
        <v>18000</v>
      </c>
      <c r="I818" s="6">
        <v>0</v>
      </c>
      <c r="J818" s="6">
        <v>18000</v>
      </c>
    </row>
    <row r="819" spans="1:10">
      <c r="A819" t="s">
        <v>607</v>
      </c>
      <c r="B819" s="5">
        <v>45689</v>
      </c>
      <c r="C819" t="s">
        <v>173</v>
      </c>
      <c r="D819" t="s">
        <v>174</v>
      </c>
      <c r="E819" t="s">
        <v>120</v>
      </c>
      <c r="F819" t="s">
        <v>154</v>
      </c>
      <c r="G819" t="s">
        <v>214</v>
      </c>
      <c r="H819" s="6">
        <v>0</v>
      </c>
      <c r="I819" s="6">
        <v>18000</v>
      </c>
      <c r="J819" s="6">
        <v>-18000</v>
      </c>
    </row>
    <row r="820" spans="1:10">
      <c r="A820" t="s">
        <v>608</v>
      </c>
      <c r="B820" s="5">
        <v>45689</v>
      </c>
      <c r="C820" t="s">
        <v>148</v>
      </c>
      <c r="D820" t="s">
        <v>149</v>
      </c>
      <c r="E820" t="s">
        <v>150</v>
      </c>
      <c r="F820" t="s">
        <v>154</v>
      </c>
      <c r="G820" t="s">
        <v>216</v>
      </c>
      <c r="H820" s="6">
        <v>1176731.76</v>
      </c>
      <c r="I820" s="6">
        <v>0</v>
      </c>
      <c r="J820" s="6">
        <v>1176731.76</v>
      </c>
    </row>
    <row r="821" spans="1:10">
      <c r="A821" t="s">
        <v>608</v>
      </c>
      <c r="B821" s="5">
        <v>45689</v>
      </c>
      <c r="C821" t="s">
        <v>217</v>
      </c>
      <c r="D821" t="s">
        <v>218</v>
      </c>
      <c r="E821" t="s">
        <v>122</v>
      </c>
      <c r="F821" t="s">
        <v>154</v>
      </c>
      <c r="G821" t="s">
        <v>216</v>
      </c>
      <c r="H821" s="6">
        <v>0</v>
      </c>
      <c r="I821" s="6">
        <v>1176731.76</v>
      </c>
      <c r="J821" s="6">
        <v>-1176731.76</v>
      </c>
    </row>
    <row r="822" spans="1:10">
      <c r="A822" t="s">
        <v>609</v>
      </c>
      <c r="B822" s="5">
        <v>45689</v>
      </c>
      <c r="C822" t="s">
        <v>217</v>
      </c>
      <c r="D822" t="s">
        <v>218</v>
      </c>
      <c r="E822" t="s">
        <v>122</v>
      </c>
      <c r="F822" t="s">
        <v>154</v>
      </c>
      <c r="G822" t="s">
        <v>216</v>
      </c>
      <c r="H822" s="6">
        <v>100022.1996</v>
      </c>
      <c r="I822" s="6">
        <v>0</v>
      </c>
      <c r="J822" s="6">
        <v>100022.1996</v>
      </c>
    </row>
    <row r="823" spans="1:10">
      <c r="A823" t="s">
        <v>609</v>
      </c>
      <c r="B823" s="5">
        <v>45689</v>
      </c>
      <c r="C823" t="s">
        <v>152</v>
      </c>
      <c r="D823" t="s">
        <v>153</v>
      </c>
      <c r="E823" t="s">
        <v>150</v>
      </c>
      <c r="F823" t="s">
        <v>154</v>
      </c>
      <c r="G823" t="s">
        <v>216</v>
      </c>
      <c r="H823" s="6">
        <v>0</v>
      </c>
      <c r="I823" s="6">
        <v>100022.1996</v>
      </c>
      <c r="J823" s="6">
        <v>-100022.1996</v>
      </c>
    </row>
    <row r="824" spans="1:10">
      <c r="A824" t="s">
        <v>610</v>
      </c>
      <c r="B824" s="5">
        <v>45689</v>
      </c>
      <c r="C824" t="s">
        <v>217</v>
      </c>
      <c r="D824" t="s">
        <v>218</v>
      </c>
      <c r="E824" t="s">
        <v>122</v>
      </c>
      <c r="F824" t="s">
        <v>154</v>
      </c>
      <c r="G824" t="s">
        <v>216</v>
      </c>
      <c r="H824" s="6">
        <v>805807.26</v>
      </c>
      <c r="I824" s="6">
        <v>0</v>
      </c>
      <c r="J824" s="6">
        <v>805807.26</v>
      </c>
    </row>
    <row r="825" spans="1:10">
      <c r="A825" t="s">
        <v>610</v>
      </c>
      <c r="B825" s="5">
        <v>45689</v>
      </c>
      <c r="C825" t="s">
        <v>164</v>
      </c>
      <c r="D825" t="s">
        <v>36</v>
      </c>
      <c r="E825" t="s">
        <v>150</v>
      </c>
      <c r="F825" t="s">
        <v>154</v>
      </c>
      <c r="G825" t="s">
        <v>216</v>
      </c>
      <c r="H825" s="6">
        <v>0</v>
      </c>
      <c r="I825" s="6">
        <v>805807.26</v>
      </c>
      <c r="J825" s="6">
        <v>-805807.26</v>
      </c>
    </row>
    <row r="826" spans="1:10">
      <c r="A826" t="s">
        <v>611</v>
      </c>
      <c r="B826" s="5">
        <v>45689</v>
      </c>
      <c r="C826" t="s">
        <v>217</v>
      </c>
      <c r="D826" t="s">
        <v>218</v>
      </c>
      <c r="E826" t="s">
        <v>122</v>
      </c>
      <c r="F826" t="s">
        <v>154</v>
      </c>
      <c r="G826" t="s">
        <v>216</v>
      </c>
      <c r="H826" s="6">
        <v>105925</v>
      </c>
      <c r="I826" s="6">
        <v>0</v>
      </c>
      <c r="J826" s="6">
        <v>105925</v>
      </c>
    </row>
    <row r="827" spans="1:10">
      <c r="A827" t="s">
        <v>611</v>
      </c>
      <c r="B827" s="5">
        <v>45689</v>
      </c>
      <c r="C827" t="s">
        <v>167</v>
      </c>
      <c r="D827" t="s">
        <v>51</v>
      </c>
      <c r="E827" t="s">
        <v>150</v>
      </c>
      <c r="F827" t="s">
        <v>154</v>
      </c>
      <c r="G827" t="s">
        <v>216</v>
      </c>
      <c r="H827" s="6">
        <v>0</v>
      </c>
      <c r="I827" s="6">
        <v>105925</v>
      </c>
      <c r="J827" s="6">
        <v>-105925</v>
      </c>
    </row>
    <row r="828" spans="1:10">
      <c r="A828" t="s">
        <v>612</v>
      </c>
      <c r="B828" s="5">
        <v>45689</v>
      </c>
      <c r="C828" t="s">
        <v>217</v>
      </c>
      <c r="D828" t="s">
        <v>218</v>
      </c>
      <c r="E828" t="s">
        <v>122</v>
      </c>
      <c r="F828" t="s">
        <v>154</v>
      </c>
      <c r="G828" t="s">
        <v>216</v>
      </c>
      <c r="H828" s="6">
        <v>42362.34</v>
      </c>
      <c r="I828" s="6">
        <v>0</v>
      </c>
      <c r="J828" s="6">
        <v>42362.34</v>
      </c>
    </row>
    <row r="829" spans="1:10">
      <c r="A829" t="s">
        <v>612</v>
      </c>
      <c r="B829" s="5">
        <v>45689</v>
      </c>
      <c r="C829" t="s">
        <v>176</v>
      </c>
      <c r="D829" t="s">
        <v>52</v>
      </c>
      <c r="E829" t="s">
        <v>150</v>
      </c>
      <c r="F829" t="s">
        <v>154</v>
      </c>
      <c r="G829" t="s">
        <v>216</v>
      </c>
      <c r="H829" s="6">
        <v>0</v>
      </c>
      <c r="I829" s="6">
        <v>42362.34</v>
      </c>
      <c r="J829" s="6">
        <v>-42362.34</v>
      </c>
    </row>
    <row r="830" spans="1:10">
      <c r="A830" t="s">
        <v>613</v>
      </c>
      <c r="B830" s="5">
        <v>45689</v>
      </c>
      <c r="C830" t="s">
        <v>217</v>
      </c>
      <c r="D830" t="s">
        <v>218</v>
      </c>
      <c r="E830" t="s">
        <v>122</v>
      </c>
      <c r="F830" t="s">
        <v>154</v>
      </c>
      <c r="G830" t="s">
        <v>216</v>
      </c>
      <c r="H830" s="6">
        <v>33920</v>
      </c>
      <c r="I830" s="6">
        <v>0</v>
      </c>
      <c r="J830" s="6">
        <v>33920</v>
      </c>
    </row>
    <row r="831" spans="1:10">
      <c r="A831" t="s">
        <v>613</v>
      </c>
      <c r="B831" s="5">
        <v>45689</v>
      </c>
      <c r="C831" t="s">
        <v>179</v>
      </c>
      <c r="D831" t="s">
        <v>54</v>
      </c>
      <c r="E831" t="s">
        <v>150</v>
      </c>
      <c r="F831" t="s">
        <v>154</v>
      </c>
      <c r="G831" t="s">
        <v>216</v>
      </c>
      <c r="H831" s="6">
        <v>0</v>
      </c>
      <c r="I831" s="6">
        <v>33920</v>
      </c>
      <c r="J831" s="6">
        <v>-33920</v>
      </c>
    </row>
    <row r="832" spans="1:10">
      <c r="A832" t="s">
        <v>614</v>
      </c>
      <c r="B832" s="5">
        <v>45689</v>
      </c>
      <c r="C832" t="s">
        <v>217</v>
      </c>
      <c r="D832" t="s">
        <v>218</v>
      </c>
      <c r="E832" t="s">
        <v>122</v>
      </c>
      <c r="F832" t="s">
        <v>154</v>
      </c>
      <c r="G832" t="s">
        <v>216</v>
      </c>
      <c r="H832" s="6">
        <v>20160</v>
      </c>
      <c r="I832" s="6">
        <v>0</v>
      </c>
      <c r="J832" s="6">
        <v>20160</v>
      </c>
    </row>
    <row r="833" spans="1:10">
      <c r="A833" t="s">
        <v>614</v>
      </c>
      <c r="B833" s="5">
        <v>45689</v>
      </c>
      <c r="C833" t="s">
        <v>181</v>
      </c>
      <c r="D833" t="s">
        <v>56</v>
      </c>
      <c r="E833" t="s">
        <v>150</v>
      </c>
      <c r="F833" t="s">
        <v>154</v>
      </c>
      <c r="G833" t="s">
        <v>216</v>
      </c>
      <c r="H833" s="6">
        <v>0</v>
      </c>
      <c r="I833" s="6">
        <v>20160</v>
      </c>
      <c r="J833" s="6">
        <v>-20160</v>
      </c>
    </row>
    <row r="834" spans="1:10">
      <c r="A834" t="s">
        <v>615</v>
      </c>
      <c r="B834" s="5">
        <v>45689</v>
      </c>
      <c r="C834" t="s">
        <v>217</v>
      </c>
      <c r="D834" t="s">
        <v>218</v>
      </c>
      <c r="E834" t="s">
        <v>122</v>
      </c>
      <c r="F834" t="s">
        <v>154</v>
      </c>
      <c r="G834" t="s">
        <v>216</v>
      </c>
      <c r="H834" s="6">
        <v>25888.1</v>
      </c>
      <c r="I834" s="6">
        <v>0</v>
      </c>
      <c r="J834" s="6">
        <v>25888.1</v>
      </c>
    </row>
    <row r="835" spans="1:10">
      <c r="A835" t="s">
        <v>615</v>
      </c>
      <c r="B835" s="5">
        <v>45689</v>
      </c>
      <c r="C835" t="s">
        <v>183</v>
      </c>
      <c r="D835" t="s">
        <v>59</v>
      </c>
      <c r="E835" t="s">
        <v>150</v>
      </c>
      <c r="F835" t="s">
        <v>154</v>
      </c>
      <c r="G835" t="s">
        <v>216</v>
      </c>
      <c r="H835" s="6">
        <v>0</v>
      </c>
      <c r="I835" s="6">
        <v>25888.1</v>
      </c>
      <c r="J835" s="6">
        <v>-25888.1</v>
      </c>
    </row>
    <row r="836" spans="1:10">
      <c r="A836" t="s">
        <v>616</v>
      </c>
      <c r="B836" s="5">
        <v>45689</v>
      </c>
      <c r="C836" t="s">
        <v>217</v>
      </c>
      <c r="D836" t="s">
        <v>218</v>
      </c>
      <c r="E836" t="s">
        <v>122</v>
      </c>
      <c r="F836" t="s">
        <v>154</v>
      </c>
      <c r="G836" t="s">
        <v>216</v>
      </c>
      <c r="H836" s="6">
        <v>20220</v>
      </c>
      <c r="I836" s="6">
        <v>0</v>
      </c>
      <c r="J836" s="6">
        <v>20220</v>
      </c>
    </row>
    <row r="837" spans="1:10">
      <c r="A837" t="s">
        <v>616</v>
      </c>
      <c r="B837" s="5">
        <v>45689</v>
      </c>
      <c r="C837" t="s">
        <v>185</v>
      </c>
      <c r="D837" t="s">
        <v>186</v>
      </c>
      <c r="E837" t="s">
        <v>150</v>
      </c>
      <c r="F837" t="s">
        <v>154</v>
      </c>
      <c r="G837" t="s">
        <v>216</v>
      </c>
      <c r="H837" s="6">
        <v>0</v>
      </c>
      <c r="I837" s="6">
        <v>20220</v>
      </c>
      <c r="J837" s="6">
        <v>-20220</v>
      </c>
    </row>
    <row r="838" spans="1:10">
      <c r="A838" t="s">
        <v>617</v>
      </c>
      <c r="B838" s="5">
        <v>45689</v>
      </c>
      <c r="C838" t="s">
        <v>217</v>
      </c>
      <c r="D838" t="s">
        <v>218</v>
      </c>
      <c r="E838" t="s">
        <v>122</v>
      </c>
      <c r="F838" t="s">
        <v>154</v>
      </c>
      <c r="G838" t="s">
        <v>216</v>
      </c>
      <c r="H838" s="6">
        <v>6792</v>
      </c>
      <c r="I838" s="6">
        <v>0</v>
      </c>
      <c r="J838" s="6">
        <v>6792</v>
      </c>
    </row>
    <row r="839" spans="1:10">
      <c r="A839" t="s">
        <v>617</v>
      </c>
      <c r="B839" s="5">
        <v>45689</v>
      </c>
      <c r="C839" t="s">
        <v>191</v>
      </c>
      <c r="D839" t="s">
        <v>104</v>
      </c>
      <c r="E839" t="s">
        <v>150</v>
      </c>
      <c r="F839" t="s">
        <v>154</v>
      </c>
      <c r="G839" t="s">
        <v>216</v>
      </c>
      <c r="H839" s="6">
        <v>0</v>
      </c>
      <c r="I839" s="6">
        <v>6792</v>
      </c>
      <c r="J839" s="6">
        <v>-6792</v>
      </c>
    </row>
    <row r="840" spans="1:10">
      <c r="A840" t="s">
        <v>618</v>
      </c>
      <c r="B840" s="5">
        <v>45689</v>
      </c>
      <c r="C840" t="s">
        <v>217</v>
      </c>
      <c r="D840" t="s">
        <v>218</v>
      </c>
      <c r="E840" t="s">
        <v>122</v>
      </c>
      <c r="F840" t="s">
        <v>154</v>
      </c>
      <c r="G840" t="s">
        <v>216</v>
      </c>
      <c r="H840" s="6">
        <v>5315.852536000022</v>
      </c>
      <c r="I840" s="6">
        <v>0</v>
      </c>
      <c r="J840" s="6">
        <v>5315.852536000022</v>
      </c>
    </row>
    <row r="841" spans="1:10">
      <c r="A841" t="s">
        <v>618</v>
      </c>
      <c r="B841" s="5">
        <v>45689</v>
      </c>
      <c r="C841" t="s">
        <v>194</v>
      </c>
      <c r="D841" t="s">
        <v>195</v>
      </c>
      <c r="E841" t="s">
        <v>150</v>
      </c>
      <c r="F841" t="s">
        <v>154</v>
      </c>
      <c r="G841" t="s">
        <v>216</v>
      </c>
      <c r="H841" s="6">
        <v>0</v>
      </c>
      <c r="I841" s="6">
        <v>5315.852536000022</v>
      </c>
      <c r="J841" s="6">
        <v>-5315.852536000022</v>
      </c>
    </row>
    <row r="842" spans="1:10">
      <c r="A842" t="s">
        <v>619</v>
      </c>
      <c r="B842" s="5">
        <v>45717</v>
      </c>
      <c r="C842" t="s">
        <v>146</v>
      </c>
      <c r="D842" t="s">
        <v>86</v>
      </c>
      <c r="E842" t="s">
        <v>120</v>
      </c>
      <c r="F842" t="s">
        <v>52</v>
      </c>
      <c r="G842" t="s">
        <v>147</v>
      </c>
      <c r="H842" s="6">
        <v>1389953.08</v>
      </c>
      <c r="I842" s="6">
        <v>0</v>
      </c>
      <c r="J842" s="6">
        <v>1389953.08</v>
      </c>
    </row>
    <row r="843" spans="1:10">
      <c r="A843" t="s">
        <v>619</v>
      </c>
      <c r="B843" s="5">
        <v>45717</v>
      </c>
      <c r="C843" t="s">
        <v>148</v>
      </c>
      <c r="D843" t="s">
        <v>149</v>
      </c>
      <c r="E843" t="s">
        <v>150</v>
      </c>
      <c r="F843" t="s">
        <v>52</v>
      </c>
      <c r="G843" t="s">
        <v>147</v>
      </c>
      <c r="H843" s="6">
        <v>0</v>
      </c>
      <c r="I843" s="6">
        <v>1389953.08</v>
      </c>
      <c r="J843" s="6">
        <v>-1389953.08</v>
      </c>
    </row>
    <row r="844" spans="1:10">
      <c r="A844" t="s">
        <v>620</v>
      </c>
      <c r="B844" s="5">
        <v>45717</v>
      </c>
      <c r="C844" t="s">
        <v>152</v>
      </c>
      <c r="D844" t="s">
        <v>153</v>
      </c>
      <c r="E844" t="s">
        <v>150</v>
      </c>
      <c r="F844" t="s">
        <v>154</v>
      </c>
      <c r="G844" t="s">
        <v>155</v>
      </c>
      <c r="H844" s="6">
        <v>118146.0118</v>
      </c>
      <c r="I844" s="6">
        <v>0</v>
      </c>
      <c r="J844" s="6">
        <v>118146.0118</v>
      </c>
    </row>
    <row r="845" spans="1:10">
      <c r="A845" t="s">
        <v>620</v>
      </c>
      <c r="B845" s="5">
        <v>45717</v>
      </c>
      <c r="C845" t="s">
        <v>156</v>
      </c>
      <c r="D845" t="s">
        <v>157</v>
      </c>
      <c r="E845" t="s">
        <v>121</v>
      </c>
      <c r="F845" t="s">
        <v>154</v>
      </c>
      <c r="G845" t="s">
        <v>155</v>
      </c>
      <c r="H845" s="6">
        <v>0</v>
      </c>
      <c r="I845" s="6">
        <v>118146.0118</v>
      </c>
      <c r="J845" s="6">
        <v>-118146.0118</v>
      </c>
    </row>
    <row r="846" spans="1:10">
      <c r="A846" t="s">
        <v>621</v>
      </c>
      <c r="B846" s="5">
        <v>45717</v>
      </c>
      <c r="C846" t="s">
        <v>159</v>
      </c>
      <c r="D846" t="s">
        <v>160</v>
      </c>
      <c r="E846" t="s">
        <v>120</v>
      </c>
      <c r="F846" t="s">
        <v>58</v>
      </c>
      <c r="G846" t="s">
        <v>161</v>
      </c>
      <c r="H846" s="6">
        <v>1206198.664</v>
      </c>
      <c r="I846" s="6">
        <v>0</v>
      </c>
      <c r="J846" s="6">
        <v>1206198.664</v>
      </c>
    </row>
    <row r="847" spans="1:10">
      <c r="A847" t="s">
        <v>621</v>
      </c>
      <c r="B847" s="5">
        <v>45717</v>
      </c>
      <c r="C847" t="s">
        <v>162</v>
      </c>
      <c r="D847" t="s">
        <v>88</v>
      </c>
      <c r="E847" t="s">
        <v>121</v>
      </c>
      <c r="F847" t="s">
        <v>58</v>
      </c>
      <c r="G847" t="s">
        <v>161</v>
      </c>
      <c r="H847" s="6">
        <v>0</v>
      </c>
      <c r="I847" s="6">
        <v>1206198.664</v>
      </c>
      <c r="J847" s="6">
        <v>-1206198.664</v>
      </c>
    </row>
    <row r="848" spans="1:10">
      <c r="A848" t="s">
        <v>622</v>
      </c>
      <c r="B848" s="5">
        <v>45717</v>
      </c>
      <c r="C848" t="s">
        <v>164</v>
      </c>
      <c r="D848" t="s">
        <v>36</v>
      </c>
      <c r="E848" t="s">
        <v>150</v>
      </c>
      <c r="F848" t="s">
        <v>58</v>
      </c>
      <c r="G848" t="s">
        <v>165</v>
      </c>
      <c r="H848" s="6">
        <v>952291.92</v>
      </c>
      <c r="I848" s="6">
        <v>0</v>
      </c>
      <c r="J848" s="6">
        <v>952291.92</v>
      </c>
    </row>
    <row r="849" spans="1:10">
      <c r="A849" t="s">
        <v>622</v>
      </c>
      <c r="B849" s="5">
        <v>45717</v>
      </c>
      <c r="C849" t="s">
        <v>159</v>
      </c>
      <c r="D849" t="s">
        <v>160</v>
      </c>
      <c r="E849" t="s">
        <v>120</v>
      </c>
      <c r="F849" t="s">
        <v>58</v>
      </c>
      <c r="G849" t="s">
        <v>165</v>
      </c>
      <c r="H849" s="6">
        <v>0</v>
      </c>
      <c r="I849" s="6">
        <v>952291.92</v>
      </c>
      <c r="J849" s="6">
        <v>-952291.92</v>
      </c>
    </row>
    <row r="850" spans="1:10">
      <c r="A850" t="s">
        <v>623</v>
      </c>
      <c r="B850" s="5">
        <v>45717</v>
      </c>
      <c r="C850" t="s">
        <v>167</v>
      </c>
      <c r="D850" t="s">
        <v>51</v>
      </c>
      <c r="E850" t="s">
        <v>150</v>
      </c>
      <c r="F850" t="s">
        <v>51</v>
      </c>
      <c r="G850" t="s">
        <v>168</v>
      </c>
      <c r="H850" s="6">
        <v>105925</v>
      </c>
      <c r="I850" s="6">
        <v>0</v>
      </c>
      <c r="J850" s="6">
        <v>105925</v>
      </c>
    </row>
    <row r="851" spans="1:10">
      <c r="A851" t="s">
        <v>623</v>
      </c>
      <c r="B851" s="5">
        <v>45717</v>
      </c>
      <c r="C851" t="s">
        <v>169</v>
      </c>
      <c r="D851" t="s">
        <v>170</v>
      </c>
      <c r="E851" t="s">
        <v>121</v>
      </c>
      <c r="F851" t="s">
        <v>51</v>
      </c>
      <c r="G851" t="s">
        <v>168</v>
      </c>
      <c r="H851" s="6">
        <v>0</v>
      </c>
      <c r="I851" s="6">
        <v>105925</v>
      </c>
      <c r="J851" s="6">
        <v>-105925</v>
      </c>
    </row>
    <row r="852" spans="1:10">
      <c r="A852" t="s">
        <v>624</v>
      </c>
      <c r="B852" s="5">
        <v>45717</v>
      </c>
      <c r="C852" t="s">
        <v>169</v>
      </c>
      <c r="D852" t="s">
        <v>170</v>
      </c>
      <c r="E852" t="s">
        <v>121</v>
      </c>
      <c r="F852" t="s">
        <v>51</v>
      </c>
      <c r="G852" t="s">
        <v>172</v>
      </c>
      <c r="H852" s="6">
        <v>105925</v>
      </c>
      <c r="I852" s="6">
        <v>0</v>
      </c>
      <c r="J852" s="6">
        <v>105925</v>
      </c>
    </row>
    <row r="853" spans="1:10">
      <c r="A853" t="s">
        <v>624</v>
      </c>
      <c r="B853" s="5">
        <v>45717</v>
      </c>
      <c r="C853" t="s">
        <v>173</v>
      </c>
      <c r="D853" t="s">
        <v>174</v>
      </c>
      <c r="E853" t="s">
        <v>120</v>
      </c>
      <c r="F853" t="s">
        <v>51</v>
      </c>
      <c r="G853" t="s">
        <v>172</v>
      </c>
      <c r="H853" s="6">
        <v>0</v>
      </c>
      <c r="I853" s="6">
        <v>105925</v>
      </c>
      <c r="J853" s="6">
        <v>-105925</v>
      </c>
    </row>
    <row r="854" spans="1:10">
      <c r="A854" t="s">
        <v>625</v>
      </c>
      <c r="B854" s="5">
        <v>45717</v>
      </c>
      <c r="C854" t="s">
        <v>176</v>
      </c>
      <c r="D854" t="s">
        <v>52</v>
      </c>
      <c r="E854" t="s">
        <v>150</v>
      </c>
      <c r="F854" t="s">
        <v>52</v>
      </c>
      <c r="G854" t="s">
        <v>177</v>
      </c>
      <c r="H854" s="6">
        <v>50038.31</v>
      </c>
      <c r="I854" s="6">
        <v>0</v>
      </c>
      <c r="J854" s="6">
        <v>50038.31</v>
      </c>
    </row>
    <row r="855" spans="1:10">
      <c r="A855" t="s">
        <v>625</v>
      </c>
      <c r="B855" s="5">
        <v>45717</v>
      </c>
      <c r="C855" t="s">
        <v>173</v>
      </c>
      <c r="D855" t="s">
        <v>174</v>
      </c>
      <c r="E855" t="s">
        <v>120</v>
      </c>
      <c r="F855" t="s">
        <v>52</v>
      </c>
      <c r="G855" t="s">
        <v>177</v>
      </c>
      <c r="H855" s="6">
        <v>0</v>
      </c>
      <c r="I855" s="6">
        <v>50038.31</v>
      </c>
      <c r="J855" s="6">
        <v>-50038.31</v>
      </c>
    </row>
    <row r="856" spans="1:10">
      <c r="A856" t="s">
        <v>626</v>
      </c>
      <c r="B856" s="5">
        <v>45717</v>
      </c>
      <c r="C856" t="s">
        <v>179</v>
      </c>
      <c r="D856" t="s">
        <v>54</v>
      </c>
      <c r="E856" t="s">
        <v>150</v>
      </c>
      <c r="F856" t="s">
        <v>54</v>
      </c>
      <c r="G856" t="s">
        <v>177</v>
      </c>
      <c r="H856" s="6">
        <v>33920</v>
      </c>
      <c r="I856" s="6">
        <v>0</v>
      </c>
      <c r="J856" s="6">
        <v>33920</v>
      </c>
    </row>
    <row r="857" spans="1:10">
      <c r="A857" t="s">
        <v>626</v>
      </c>
      <c r="B857" s="5">
        <v>45717</v>
      </c>
      <c r="C857" t="s">
        <v>173</v>
      </c>
      <c r="D857" t="s">
        <v>174</v>
      </c>
      <c r="E857" t="s">
        <v>120</v>
      </c>
      <c r="F857" t="s">
        <v>54</v>
      </c>
      <c r="G857" t="s">
        <v>177</v>
      </c>
      <c r="H857" s="6">
        <v>0</v>
      </c>
      <c r="I857" s="6">
        <v>33920</v>
      </c>
      <c r="J857" s="6">
        <v>-33920</v>
      </c>
    </row>
    <row r="858" spans="1:10">
      <c r="A858" t="s">
        <v>627</v>
      </c>
      <c r="B858" s="5">
        <v>45717</v>
      </c>
      <c r="C858" t="s">
        <v>181</v>
      </c>
      <c r="D858" t="s">
        <v>56</v>
      </c>
      <c r="E858" t="s">
        <v>150</v>
      </c>
      <c r="F858" t="s">
        <v>56</v>
      </c>
      <c r="G858" t="s">
        <v>177</v>
      </c>
      <c r="H858" s="6">
        <v>20160</v>
      </c>
      <c r="I858" s="6">
        <v>0</v>
      </c>
      <c r="J858" s="6">
        <v>20160</v>
      </c>
    </row>
    <row r="859" spans="1:10">
      <c r="A859" t="s">
        <v>627</v>
      </c>
      <c r="B859" s="5">
        <v>45717</v>
      </c>
      <c r="C859" t="s">
        <v>173</v>
      </c>
      <c r="D859" t="s">
        <v>174</v>
      </c>
      <c r="E859" t="s">
        <v>120</v>
      </c>
      <c r="F859" t="s">
        <v>56</v>
      </c>
      <c r="G859" t="s">
        <v>177</v>
      </c>
      <c r="H859" s="6">
        <v>0</v>
      </c>
      <c r="I859" s="6">
        <v>20160</v>
      </c>
      <c r="J859" s="6">
        <v>-20160</v>
      </c>
    </row>
    <row r="860" spans="1:10">
      <c r="A860" t="s">
        <v>628</v>
      </c>
      <c r="B860" s="5">
        <v>45717</v>
      </c>
      <c r="C860" t="s">
        <v>183</v>
      </c>
      <c r="D860" t="s">
        <v>59</v>
      </c>
      <c r="E860" t="s">
        <v>150</v>
      </c>
      <c r="F860" t="s">
        <v>66</v>
      </c>
      <c r="G860" t="s">
        <v>177</v>
      </c>
      <c r="H860" s="6">
        <v>30578.97</v>
      </c>
      <c r="I860" s="6">
        <v>0</v>
      </c>
      <c r="J860" s="6">
        <v>30578.97</v>
      </c>
    </row>
    <row r="861" spans="1:10">
      <c r="A861" t="s">
        <v>628</v>
      </c>
      <c r="B861" s="5">
        <v>45717</v>
      </c>
      <c r="C861" t="s">
        <v>173</v>
      </c>
      <c r="D861" t="s">
        <v>174</v>
      </c>
      <c r="E861" t="s">
        <v>120</v>
      </c>
      <c r="F861" t="s">
        <v>66</v>
      </c>
      <c r="G861" t="s">
        <v>177</v>
      </c>
      <c r="H861" s="6">
        <v>0</v>
      </c>
      <c r="I861" s="6">
        <v>30578.97</v>
      </c>
      <c r="J861" s="6">
        <v>-30578.97</v>
      </c>
    </row>
    <row r="862" spans="1:10">
      <c r="A862" t="s">
        <v>629</v>
      </c>
      <c r="B862" s="5">
        <v>45717</v>
      </c>
      <c r="C862" t="s">
        <v>185</v>
      </c>
      <c r="D862" t="s">
        <v>186</v>
      </c>
      <c r="E862" t="s">
        <v>150</v>
      </c>
      <c r="F862" t="s">
        <v>154</v>
      </c>
      <c r="G862" t="s">
        <v>187</v>
      </c>
      <c r="H862" s="6">
        <v>20400</v>
      </c>
      <c r="I862" s="6">
        <v>0</v>
      </c>
      <c r="J862" s="6">
        <v>20400</v>
      </c>
    </row>
    <row r="863" spans="1:10">
      <c r="A863" t="s">
        <v>629</v>
      </c>
      <c r="B863" s="5">
        <v>45717</v>
      </c>
      <c r="C863" t="s">
        <v>188</v>
      </c>
      <c r="D863" t="s">
        <v>189</v>
      </c>
      <c r="E863" t="s">
        <v>120</v>
      </c>
      <c r="F863" t="s">
        <v>154</v>
      </c>
      <c r="G863" t="s">
        <v>187</v>
      </c>
      <c r="H863" s="6">
        <v>0</v>
      </c>
      <c r="I863" s="6">
        <v>20400</v>
      </c>
      <c r="J863" s="6">
        <v>-20400</v>
      </c>
    </row>
    <row r="864" spans="1:10">
      <c r="A864" t="s">
        <v>630</v>
      </c>
      <c r="B864" s="5">
        <v>45717</v>
      </c>
      <c r="C864" t="s">
        <v>191</v>
      </c>
      <c r="D864" t="s">
        <v>104</v>
      </c>
      <c r="E864" t="s">
        <v>150</v>
      </c>
      <c r="F864" t="s">
        <v>154</v>
      </c>
      <c r="G864" t="s">
        <v>192</v>
      </c>
      <c r="H864" s="6">
        <v>6576</v>
      </c>
      <c r="I864" s="6">
        <v>0</v>
      </c>
      <c r="J864" s="6">
        <v>6576</v>
      </c>
    </row>
    <row r="865" spans="1:10">
      <c r="A865" t="s">
        <v>630</v>
      </c>
      <c r="B865" s="5">
        <v>45717</v>
      </c>
      <c r="C865" t="s">
        <v>173</v>
      </c>
      <c r="D865" t="s">
        <v>174</v>
      </c>
      <c r="E865" t="s">
        <v>120</v>
      </c>
      <c r="F865" t="s">
        <v>154</v>
      </c>
      <c r="G865" t="s">
        <v>192</v>
      </c>
      <c r="H865" s="6">
        <v>0</v>
      </c>
      <c r="I865" s="6">
        <v>6576</v>
      </c>
      <c r="J865" s="6">
        <v>-6576</v>
      </c>
    </row>
    <row r="866" spans="1:10">
      <c r="A866" t="s">
        <v>631</v>
      </c>
      <c r="B866" s="5">
        <v>45717</v>
      </c>
      <c r="C866" t="s">
        <v>194</v>
      </c>
      <c r="D866" t="s">
        <v>195</v>
      </c>
      <c r="E866" t="s">
        <v>150</v>
      </c>
      <c r="F866" t="s">
        <v>154</v>
      </c>
      <c r="G866" t="s">
        <v>196</v>
      </c>
      <c r="H866" s="6">
        <v>17651.73518800002</v>
      </c>
      <c r="I866" s="6">
        <v>0</v>
      </c>
      <c r="J866" s="6">
        <v>17651.73518800002</v>
      </c>
    </row>
    <row r="867" spans="1:10">
      <c r="A867" t="s">
        <v>631</v>
      </c>
      <c r="B867" s="5">
        <v>45717</v>
      </c>
      <c r="C867" t="s">
        <v>197</v>
      </c>
      <c r="D867" t="s">
        <v>198</v>
      </c>
      <c r="E867" t="s">
        <v>121</v>
      </c>
      <c r="F867" t="s">
        <v>154</v>
      </c>
      <c r="G867" t="s">
        <v>196</v>
      </c>
      <c r="H867" s="6">
        <v>0</v>
      </c>
      <c r="I867" s="6">
        <v>17651.73518800002</v>
      </c>
      <c r="J867" s="6">
        <v>-17651.73518800002</v>
      </c>
    </row>
    <row r="868" spans="1:10">
      <c r="A868" t="s">
        <v>632</v>
      </c>
      <c r="B868" s="5">
        <v>45717</v>
      </c>
      <c r="C868" t="s">
        <v>173</v>
      </c>
      <c r="D868" t="s">
        <v>174</v>
      </c>
      <c r="E868" t="s">
        <v>120</v>
      </c>
      <c r="F868" t="s">
        <v>154</v>
      </c>
      <c r="G868" t="s">
        <v>200</v>
      </c>
      <c r="H868" s="6">
        <v>1055906.345333333</v>
      </c>
      <c r="I868" s="6">
        <v>0</v>
      </c>
      <c r="J868" s="6">
        <v>1055906.345333333</v>
      </c>
    </row>
    <row r="869" spans="1:10">
      <c r="A869" t="s">
        <v>632</v>
      </c>
      <c r="B869" s="5">
        <v>45717</v>
      </c>
      <c r="C869" t="s">
        <v>146</v>
      </c>
      <c r="D869" t="s">
        <v>86</v>
      </c>
      <c r="E869" t="s">
        <v>120</v>
      </c>
      <c r="F869" t="s">
        <v>154</v>
      </c>
      <c r="G869" t="s">
        <v>200</v>
      </c>
      <c r="H869" s="6">
        <v>0</v>
      </c>
      <c r="I869" s="6">
        <v>1055906.345333333</v>
      </c>
      <c r="J869" s="6">
        <v>-1055906.345333333</v>
      </c>
    </row>
    <row r="870" spans="1:10">
      <c r="A870" t="s">
        <v>633</v>
      </c>
      <c r="B870" s="5">
        <v>45717</v>
      </c>
      <c r="C870" t="s">
        <v>162</v>
      </c>
      <c r="D870" t="s">
        <v>88</v>
      </c>
      <c r="E870" t="s">
        <v>121</v>
      </c>
      <c r="F870" t="s">
        <v>154</v>
      </c>
      <c r="G870" t="s">
        <v>202</v>
      </c>
      <c r="H870" s="6">
        <v>1035299.894</v>
      </c>
      <c r="I870" s="6">
        <v>0</v>
      </c>
      <c r="J870" s="6">
        <v>1035299.894</v>
      </c>
    </row>
    <row r="871" spans="1:10">
      <c r="A871" t="s">
        <v>633</v>
      </c>
      <c r="B871" s="5">
        <v>45717</v>
      </c>
      <c r="C871" t="s">
        <v>173</v>
      </c>
      <c r="D871" t="s">
        <v>174</v>
      </c>
      <c r="E871" t="s">
        <v>120</v>
      </c>
      <c r="F871" t="s">
        <v>154</v>
      </c>
      <c r="G871" t="s">
        <v>202</v>
      </c>
      <c r="H871" s="6">
        <v>0</v>
      </c>
      <c r="I871" s="6">
        <v>1035299.894</v>
      </c>
      <c r="J871" s="6">
        <v>-1035299.894</v>
      </c>
    </row>
    <row r="872" spans="1:10">
      <c r="A872" t="s">
        <v>634</v>
      </c>
      <c r="B872" s="5">
        <v>45717</v>
      </c>
      <c r="C872" t="s">
        <v>156</v>
      </c>
      <c r="D872" t="s">
        <v>157</v>
      </c>
      <c r="E872" t="s">
        <v>121</v>
      </c>
      <c r="F872" t="s">
        <v>154</v>
      </c>
      <c r="G872" t="s">
        <v>204</v>
      </c>
      <c r="H872" s="6">
        <v>100022.1996</v>
      </c>
      <c r="I872" s="6">
        <v>0</v>
      </c>
      <c r="J872" s="6">
        <v>100022.1996</v>
      </c>
    </row>
    <row r="873" spans="1:10">
      <c r="A873" t="s">
        <v>634</v>
      </c>
      <c r="B873" s="5">
        <v>45717</v>
      </c>
      <c r="C873" t="s">
        <v>173</v>
      </c>
      <c r="D873" t="s">
        <v>174</v>
      </c>
      <c r="E873" t="s">
        <v>120</v>
      </c>
      <c r="F873" t="s">
        <v>154</v>
      </c>
      <c r="G873" t="s">
        <v>204</v>
      </c>
      <c r="H873" s="6">
        <v>0</v>
      </c>
      <c r="I873" s="6">
        <v>100022.1996</v>
      </c>
      <c r="J873" s="6">
        <v>-100022.1996</v>
      </c>
    </row>
    <row r="874" spans="1:10">
      <c r="A874" t="s">
        <v>635</v>
      </c>
      <c r="B874" s="5">
        <v>45717</v>
      </c>
      <c r="C874" t="s">
        <v>197</v>
      </c>
      <c r="D874" t="s">
        <v>198</v>
      </c>
      <c r="E874" t="s">
        <v>121</v>
      </c>
      <c r="F874" t="s">
        <v>154</v>
      </c>
      <c r="G874" t="s">
        <v>206</v>
      </c>
      <c r="H874" s="6">
        <v>5315.85253600002</v>
      </c>
      <c r="I874" s="6">
        <v>0</v>
      </c>
      <c r="J874" s="6">
        <v>5315.85253600002</v>
      </c>
    </row>
    <row r="875" spans="1:10">
      <c r="A875" t="s">
        <v>635</v>
      </c>
      <c r="B875" s="5">
        <v>45717</v>
      </c>
      <c r="C875" t="s">
        <v>173</v>
      </c>
      <c r="D875" t="s">
        <v>174</v>
      </c>
      <c r="E875" t="s">
        <v>120</v>
      </c>
      <c r="F875" t="s">
        <v>154</v>
      </c>
      <c r="G875" t="s">
        <v>206</v>
      </c>
      <c r="H875" s="6">
        <v>0</v>
      </c>
      <c r="I875" s="6">
        <v>5315.85253600002</v>
      </c>
      <c r="J875" s="6">
        <v>-5315.85253600002</v>
      </c>
    </row>
    <row r="876" spans="1:10">
      <c r="A876" t="s">
        <v>636</v>
      </c>
      <c r="B876" s="5">
        <v>45717</v>
      </c>
      <c r="C876" t="s">
        <v>208</v>
      </c>
      <c r="D876" t="s">
        <v>209</v>
      </c>
      <c r="E876" t="s">
        <v>120</v>
      </c>
      <c r="F876" t="s">
        <v>154</v>
      </c>
      <c r="G876" t="s">
        <v>210</v>
      </c>
      <c r="H876" s="6">
        <v>90000</v>
      </c>
      <c r="I876" s="6">
        <v>0</v>
      </c>
      <c r="J876" s="6">
        <v>90000</v>
      </c>
    </row>
    <row r="877" spans="1:10">
      <c r="A877" t="s">
        <v>636</v>
      </c>
      <c r="B877" s="5">
        <v>45717</v>
      </c>
      <c r="C877" t="s">
        <v>173</v>
      </c>
      <c r="D877" t="s">
        <v>174</v>
      </c>
      <c r="E877" t="s">
        <v>120</v>
      </c>
      <c r="F877" t="s">
        <v>154</v>
      </c>
      <c r="G877" t="s">
        <v>210</v>
      </c>
      <c r="H877" s="6">
        <v>0</v>
      </c>
      <c r="I877" s="6">
        <v>90000</v>
      </c>
      <c r="J877" s="6">
        <v>-90000</v>
      </c>
    </row>
    <row r="878" spans="1:10">
      <c r="A878" t="s">
        <v>637</v>
      </c>
      <c r="B878" s="5">
        <v>45717</v>
      </c>
      <c r="C878" t="s">
        <v>212</v>
      </c>
      <c r="D878" t="s">
        <v>213</v>
      </c>
      <c r="E878" t="s">
        <v>121</v>
      </c>
      <c r="F878" t="s">
        <v>154</v>
      </c>
      <c r="G878" t="s">
        <v>214</v>
      </c>
      <c r="H878" s="6">
        <v>18000</v>
      </c>
      <c r="I878" s="6">
        <v>0</v>
      </c>
      <c r="J878" s="6">
        <v>18000</v>
      </c>
    </row>
    <row r="879" spans="1:10">
      <c r="A879" t="s">
        <v>637</v>
      </c>
      <c r="B879" s="5">
        <v>45717</v>
      </c>
      <c r="C879" t="s">
        <v>173</v>
      </c>
      <c r="D879" t="s">
        <v>174</v>
      </c>
      <c r="E879" t="s">
        <v>120</v>
      </c>
      <c r="F879" t="s">
        <v>154</v>
      </c>
      <c r="G879" t="s">
        <v>214</v>
      </c>
      <c r="H879" s="6">
        <v>0</v>
      </c>
      <c r="I879" s="6">
        <v>18000</v>
      </c>
      <c r="J879" s="6">
        <v>-18000</v>
      </c>
    </row>
    <row r="880" spans="1:10">
      <c r="A880" t="s">
        <v>638</v>
      </c>
      <c r="B880" s="5">
        <v>45717</v>
      </c>
      <c r="C880" t="s">
        <v>148</v>
      </c>
      <c r="D880" t="s">
        <v>149</v>
      </c>
      <c r="E880" t="s">
        <v>150</v>
      </c>
      <c r="F880" t="s">
        <v>154</v>
      </c>
      <c r="G880" t="s">
        <v>216</v>
      </c>
      <c r="H880" s="6">
        <v>1389953.08</v>
      </c>
      <c r="I880" s="6">
        <v>0</v>
      </c>
      <c r="J880" s="6">
        <v>1389953.08</v>
      </c>
    </row>
    <row r="881" spans="1:10">
      <c r="A881" t="s">
        <v>638</v>
      </c>
      <c r="B881" s="5">
        <v>45717</v>
      </c>
      <c r="C881" t="s">
        <v>217</v>
      </c>
      <c r="D881" t="s">
        <v>218</v>
      </c>
      <c r="E881" t="s">
        <v>122</v>
      </c>
      <c r="F881" t="s">
        <v>154</v>
      </c>
      <c r="G881" t="s">
        <v>216</v>
      </c>
      <c r="H881" s="6">
        <v>0</v>
      </c>
      <c r="I881" s="6">
        <v>1389953.08</v>
      </c>
      <c r="J881" s="6">
        <v>-1389953.08</v>
      </c>
    </row>
    <row r="882" spans="1:10">
      <c r="A882" t="s">
        <v>639</v>
      </c>
      <c r="B882" s="5">
        <v>45717</v>
      </c>
      <c r="C882" t="s">
        <v>217</v>
      </c>
      <c r="D882" t="s">
        <v>218</v>
      </c>
      <c r="E882" t="s">
        <v>122</v>
      </c>
      <c r="F882" t="s">
        <v>154</v>
      </c>
      <c r="G882" t="s">
        <v>216</v>
      </c>
      <c r="H882" s="6">
        <v>118146.0118</v>
      </c>
      <c r="I882" s="6">
        <v>0</v>
      </c>
      <c r="J882" s="6">
        <v>118146.0118</v>
      </c>
    </row>
    <row r="883" spans="1:10">
      <c r="A883" t="s">
        <v>639</v>
      </c>
      <c r="B883" s="5">
        <v>45717</v>
      </c>
      <c r="C883" t="s">
        <v>152</v>
      </c>
      <c r="D883" t="s">
        <v>153</v>
      </c>
      <c r="E883" t="s">
        <v>150</v>
      </c>
      <c r="F883" t="s">
        <v>154</v>
      </c>
      <c r="G883" t="s">
        <v>216</v>
      </c>
      <c r="H883" s="6">
        <v>0</v>
      </c>
      <c r="I883" s="6">
        <v>118146.0118</v>
      </c>
      <c r="J883" s="6">
        <v>-118146.0118</v>
      </c>
    </row>
    <row r="884" spans="1:10">
      <c r="A884" t="s">
        <v>640</v>
      </c>
      <c r="B884" s="5">
        <v>45717</v>
      </c>
      <c r="C884" t="s">
        <v>217</v>
      </c>
      <c r="D884" t="s">
        <v>218</v>
      </c>
      <c r="E884" t="s">
        <v>122</v>
      </c>
      <c r="F884" t="s">
        <v>154</v>
      </c>
      <c r="G884" t="s">
        <v>216</v>
      </c>
      <c r="H884" s="6">
        <v>952291.92</v>
      </c>
      <c r="I884" s="6">
        <v>0</v>
      </c>
      <c r="J884" s="6">
        <v>952291.92</v>
      </c>
    </row>
    <row r="885" spans="1:10">
      <c r="A885" t="s">
        <v>640</v>
      </c>
      <c r="B885" s="5">
        <v>45717</v>
      </c>
      <c r="C885" t="s">
        <v>164</v>
      </c>
      <c r="D885" t="s">
        <v>36</v>
      </c>
      <c r="E885" t="s">
        <v>150</v>
      </c>
      <c r="F885" t="s">
        <v>154</v>
      </c>
      <c r="G885" t="s">
        <v>216</v>
      </c>
      <c r="H885" s="6">
        <v>0</v>
      </c>
      <c r="I885" s="6">
        <v>952291.92</v>
      </c>
      <c r="J885" s="6">
        <v>-952291.92</v>
      </c>
    </row>
    <row r="886" spans="1:10">
      <c r="A886" t="s">
        <v>641</v>
      </c>
      <c r="B886" s="5">
        <v>45717</v>
      </c>
      <c r="C886" t="s">
        <v>217</v>
      </c>
      <c r="D886" t="s">
        <v>218</v>
      </c>
      <c r="E886" t="s">
        <v>122</v>
      </c>
      <c r="F886" t="s">
        <v>154</v>
      </c>
      <c r="G886" t="s">
        <v>216</v>
      </c>
      <c r="H886" s="6">
        <v>105925</v>
      </c>
      <c r="I886" s="6">
        <v>0</v>
      </c>
      <c r="J886" s="6">
        <v>105925</v>
      </c>
    </row>
    <row r="887" spans="1:10">
      <c r="A887" t="s">
        <v>641</v>
      </c>
      <c r="B887" s="5">
        <v>45717</v>
      </c>
      <c r="C887" t="s">
        <v>167</v>
      </c>
      <c r="D887" t="s">
        <v>51</v>
      </c>
      <c r="E887" t="s">
        <v>150</v>
      </c>
      <c r="F887" t="s">
        <v>154</v>
      </c>
      <c r="G887" t="s">
        <v>216</v>
      </c>
      <c r="H887" s="6">
        <v>0</v>
      </c>
      <c r="I887" s="6">
        <v>105925</v>
      </c>
      <c r="J887" s="6">
        <v>-105925</v>
      </c>
    </row>
    <row r="888" spans="1:10">
      <c r="A888" t="s">
        <v>642</v>
      </c>
      <c r="B888" s="5">
        <v>45717</v>
      </c>
      <c r="C888" t="s">
        <v>217</v>
      </c>
      <c r="D888" t="s">
        <v>218</v>
      </c>
      <c r="E888" t="s">
        <v>122</v>
      </c>
      <c r="F888" t="s">
        <v>154</v>
      </c>
      <c r="G888" t="s">
        <v>216</v>
      </c>
      <c r="H888" s="6">
        <v>50038.31</v>
      </c>
      <c r="I888" s="6">
        <v>0</v>
      </c>
      <c r="J888" s="6">
        <v>50038.31</v>
      </c>
    </row>
    <row r="889" spans="1:10">
      <c r="A889" t="s">
        <v>642</v>
      </c>
      <c r="B889" s="5">
        <v>45717</v>
      </c>
      <c r="C889" t="s">
        <v>176</v>
      </c>
      <c r="D889" t="s">
        <v>52</v>
      </c>
      <c r="E889" t="s">
        <v>150</v>
      </c>
      <c r="F889" t="s">
        <v>154</v>
      </c>
      <c r="G889" t="s">
        <v>216</v>
      </c>
      <c r="H889" s="6">
        <v>0</v>
      </c>
      <c r="I889" s="6">
        <v>50038.31</v>
      </c>
      <c r="J889" s="6">
        <v>-50038.31</v>
      </c>
    </row>
    <row r="890" spans="1:10">
      <c r="A890" t="s">
        <v>643</v>
      </c>
      <c r="B890" s="5">
        <v>45717</v>
      </c>
      <c r="C890" t="s">
        <v>217</v>
      </c>
      <c r="D890" t="s">
        <v>218</v>
      </c>
      <c r="E890" t="s">
        <v>122</v>
      </c>
      <c r="F890" t="s">
        <v>154</v>
      </c>
      <c r="G890" t="s">
        <v>216</v>
      </c>
      <c r="H890" s="6">
        <v>33920</v>
      </c>
      <c r="I890" s="6">
        <v>0</v>
      </c>
      <c r="J890" s="6">
        <v>33920</v>
      </c>
    </row>
    <row r="891" spans="1:10">
      <c r="A891" t="s">
        <v>643</v>
      </c>
      <c r="B891" s="5">
        <v>45717</v>
      </c>
      <c r="C891" t="s">
        <v>179</v>
      </c>
      <c r="D891" t="s">
        <v>54</v>
      </c>
      <c r="E891" t="s">
        <v>150</v>
      </c>
      <c r="F891" t="s">
        <v>154</v>
      </c>
      <c r="G891" t="s">
        <v>216</v>
      </c>
      <c r="H891" s="6">
        <v>0</v>
      </c>
      <c r="I891" s="6">
        <v>33920</v>
      </c>
      <c r="J891" s="6">
        <v>-33920</v>
      </c>
    </row>
    <row r="892" spans="1:10">
      <c r="A892" t="s">
        <v>644</v>
      </c>
      <c r="B892" s="5">
        <v>45717</v>
      </c>
      <c r="C892" t="s">
        <v>217</v>
      </c>
      <c r="D892" t="s">
        <v>218</v>
      </c>
      <c r="E892" t="s">
        <v>122</v>
      </c>
      <c r="F892" t="s">
        <v>154</v>
      </c>
      <c r="G892" t="s">
        <v>216</v>
      </c>
      <c r="H892" s="6">
        <v>20160</v>
      </c>
      <c r="I892" s="6">
        <v>0</v>
      </c>
      <c r="J892" s="6">
        <v>20160</v>
      </c>
    </row>
    <row r="893" spans="1:10">
      <c r="A893" t="s">
        <v>644</v>
      </c>
      <c r="B893" s="5">
        <v>45717</v>
      </c>
      <c r="C893" t="s">
        <v>181</v>
      </c>
      <c r="D893" t="s">
        <v>56</v>
      </c>
      <c r="E893" t="s">
        <v>150</v>
      </c>
      <c r="F893" t="s">
        <v>154</v>
      </c>
      <c r="G893" t="s">
        <v>216</v>
      </c>
      <c r="H893" s="6">
        <v>0</v>
      </c>
      <c r="I893" s="6">
        <v>20160</v>
      </c>
      <c r="J893" s="6">
        <v>-20160</v>
      </c>
    </row>
    <row r="894" spans="1:10">
      <c r="A894" t="s">
        <v>645</v>
      </c>
      <c r="B894" s="5">
        <v>45717</v>
      </c>
      <c r="C894" t="s">
        <v>217</v>
      </c>
      <c r="D894" t="s">
        <v>218</v>
      </c>
      <c r="E894" t="s">
        <v>122</v>
      </c>
      <c r="F894" t="s">
        <v>154</v>
      </c>
      <c r="G894" t="s">
        <v>216</v>
      </c>
      <c r="H894" s="6">
        <v>30578.97</v>
      </c>
      <c r="I894" s="6">
        <v>0</v>
      </c>
      <c r="J894" s="6">
        <v>30578.97</v>
      </c>
    </row>
    <row r="895" spans="1:10">
      <c r="A895" t="s">
        <v>645</v>
      </c>
      <c r="B895" s="5">
        <v>45717</v>
      </c>
      <c r="C895" t="s">
        <v>183</v>
      </c>
      <c r="D895" t="s">
        <v>59</v>
      </c>
      <c r="E895" t="s">
        <v>150</v>
      </c>
      <c r="F895" t="s">
        <v>154</v>
      </c>
      <c r="G895" t="s">
        <v>216</v>
      </c>
      <c r="H895" s="6">
        <v>0</v>
      </c>
      <c r="I895" s="6">
        <v>30578.97</v>
      </c>
      <c r="J895" s="6">
        <v>-30578.97</v>
      </c>
    </row>
    <row r="896" spans="1:10">
      <c r="A896" t="s">
        <v>646</v>
      </c>
      <c r="B896" s="5">
        <v>45717</v>
      </c>
      <c r="C896" t="s">
        <v>217</v>
      </c>
      <c r="D896" t="s">
        <v>218</v>
      </c>
      <c r="E896" t="s">
        <v>122</v>
      </c>
      <c r="F896" t="s">
        <v>154</v>
      </c>
      <c r="G896" t="s">
        <v>216</v>
      </c>
      <c r="H896" s="6">
        <v>20400</v>
      </c>
      <c r="I896" s="6">
        <v>0</v>
      </c>
      <c r="J896" s="6">
        <v>20400</v>
      </c>
    </row>
    <row r="897" spans="1:10">
      <c r="A897" t="s">
        <v>646</v>
      </c>
      <c r="B897" s="5">
        <v>45717</v>
      </c>
      <c r="C897" t="s">
        <v>185</v>
      </c>
      <c r="D897" t="s">
        <v>186</v>
      </c>
      <c r="E897" t="s">
        <v>150</v>
      </c>
      <c r="F897" t="s">
        <v>154</v>
      </c>
      <c r="G897" t="s">
        <v>216</v>
      </c>
      <c r="H897" s="6">
        <v>0</v>
      </c>
      <c r="I897" s="6">
        <v>20400</v>
      </c>
      <c r="J897" s="6">
        <v>-20400</v>
      </c>
    </row>
    <row r="898" spans="1:10">
      <c r="A898" t="s">
        <v>647</v>
      </c>
      <c r="B898" s="5">
        <v>45717</v>
      </c>
      <c r="C898" t="s">
        <v>217</v>
      </c>
      <c r="D898" t="s">
        <v>218</v>
      </c>
      <c r="E898" t="s">
        <v>122</v>
      </c>
      <c r="F898" t="s">
        <v>154</v>
      </c>
      <c r="G898" t="s">
        <v>216</v>
      </c>
      <c r="H898" s="6">
        <v>6576</v>
      </c>
      <c r="I898" s="6">
        <v>0</v>
      </c>
      <c r="J898" s="6">
        <v>6576</v>
      </c>
    </row>
    <row r="899" spans="1:10">
      <c r="A899" t="s">
        <v>647</v>
      </c>
      <c r="B899" s="5">
        <v>45717</v>
      </c>
      <c r="C899" t="s">
        <v>191</v>
      </c>
      <c r="D899" t="s">
        <v>104</v>
      </c>
      <c r="E899" t="s">
        <v>150</v>
      </c>
      <c r="F899" t="s">
        <v>154</v>
      </c>
      <c r="G899" t="s">
        <v>216</v>
      </c>
      <c r="H899" s="6">
        <v>0</v>
      </c>
      <c r="I899" s="6">
        <v>6576</v>
      </c>
      <c r="J899" s="6">
        <v>-6576</v>
      </c>
    </row>
    <row r="900" spans="1:10">
      <c r="A900" t="s">
        <v>648</v>
      </c>
      <c r="B900" s="5">
        <v>45717</v>
      </c>
      <c r="C900" t="s">
        <v>217</v>
      </c>
      <c r="D900" t="s">
        <v>218</v>
      </c>
      <c r="E900" t="s">
        <v>122</v>
      </c>
      <c r="F900" t="s">
        <v>154</v>
      </c>
      <c r="G900" t="s">
        <v>216</v>
      </c>
      <c r="H900" s="6">
        <v>17651.73518800002</v>
      </c>
      <c r="I900" s="6">
        <v>0</v>
      </c>
      <c r="J900" s="6">
        <v>17651.73518800002</v>
      </c>
    </row>
    <row r="901" spans="1:10">
      <c r="A901" t="s">
        <v>648</v>
      </c>
      <c r="B901" s="5">
        <v>45717</v>
      </c>
      <c r="C901" t="s">
        <v>194</v>
      </c>
      <c r="D901" t="s">
        <v>195</v>
      </c>
      <c r="E901" t="s">
        <v>150</v>
      </c>
      <c r="F901" t="s">
        <v>154</v>
      </c>
      <c r="G901" t="s">
        <v>216</v>
      </c>
      <c r="H901" s="6">
        <v>0</v>
      </c>
      <c r="I901" s="6">
        <v>17651.73518800002</v>
      </c>
      <c r="J901" s="6">
        <v>-17651.73518800002</v>
      </c>
    </row>
    <row r="902" spans="1:10">
      <c r="A902" t="s">
        <v>649</v>
      </c>
      <c r="B902" s="5">
        <v>45748</v>
      </c>
      <c r="C902" t="s">
        <v>146</v>
      </c>
      <c r="D902" t="s">
        <v>86</v>
      </c>
      <c r="E902" t="s">
        <v>120</v>
      </c>
      <c r="F902" t="s">
        <v>52</v>
      </c>
      <c r="G902" t="s">
        <v>147</v>
      </c>
      <c r="H902" s="6">
        <v>1384297.22</v>
      </c>
      <c r="I902" s="6">
        <v>0</v>
      </c>
      <c r="J902" s="6">
        <v>1384297.22</v>
      </c>
    </row>
    <row r="903" spans="1:10">
      <c r="A903" t="s">
        <v>649</v>
      </c>
      <c r="B903" s="5">
        <v>45748</v>
      </c>
      <c r="C903" t="s">
        <v>148</v>
      </c>
      <c r="D903" t="s">
        <v>149</v>
      </c>
      <c r="E903" t="s">
        <v>150</v>
      </c>
      <c r="F903" t="s">
        <v>52</v>
      </c>
      <c r="G903" t="s">
        <v>147</v>
      </c>
      <c r="H903" s="6">
        <v>0</v>
      </c>
      <c r="I903" s="6">
        <v>1384297.22</v>
      </c>
      <c r="J903" s="6">
        <v>-1384297.22</v>
      </c>
    </row>
    <row r="904" spans="1:10">
      <c r="A904" t="s">
        <v>650</v>
      </c>
      <c r="B904" s="5">
        <v>45748</v>
      </c>
      <c r="C904" t="s">
        <v>152</v>
      </c>
      <c r="D904" t="s">
        <v>153</v>
      </c>
      <c r="E904" t="s">
        <v>150</v>
      </c>
      <c r="F904" t="s">
        <v>154</v>
      </c>
      <c r="G904" t="s">
        <v>155</v>
      </c>
      <c r="H904" s="6">
        <v>117665.2637</v>
      </c>
      <c r="I904" s="6">
        <v>0</v>
      </c>
      <c r="J904" s="6">
        <v>117665.2637</v>
      </c>
    </row>
    <row r="905" spans="1:10">
      <c r="A905" t="s">
        <v>650</v>
      </c>
      <c r="B905" s="5">
        <v>45748</v>
      </c>
      <c r="C905" t="s">
        <v>156</v>
      </c>
      <c r="D905" t="s">
        <v>157</v>
      </c>
      <c r="E905" t="s">
        <v>121</v>
      </c>
      <c r="F905" t="s">
        <v>154</v>
      </c>
      <c r="G905" t="s">
        <v>155</v>
      </c>
      <c r="H905" s="6">
        <v>0</v>
      </c>
      <c r="I905" s="6">
        <v>117665.2637</v>
      </c>
      <c r="J905" s="6">
        <v>-117665.2637</v>
      </c>
    </row>
    <row r="906" spans="1:10">
      <c r="A906" t="s">
        <v>651</v>
      </c>
      <c r="B906" s="5">
        <v>45748</v>
      </c>
      <c r="C906" t="s">
        <v>159</v>
      </c>
      <c r="D906" t="s">
        <v>160</v>
      </c>
      <c r="E906" t="s">
        <v>120</v>
      </c>
      <c r="F906" t="s">
        <v>58</v>
      </c>
      <c r="G906" t="s">
        <v>161</v>
      </c>
      <c r="H906" s="6">
        <v>946275.1973333331</v>
      </c>
      <c r="I906" s="6">
        <v>0</v>
      </c>
      <c r="J906" s="6">
        <v>946275.1973333331</v>
      </c>
    </row>
    <row r="907" spans="1:10">
      <c r="A907" t="s">
        <v>651</v>
      </c>
      <c r="B907" s="5">
        <v>45748</v>
      </c>
      <c r="C907" t="s">
        <v>162</v>
      </c>
      <c r="D907" t="s">
        <v>88</v>
      </c>
      <c r="E907" t="s">
        <v>121</v>
      </c>
      <c r="F907" t="s">
        <v>58</v>
      </c>
      <c r="G907" t="s">
        <v>161</v>
      </c>
      <c r="H907" s="6">
        <v>0</v>
      </c>
      <c r="I907" s="6">
        <v>946275.1973333331</v>
      </c>
      <c r="J907" s="6">
        <v>-946275.1973333331</v>
      </c>
    </row>
    <row r="908" spans="1:10">
      <c r="A908" t="s">
        <v>652</v>
      </c>
      <c r="B908" s="5">
        <v>45748</v>
      </c>
      <c r="C908" t="s">
        <v>164</v>
      </c>
      <c r="D908" t="s">
        <v>36</v>
      </c>
      <c r="E908" t="s">
        <v>150</v>
      </c>
      <c r="F908" t="s">
        <v>58</v>
      </c>
      <c r="G908" t="s">
        <v>165</v>
      </c>
      <c r="H908" s="6">
        <v>950090.6800000001</v>
      </c>
      <c r="I908" s="6">
        <v>0</v>
      </c>
      <c r="J908" s="6">
        <v>950090.6800000001</v>
      </c>
    </row>
    <row r="909" spans="1:10">
      <c r="A909" t="s">
        <v>652</v>
      </c>
      <c r="B909" s="5">
        <v>45748</v>
      </c>
      <c r="C909" t="s">
        <v>159</v>
      </c>
      <c r="D909" t="s">
        <v>160</v>
      </c>
      <c r="E909" t="s">
        <v>120</v>
      </c>
      <c r="F909" t="s">
        <v>58</v>
      </c>
      <c r="G909" t="s">
        <v>165</v>
      </c>
      <c r="H909" s="6">
        <v>0</v>
      </c>
      <c r="I909" s="6">
        <v>950090.6800000001</v>
      </c>
      <c r="J909" s="6">
        <v>-950090.6800000001</v>
      </c>
    </row>
    <row r="910" spans="1:10">
      <c r="A910" t="s">
        <v>653</v>
      </c>
      <c r="B910" s="5">
        <v>45748</v>
      </c>
      <c r="C910" t="s">
        <v>167</v>
      </c>
      <c r="D910" t="s">
        <v>51</v>
      </c>
      <c r="E910" t="s">
        <v>150</v>
      </c>
      <c r="F910" t="s">
        <v>51</v>
      </c>
      <c r="G910" t="s">
        <v>168</v>
      </c>
      <c r="H910" s="6">
        <v>105925</v>
      </c>
      <c r="I910" s="6">
        <v>0</v>
      </c>
      <c r="J910" s="6">
        <v>105925</v>
      </c>
    </row>
    <row r="911" spans="1:10">
      <c r="A911" t="s">
        <v>653</v>
      </c>
      <c r="B911" s="5">
        <v>45748</v>
      </c>
      <c r="C911" t="s">
        <v>169</v>
      </c>
      <c r="D911" t="s">
        <v>170</v>
      </c>
      <c r="E911" t="s">
        <v>121</v>
      </c>
      <c r="F911" t="s">
        <v>51</v>
      </c>
      <c r="G911" t="s">
        <v>168</v>
      </c>
      <c r="H911" s="6">
        <v>0</v>
      </c>
      <c r="I911" s="6">
        <v>105925</v>
      </c>
      <c r="J911" s="6">
        <v>-105925</v>
      </c>
    </row>
    <row r="912" spans="1:10">
      <c r="A912" t="s">
        <v>654</v>
      </c>
      <c r="B912" s="5">
        <v>45748</v>
      </c>
      <c r="C912" t="s">
        <v>169</v>
      </c>
      <c r="D912" t="s">
        <v>170</v>
      </c>
      <c r="E912" t="s">
        <v>121</v>
      </c>
      <c r="F912" t="s">
        <v>51</v>
      </c>
      <c r="G912" t="s">
        <v>172</v>
      </c>
      <c r="H912" s="6">
        <v>105925</v>
      </c>
      <c r="I912" s="6">
        <v>0</v>
      </c>
      <c r="J912" s="6">
        <v>105925</v>
      </c>
    </row>
    <row r="913" spans="1:10">
      <c r="A913" t="s">
        <v>654</v>
      </c>
      <c r="B913" s="5">
        <v>45748</v>
      </c>
      <c r="C913" t="s">
        <v>173</v>
      </c>
      <c r="D913" t="s">
        <v>174</v>
      </c>
      <c r="E913" t="s">
        <v>120</v>
      </c>
      <c r="F913" t="s">
        <v>51</v>
      </c>
      <c r="G913" t="s">
        <v>172</v>
      </c>
      <c r="H913" s="6">
        <v>0</v>
      </c>
      <c r="I913" s="6">
        <v>105925</v>
      </c>
      <c r="J913" s="6">
        <v>-105925</v>
      </c>
    </row>
    <row r="914" spans="1:10">
      <c r="A914" t="s">
        <v>655</v>
      </c>
      <c r="B914" s="5">
        <v>45748</v>
      </c>
      <c r="C914" t="s">
        <v>176</v>
      </c>
      <c r="D914" t="s">
        <v>52</v>
      </c>
      <c r="E914" t="s">
        <v>150</v>
      </c>
      <c r="F914" t="s">
        <v>52</v>
      </c>
      <c r="G914" t="s">
        <v>177</v>
      </c>
      <c r="H914" s="6">
        <v>49834.7</v>
      </c>
      <c r="I914" s="6">
        <v>0</v>
      </c>
      <c r="J914" s="6">
        <v>49834.7</v>
      </c>
    </row>
    <row r="915" spans="1:10">
      <c r="A915" t="s">
        <v>655</v>
      </c>
      <c r="B915" s="5">
        <v>45748</v>
      </c>
      <c r="C915" t="s">
        <v>173</v>
      </c>
      <c r="D915" t="s">
        <v>174</v>
      </c>
      <c r="E915" t="s">
        <v>120</v>
      </c>
      <c r="F915" t="s">
        <v>52</v>
      </c>
      <c r="G915" t="s">
        <v>177</v>
      </c>
      <c r="H915" s="6">
        <v>0</v>
      </c>
      <c r="I915" s="6">
        <v>49834.7</v>
      </c>
      <c r="J915" s="6">
        <v>-49834.7</v>
      </c>
    </row>
    <row r="916" spans="1:10">
      <c r="A916" t="s">
        <v>656</v>
      </c>
      <c r="B916" s="5">
        <v>45748</v>
      </c>
      <c r="C916" t="s">
        <v>179</v>
      </c>
      <c r="D916" t="s">
        <v>54</v>
      </c>
      <c r="E916" t="s">
        <v>150</v>
      </c>
      <c r="F916" t="s">
        <v>54</v>
      </c>
      <c r="G916" t="s">
        <v>177</v>
      </c>
      <c r="H916" s="6">
        <v>33920</v>
      </c>
      <c r="I916" s="6">
        <v>0</v>
      </c>
      <c r="J916" s="6">
        <v>33920</v>
      </c>
    </row>
    <row r="917" spans="1:10">
      <c r="A917" t="s">
        <v>656</v>
      </c>
      <c r="B917" s="5">
        <v>45748</v>
      </c>
      <c r="C917" t="s">
        <v>173</v>
      </c>
      <c r="D917" t="s">
        <v>174</v>
      </c>
      <c r="E917" t="s">
        <v>120</v>
      </c>
      <c r="F917" t="s">
        <v>54</v>
      </c>
      <c r="G917" t="s">
        <v>177</v>
      </c>
      <c r="H917" s="6">
        <v>0</v>
      </c>
      <c r="I917" s="6">
        <v>33920</v>
      </c>
      <c r="J917" s="6">
        <v>-33920</v>
      </c>
    </row>
    <row r="918" spans="1:10">
      <c r="A918" t="s">
        <v>657</v>
      </c>
      <c r="B918" s="5">
        <v>45748</v>
      </c>
      <c r="C918" t="s">
        <v>181</v>
      </c>
      <c r="D918" t="s">
        <v>56</v>
      </c>
      <c r="E918" t="s">
        <v>150</v>
      </c>
      <c r="F918" t="s">
        <v>56</v>
      </c>
      <c r="G918" t="s">
        <v>177</v>
      </c>
      <c r="H918" s="6">
        <v>48160</v>
      </c>
      <c r="I918" s="6">
        <v>0</v>
      </c>
      <c r="J918" s="6">
        <v>48160</v>
      </c>
    </row>
    <row r="919" spans="1:10">
      <c r="A919" t="s">
        <v>657</v>
      </c>
      <c r="B919" s="5">
        <v>45748</v>
      </c>
      <c r="C919" t="s">
        <v>173</v>
      </c>
      <c r="D919" t="s">
        <v>174</v>
      </c>
      <c r="E919" t="s">
        <v>120</v>
      </c>
      <c r="F919" t="s">
        <v>56</v>
      </c>
      <c r="G919" t="s">
        <v>177</v>
      </c>
      <c r="H919" s="6">
        <v>0</v>
      </c>
      <c r="I919" s="6">
        <v>48160</v>
      </c>
      <c r="J919" s="6">
        <v>-48160</v>
      </c>
    </row>
    <row r="920" spans="1:10">
      <c r="A920" t="s">
        <v>658</v>
      </c>
      <c r="B920" s="5">
        <v>45748</v>
      </c>
      <c r="C920" t="s">
        <v>183</v>
      </c>
      <c r="D920" t="s">
        <v>59</v>
      </c>
      <c r="E920" t="s">
        <v>150</v>
      </c>
      <c r="F920" t="s">
        <v>66</v>
      </c>
      <c r="G920" t="s">
        <v>177</v>
      </c>
      <c r="H920" s="6">
        <v>30454.54</v>
      </c>
      <c r="I920" s="6">
        <v>0</v>
      </c>
      <c r="J920" s="6">
        <v>30454.54</v>
      </c>
    </row>
    <row r="921" spans="1:10">
      <c r="A921" t="s">
        <v>658</v>
      </c>
      <c r="B921" s="5">
        <v>45748</v>
      </c>
      <c r="C921" t="s">
        <v>173</v>
      </c>
      <c r="D921" t="s">
        <v>174</v>
      </c>
      <c r="E921" t="s">
        <v>120</v>
      </c>
      <c r="F921" t="s">
        <v>66</v>
      </c>
      <c r="G921" t="s">
        <v>177</v>
      </c>
      <c r="H921" s="6">
        <v>0</v>
      </c>
      <c r="I921" s="6">
        <v>30454.54</v>
      </c>
      <c r="J921" s="6">
        <v>-30454.54</v>
      </c>
    </row>
    <row r="922" spans="1:10">
      <c r="A922" t="s">
        <v>659</v>
      </c>
      <c r="B922" s="5">
        <v>45748</v>
      </c>
      <c r="C922" t="s">
        <v>185</v>
      </c>
      <c r="D922" t="s">
        <v>186</v>
      </c>
      <c r="E922" t="s">
        <v>150</v>
      </c>
      <c r="F922" t="s">
        <v>154</v>
      </c>
      <c r="G922" t="s">
        <v>187</v>
      </c>
      <c r="H922" s="6">
        <v>21300</v>
      </c>
      <c r="I922" s="6">
        <v>0</v>
      </c>
      <c r="J922" s="6">
        <v>21300</v>
      </c>
    </row>
    <row r="923" spans="1:10">
      <c r="A923" t="s">
        <v>659</v>
      </c>
      <c r="B923" s="5">
        <v>45748</v>
      </c>
      <c r="C923" t="s">
        <v>188</v>
      </c>
      <c r="D923" t="s">
        <v>189</v>
      </c>
      <c r="E923" t="s">
        <v>120</v>
      </c>
      <c r="F923" t="s">
        <v>154</v>
      </c>
      <c r="G923" t="s">
        <v>187</v>
      </c>
      <c r="H923" s="6">
        <v>0</v>
      </c>
      <c r="I923" s="6">
        <v>21300</v>
      </c>
      <c r="J923" s="6">
        <v>-21300</v>
      </c>
    </row>
    <row r="924" spans="1:10">
      <c r="A924" t="s">
        <v>660</v>
      </c>
      <c r="B924" s="5">
        <v>45748</v>
      </c>
      <c r="C924" t="s">
        <v>191</v>
      </c>
      <c r="D924" t="s">
        <v>104</v>
      </c>
      <c r="E924" t="s">
        <v>150</v>
      </c>
      <c r="F924" t="s">
        <v>154</v>
      </c>
      <c r="G924" t="s">
        <v>192</v>
      </c>
      <c r="H924" s="6">
        <v>6360</v>
      </c>
      <c r="I924" s="6">
        <v>0</v>
      </c>
      <c r="J924" s="6">
        <v>6360</v>
      </c>
    </row>
    <row r="925" spans="1:10">
      <c r="A925" t="s">
        <v>660</v>
      </c>
      <c r="B925" s="5">
        <v>45748</v>
      </c>
      <c r="C925" t="s">
        <v>173</v>
      </c>
      <c r="D925" t="s">
        <v>174</v>
      </c>
      <c r="E925" t="s">
        <v>120</v>
      </c>
      <c r="F925" t="s">
        <v>154</v>
      </c>
      <c r="G925" t="s">
        <v>192</v>
      </c>
      <c r="H925" s="6">
        <v>0</v>
      </c>
      <c r="I925" s="6">
        <v>6360</v>
      </c>
      <c r="J925" s="6">
        <v>-6360</v>
      </c>
    </row>
    <row r="926" spans="1:10">
      <c r="A926" t="s">
        <v>661</v>
      </c>
      <c r="B926" s="5">
        <v>45748</v>
      </c>
      <c r="C926" t="s">
        <v>194</v>
      </c>
      <c r="D926" t="s">
        <v>195</v>
      </c>
      <c r="E926" t="s">
        <v>150</v>
      </c>
      <c r="F926" t="s">
        <v>154</v>
      </c>
      <c r="G926" t="s">
        <v>196</v>
      </c>
      <c r="H926" s="6">
        <v>6999.592341999974</v>
      </c>
      <c r="I926" s="6">
        <v>0</v>
      </c>
      <c r="J926" s="6">
        <v>6999.592341999974</v>
      </c>
    </row>
    <row r="927" spans="1:10">
      <c r="A927" t="s">
        <v>661</v>
      </c>
      <c r="B927" s="5">
        <v>45748</v>
      </c>
      <c r="C927" t="s">
        <v>197</v>
      </c>
      <c r="D927" t="s">
        <v>198</v>
      </c>
      <c r="E927" t="s">
        <v>121</v>
      </c>
      <c r="F927" t="s">
        <v>154</v>
      </c>
      <c r="G927" t="s">
        <v>196</v>
      </c>
      <c r="H927" s="6">
        <v>0</v>
      </c>
      <c r="I927" s="6">
        <v>6999.592341999974</v>
      </c>
      <c r="J927" s="6">
        <v>-6999.592341999974</v>
      </c>
    </row>
    <row r="928" spans="1:10">
      <c r="A928" t="s">
        <v>662</v>
      </c>
      <c r="B928" s="5">
        <v>45748</v>
      </c>
      <c r="C928" t="s">
        <v>173</v>
      </c>
      <c r="D928" t="s">
        <v>174</v>
      </c>
      <c r="E928" t="s">
        <v>120</v>
      </c>
      <c r="F928" t="s">
        <v>154</v>
      </c>
      <c r="G928" t="s">
        <v>200</v>
      </c>
      <c r="H928" s="6">
        <v>1393158.067333334</v>
      </c>
      <c r="I928" s="6">
        <v>0</v>
      </c>
      <c r="J928" s="6">
        <v>1393158.067333334</v>
      </c>
    </row>
    <row r="929" spans="1:10">
      <c r="A929" t="s">
        <v>662</v>
      </c>
      <c r="B929" s="5">
        <v>45748</v>
      </c>
      <c r="C929" t="s">
        <v>146</v>
      </c>
      <c r="D929" t="s">
        <v>86</v>
      </c>
      <c r="E929" t="s">
        <v>120</v>
      </c>
      <c r="F929" t="s">
        <v>154</v>
      </c>
      <c r="G929" t="s">
        <v>200</v>
      </c>
      <c r="H929" s="6">
        <v>0</v>
      </c>
      <c r="I929" s="6">
        <v>1393158.067333334</v>
      </c>
      <c r="J929" s="6">
        <v>-1393158.067333334</v>
      </c>
    </row>
    <row r="930" spans="1:10">
      <c r="A930" t="s">
        <v>663</v>
      </c>
      <c r="B930" s="5">
        <v>45748</v>
      </c>
      <c r="C930" t="s">
        <v>162</v>
      </c>
      <c r="D930" t="s">
        <v>88</v>
      </c>
      <c r="E930" t="s">
        <v>121</v>
      </c>
      <c r="F930" t="s">
        <v>154</v>
      </c>
      <c r="G930" t="s">
        <v>202</v>
      </c>
      <c r="H930" s="6">
        <v>948843.3106666664</v>
      </c>
      <c r="I930" s="6">
        <v>0</v>
      </c>
      <c r="J930" s="6">
        <v>948843.3106666664</v>
      </c>
    </row>
    <row r="931" spans="1:10">
      <c r="A931" t="s">
        <v>663</v>
      </c>
      <c r="B931" s="5">
        <v>45748</v>
      </c>
      <c r="C931" t="s">
        <v>173</v>
      </c>
      <c r="D931" t="s">
        <v>174</v>
      </c>
      <c r="E931" t="s">
        <v>120</v>
      </c>
      <c r="F931" t="s">
        <v>154</v>
      </c>
      <c r="G931" t="s">
        <v>202</v>
      </c>
      <c r="H931" s="6">
        <v>0</v>
      </c>
      <c r="I931" s="6">
        <v>948843.3106666664</v>
      </c>
      <c r="J931" s="6">
        <v>-948843.3106666664</v>
      </c>
    </row>
    <row r="932" spans="1:10">
      <c r="A932" t="s">
        <v>664</v>
      </c>
      <c r="B932" s="5">
        <v>45748</v>
      </c>
      <c r="C932" t="s">
        <v>156</v>
      </c>
      <c r="D932" t="s">
        <v>157</v>
      </c>
      <c r="E932" t="s">
        <v>121</v>
      </c>
      <c r="F932" t="s">
        <v>154</v>
      </c>
      <c r="G932" t="s">
        <v>204</v>
      </c>
      <c r="H932" s="6">
        <v>118146.0118</v>
      </c>
      <c r="I932" s="6">
        <v>0</v>
      </c>
      <c r="J932" s="6">
        <v>118146.0118</v>
      </c>
    </row>
    <row r="933" spans="1:10">
      <c r="A933" t="s">
        <v>664</v>
      </c>
      <c r="B933" s="5">
        <v>45748</v>
      </c>
      <c r="C933" t="s">
        <v>173</v>
      </c>
      <c r="D933" t="s">
        <v>174</v>
      </c>
      <c r="E933" t="s">
        <v>120</v>
      </c>
      <c r="F933" t="s">
        <v>154</v>
      </c>
      <c r="G933" t="s">
        <v>204</v>
      </c>
      <c r="H933" s="6">
        <v>0</v>
      </c>
      <c r="I933" s="6">
        <v>118146.0118</v>
      </c>
      <c r="J933" s="6">
        <v>-118146.0118</v>
      </c>
    </row>
    <row r="934" spans="1:10">
      <c r="A934" t="s">
        <v>665</v>
      </c>
      <c r="B934" s="5">
        <v>45748</v>
      </c>
      <c r="C934" t="s">
        <v>197</v>
      </c>
      <c r="D934" t="s">
        <v>198</v>
      </c>
      <c r="E934" t="s">
        <v>121</v>
      </c>
      <c r="F934" t="s">
        <v>154</v>
      </c>
      <c r="G934" t="s">
        <v>206</v>
      </c>
      <c r="H934" s="6">
        <v>17651.73518800002</v>
      </c>
      <c r="I934" s="6">
        <v>0</v>
      </c>
      <c r="J934" s="6">
        <v>17651.73518800002</v>
      </c>
    </row>
    <row r="935" spans="1:10">
      <c r="A935" t="s">
        <v>665</v>
      </c>
      <c r="B935" s="5">
        <v>45748</v>
      </c>
      <c r="C935" t="s">
        <v>173</v>
      </c>
      <c r="D935" t="s">
        <v>174</v>
      </c>
      <c r="E935" t="s">
        <v>120</v>
      </c>
      <c r="F935" t="s">
        <v>154</v>
      </c>
      <c r="G935" t="s">
        <v>206</v>
      </c>
      <c r="H935" s="6">
        <v>0</v>
      </c>
      <c r="I935" s="6">
        <v>17651.73518800002</v>
      </c>
      <c r="J935" s="6">
        <v>-17651.73518800002</v>
      </c>
    </row>
    <row r="936" spans="1:10">
      <c r="A936" t="s">
        <v>666</v>
      </c>
      <c r="B936" s="5">
        <v>45748</v>
      </c>
      <c r="C936" t="s">
        <v>208</v>
      </c>
      <c r="D936" t="s">
        <v>209</v>
      </c>
      <c r="E936" t="s">
        <v>120</v>
      </c>
      <c r="F936" t="s">
        <v>154</v>
      </c>
      <c r="G936" t="s">
        <v>210</v>
      </c>
      <c r="H936" s="6">
        <v>18000</v>
      </c>
      <c r="I936" s="6">
        <v>0</v>
      </c>
      <c r="J936" s="6">
        <v>18000</v>
      </c>
    </row>
    <row r="937" spans="1:10">
      <c r="A937" t="s">
        <v>666</v>
      </c>
      <c r="B937" s="5">
        <v>45748</v>
      </c>
      <c r="C937" t="s">
        <v>173</v>
      </c>
      <c r="D937" t="s">
        <v>174</v>
      </c>
      <c r="E937" t="s">
        <v>120</v>
      </c>
      <c r="F937" t="s">
        <v>154</v>
      </c>
      <c r="G937" t="s">
        <v>210</v>
      </c>
      <c r="H937" s="6">
        <v>0</v>
      </c>
      <c r="I937" s="6">
        <v>18000</v>
      </c>
      <c r="J937" s="6">
        <v>-18000</v>
      </c>
    </row>
    <row r="938" spans="1:10">
      <c r="A938" t="s">
        <v>667</v>
      </c>
      <c r="B938" s="5">
        <v>45748</v>
      </c>
      <c r="C938" t="s">
        <v>173</v>
      </c>
      <c r="D938" t="s">
        <v>174</v>
      </c>
      <c r="E938" t="s">
        <v>120</v>
      </c>
      <c r="F938" t="s">
        <v>154</v>
      </c>
      <c r="G938" t="s">
        <v>668</v>
      </c>
      <c r="H938" s="6">
        <v>350000</v>
      </c>
      <c r="I938" s="6">
        <v>0</v>
      </c>
      <c r="J938" s="6">
        <v>350000</v>
      </c>
    </row>
    <row r="939" spans="1:10">
      <c r="A939" t="s">
        <v>667</v>
      </c>
      <c r="B939" s="5">
        <v>45748</v>
      </c>
      <c r="C939" t="s">
        <v>212</v>
      </c>
      <c r="D939" t="s">
        <v>213</v>
      </c>
      <c r="E939" t="s">
        <v>121</v>
      </c>
      <c r="F939" t="s">
        <v>154</v>
      </c>
      <c r="G939" t="s">
        <v>668</v>
      </c>
      <c r="H939" s="6">
        <v>0</v>
      </c>
      <c r="I939" s="6">
        <v>350000</v>
      </c>
      <c r="J939" s="6">
        <v>-350000</v>
      </c>
    </row>
    <row r="940" spans="1:10">
      <c r="A940" t="s">
        <v>669</v>
      </c>
      <c r="B940" s="5">
        <v>45748</v>
      </c>
      <c r="C940" t="s">
        <v>212</v>
      </c>
      <c r="D940" t="s">
        <v>213</v>
      </c>
      <c r="E940" t="s">
        <v>121</v>
      </c>
      <c r="F940" t="s">
        <v>154</v>
      </c>
      <c r="G940" t="s">
        <v>214</v>
      </c>
      <c r="H940" s="6">
        <v>18000</v>
      </c>
      <c r="I940" s="6">
        <v>0</v>
      </c>
      <c r="J940" s="6">
        <v>18000</v>
      </c>
    </row>
    <row r="941" spans="1:10">
      <c r="A941" t="s">
        <v>669</v>
      </c>
      <c r="B941" s="5">
        <v>45748</v>
      </c>
      <c r="C941" t="s">
        <v>173</v>
      </c>
      <c r="D941" t="s">
        <v>174</v>
      </c>
      <c r="E941" t="s">
        <v>120</v>
      </c>
      <c r="F941" t="s">
        <v>154</v>
      </c>
      <c r="G941" t="s">
        <v>214</v>
      </c>
      <c r="H941" s="6">
        <v>0</v>
      </c>
      <c r="I941" s="6">
        <v>18000</v>
      </c>
      <c r="J941" s="6">
        <v>-18000</v>
      </c>
    </row>
    <row r="942" spans="1:10">
      <c r="A942" t="s">
        <v>670</v>
      </c>
      <c r="B942" s="5">
        <v>45748</v>
      </c>
      <c r="C942" t="s">
        <v>148</v>
      </c>
      <c r="D942" t="s">
        <v>149</v>
      </c>
      <c r="E942" t="s">
        <v>150</v>
      </c>
      <c r="F942" t="s">
        <v>154</v>
      </c>
      <c r="G942" t="s">
        <v>216</v>
      </c>
      <c r="H942" s="6">
        <v>1384297.22</v>
      </c>
      <c r="I942" s="6">
        <v>0</v>
      </c>
      <c r="J942" s="6">
        <v>1384297.22</v>
      </c>
    </row>
    <row r="943" spans="1:10">
      <c r="A943" t="s">
        <v>670</v>
      </c>
      <c r="B943" s="5">
        <v>45748</v>
      </c>
      <c r="C943" t="s">
        <v>217</v>
      </c>
      <c r="D943" t="s">
        <v>218</v>
      </c>
      <c r="E943" t="s">
        <v>122</v>
      </c>
      <c r="F943" t="s">
        <v>154</v>
      </c>
      <c r="G943" t="s">
        <v>216</v>
      </c>
      <c r="H943" s="6">
        <v>0</v>
      </c>
      <c r="I943" s="6">
        <v>1384297.22</v>
      </c>
      <c r="J943" s="6">
        <v>-1384297.22</v>
      </c>
    </row>
    <row r="944" spans="1:10">
      <c r="A944" t="s">
        <v>671</v>
      </c>
      <c r="B944" s="5">
        <v>45748</v>
      </c>
      <c r="C944" t="s">
        <v>217</v>
      </c>
      <c r="D944" t="s">
        <v>218</v>
      </c>
      <c r="E944" t="s">
        <v>122</v>
      </c>
      <c r="F944" t="s">
        <v>154</v>
      </c>
      <c r="G944" t="s">
        <v>216</v>
      </c>
      <c r="H944" s="6">
        <v>117665.2637</v>
      </c>
      <c r="I944" s="6">
        <v>0</v>
      </c>
      <c r="J944" s="6">
        <v>117665.2637</v>
      </c>
    </row>
    <row r="945" spans="1:10">
      <c r="A945" t="s">
        <v>671</v>
      </c>
      <c r="B945" s="5">
        <v>45748</v>
      </c>
      <c r="C945" t="s">
        <v>152</v>
      </c>
      <c r="D945" t="s">
        <v>153</v>
      </c>
      <c r="E945" t="s">
        <v>150</v>
      </c>
      <c r="F945" t="s">
        <v>154</v>
      </c>
      <c r="G945" t="s">
        <v>216</v>
      </c>
      <c r="H945" s="6">
        <v>0</v>
      </c>
      <c r="I945" s="6">
        <v>117665.2637</v>
      </c>
      <c r="J945" s="6">
        <v>-117665.2637</v>
      </c>
    </row>
    <row r="946" spans="1:10">
      <c r="A946" t="s">
        <v>672</v>
      </c>
      <c r="B946" s="5">
        <v>45748</v>
      </c>
      <c r="C946" t="s">
        <v>217</v>
      </c>
      <c r="D946" t="s">
        <v>218</v>
      </c>
      <c r="E946" t="s">
        <v>122</v>
      </c>
      <c r="F946" t="s">
        <v>154</v>
      </c>
      <c r="G946" t="s">
        <v>216</v>
      </c>
      <c r="H946" s="6">
        <v>950090.6800000001</v>
      </c>
      <c r="I946" s="6">
        <v>0</v>
      </c>
      <c r="J946" s="6">
        <v>950090.6800000001</v>
      </c>
    </row>
    <row r="947" spans="1:10">
      <c r="A947" t="s">
        <v>672</v>
      </c>
      <c r="B947" s="5">
        <v>45748</v>
      </c>
      <c r="C947" t="s">
        <v>164</v>
      </c>
      <c r="D947" t="s">
        <v>36</v>
      </c>
      <c r="E947" t="s">
        <v>150</v>
      </c>
      <c r="F947" t="s">
        <v>154</v>
      </c>
      <c r="G947" t="s">
        <v>216</v>
      </c>
      <c r="H947" s="6">
        <v>0</v>
      </c>
      <c r="I947" s="6">
        <v>950090.6800000001</v>
      </c>
      <c r="J947" s="6">
        <v>-950090.6800000001</v>
      </c>
    </row>
    <row r="948" spans="1:10">
      <c r="A948" t="s">
        <v>673</v>
      </c>
      <c r="B948" s="5">
        <v>45748</v>
      </c>
      <c r="C948" t="s">
        <v>217</v>
      </c>
      <c r="D948" t="s">
        <v>218</v>
      </c>
      <c r="E948" t="s">
        <v>122</v>
      </c>
      <c r="F948" t="s">
        <v>154</v>
      </c>
      <c r="G948" t="s">
        <v>216</v>
      </c>
      <c r="H948" s="6">
        <v>105925</v>
      </c>
      <c r="I948" s="6">
        <v>0</v>
      </c>
      <c r="J948" s="6">
        <v>105925</v>
      </c>
    </row>
    <row r="949" spans="1:10">
      <c r="A949" t="s">
        <v>673</v>
      </c>
      <c r="B949" s="5">
        <v>45748</v>
      </c>
      <c r="C949" t="s">
        <v>167</v>
      </c>
      <c r="D949" t="s">
        <v>51</v>
      </c>
      <c r="E949" t="s">
        <v>150</v>
      </c>
      <c r="F949" t="s">
        <v>154</v>
      </c>
      <c r="G949" t="s">
        <v>216</v>
      </c>
      <c r="H949" s="6">
        <v>0</v>
      </c>
      <c r="I949" s="6">
        <v>105925</v>
      </c>
      <c r="J949" s="6">
        <v>-105925</v>
      </c>
    </row>
    <row r="950" spans="1:10">
      <c r="A950" t="s">
        <v>674</v>
      </c>
      <c r="B950" s="5">
        <v>45748</v>
      </c>
      <c r="C950" t="s">
        <v>217</v>
      </c>
      <c r="D950" t="s">
        <v>218</v>
      </c>
      <c r="E950" t="s">
        <v>122</v>
      </c>
      <c r="F950" t="s">
        <v>154</v>
      </c>
      <c r="G950" t="s">
        <v>216</v>
      </c>
      <c r="H950" s="6">
        <v>49834.7</v>
      </c>
      <c r="I950" s="6">
        <v>0</v>
      </c>
      <c r="J950" s="6">
        <v>49834.7</v>
      </c>
    </row>
    <row r="951" spans="1:10">
      <c r="A951" t="s">
        <v>674</v>
      </c>
      <c r="B951" s="5">
        <v>45748</v>
      </c>
      <c r="C951" t="s">
        <v>176</v>
      </c>
      <c r="D951" t="s">
        <v>52</v>
      </c>
      <c r="E951" t="s">
        <v>150</v>
      </c>
      <c r="F951" t="s">
        <v>154</v>
      </c>
      <c r="G951" t="s">
        <v>216</v>
      </c>
      <c r="H951" s="6">
        <v>0</v>
      </c>
      <c r="I951" s="6">
        <v>49834.7</v>
      </c>
      <c r="J951" s="6">
        <v>-49834.7</v>
      </c>
    </row>
    <row r="952" spans="1:10">
      <c r="A952" t="s">
        <v>675</v>
      </c>
      <c r="B952" s="5">
        <v>45748</v>
      </c>
      <c r="C952" t="s">
        <v>217</v>
      </c>
      <c r="D952" t="s">
        <v>218</v>
      </c>
      <c r="E952" t="s">
        <v>122</v>
      </c>
      <c r="F952" t="s">
        <v>154</v>
      </c>
      <c r="G952" t="s">
        <v>216</v>
      </c>
      <c r="H952" s="6">
        <v>33920</v>
      </c>
      <c r="I952" s="6">
        <v>0</v>
      </c>
      <c r="J952" s="6">
        <v>33920</v>
      </c>
    </row>
    <row r="953" spans="1:10">
      <c r="A953" t="s">
        <v>675</v>
      </c>
      <c r="B953" s="5">
        <v>45748</v>
      </c>
      <c r="C953" t="s">
        <v>179</v>
      </c>
      <c r="D953" t="s">
        <v>54</v>
      </c>
      <c r="E953" t="s">
        <v>150</v>
      </c>
      <c r="F953" t="s">
        <v>154</v>
      </c>
      <c r="G953" t="s">
        <v>216</v>
      </c>
      <c r="H953" s="6">
        <v>0</v>
      </c>
      <c r="I953" s="6">
        <v>33920</v>
      </c>
      <c r="J953" s="6">
        <v>-33920</v>
      </c>
    </row>
    <row r="954" spans="1:10">
      <c r="A954" t="s">
        <v>676</v>
      </c>
      <c r="B954" s="5">
        <v>45748</v>
      </c>
      <c r="C954" t="s">
        <v>217</v>
      </c>
      <c r="D954" t="s">
        <v>218</v>
      </c>
      <c r="E954" t="s">
        <v>122</v>
      </c>
      <c r="F954" t="s">
        <v>154</v>
      </c>
      <c r="G954" t="s">
        <v>216</v>
      </c>
      <c r="H954" s="6">
        <v>48160</v>
      </c>
      <c r="I954" s="6">
        <v>0</v>
      </c>
      <c r="J954" s="6">
        <v>48160</v>
      </c>
    </row>
    <row r="955" spans="1:10">
      <c r="A955" t="s">
        <v>676</v>
      </c>
      <c r="B955" s="5">
        <v>45748</v>
      </c>
      <c r="C955" t="s">
        <v>181</v>
      </c>
      <c r="D955" t="s">
        <v>56</v>
      </c>
      <c r="E955" t="s">
        <v>150</v>
      </c>
      <c r="F955" t="s">
        <v>154</v>
      </c>
      <c r="G955" t="s">
        <v>216</v>
      </c>
      <c r="H955" s="6">
        <v>0</v>
      </c>
      <c r="I955" s="6">
        <v>48160</v>
      </c>
      <c r="J955" s="6">
        <v>-48160</v>
      </c>
    </row>
    <row r="956" spans="1:10">
      <c r="A956" t="s">
        <v>677</v>
      </c>
      <c r="B956" s="5">
        <v>45748</v>
      </c>
      <c r="C956" t="s">
        <v>217</v>
      </c>
      <c r="D956" t="s">
        <v>218</v>
      </c>
      <c r="E956" t="s">
        <v>122</v>
      </c>
      <c r="F956" t="s">
        <v>154</v>
      </c>
      <c r="G956" t="s">
        <v>216</v>
      </c>
      <c r="H956" s="6">
        <v>30454.54</v>
      </c>
      <c r="I956" s="6">
        <v>0</v>
      </c>
      <c r="J956" s="6">
        <v>30454.54</v>
      </c>
    </row>
    <row r="957" spans="1:10">
      <c r="A957" t="s">
        <v>677</v>
      </c>
      <c r="B957" s="5">
        <v>45748</v>
      </c>
      <c r="C957" t="s">
        <v>183</v>
      </c>
      <c r="D957" t="s">
        <v>59</v>
      </c>
      <c r="E957" t="s">
        <v>150</v>
      </c>
      <c r="F957" t="s">
        <v>154</v>
      </c>
      <c r="G957" t="s">
        <v>216</v>
      </c>
      <c r="H957" s="6">
        <v>0</v>
      </c>
      <c r="I957" s="6">
        <v>30454.54</v>
      </c>
      <c r="J957" s="6">
        <v>-30454.54</v>
      </c>
    </row>
    <row r="958" spans="1:10">
      <c r="A958" t="s">
        <v>678</v>
      </c>
      <c r="B958" s="5">
        <v>45748</v>
      </c>
      <c r="C958" t="s">
        <v>217</v>
      </c>
      <c r="D958" t="s">
        <v>218</v>
      </c>
      <c r="E958" t="s">
        <v>122</v>
      </c>
      <c r="F958" t="s">
        <v>154</v>
      </c>
      <c r="G958" t="s">
        <v>216</v>
      </c>
      <c r="H958" s="6">
        <v>21300</v>
      </c>
      <c r="I958" s="6">
        <v>0</v>
      </c>
      <c r="J958" s="6">
        <v>21300</v>
      </c>
    </row>
    <row r="959" spans="1:10">
      <c r="A959" t="s">
        <v>678</v>
      </c>
      <c r="B959" s="5">
        <v>45748</v>
      </c>
      <c r="C959" t="s">
        <v>185</v>
      </c>
      <c r="D959" t="s">
        <v>186</v>
      </c>
      <c r="E959" t="s">
        <v>150</v>
      </c>
      <c r="F959" t="s">
        <v>154</v>
      </c>
      <c r="G959" t="s">
        <v>216</v>
      </c>
      <c r="H959" s="6">
        <v>0</v>
      </c>
      <c r="I959" s="6">
        <v>21300</v>
      </c>
      <c r="J959" s="6">
        <v>-21300</v>
      </c>
    </row>
    <row r="960" spans="1:10">
      <c r="A960" t="s">
        <v>679</v>
      </c>
      <c r="B960" s="5">
        <v>45748</v>
      </c>
      <c r="C960" t="s">
        <v>217</v>
      </c>
      <c r="D960" t="s">
        <v>218</v>
      </c>
      <c r="E960" t="s">
        <v>122</v>
      </c>
      <c r="F960" t="s">
        <v>154</v>
      </c>
      <c r="G960" t="s">
        <v>216</v>
      </c>
      <c r="H960" s="6">
        <v>6360</v>
      </c>
      <c r="I960" s="6">
        <v>0</v>
      </c>
      <c r="J960" s="6">
        <v>6360</v>
      </c>
    </row>
    <row r="961" spans="1:10">
      <c r="A961" t="s">
        <v>679</v>
      </c>
      <c r="B961" s="5">
        <v>45748</v>
      </c>
      <c r="C961" t="s">
        <v>191</v>
      </c>
      <c r="D961" t="s">
        <v>104</v>
      </c>
      <c r="E961" t="s">
        <v>150</v>
      </c>
      <c r="F961" t="s">
        <v>154</v>
      </c>
      <c r="G961" t="s">
        <v>216</v>
      </c>
      <c r="H961" s="6">
        <v>0</v>
      </c>
      <c r="I961" s="6">
        <v>6360</v>
      </c>
      <c r="J961" s="6">
        <v>-6360</v>
      </c>
    </row>
    <row r="962" spans="1:10">
      <c r="A962" t="s">
        <v>680</v>
      </c>
      <c r="B962" s="5">
        <v>45748</v>
      </c>
      <c r="C962" t="s">
        <v>217</v>
      </c>
      <c r="D962" t="s">
        <v>218</v>
      </c>
      <c r="E962" t="s">
        <v>122</v>
      </c>
      <c r="F962" t="s">
        <v>154</v>
      </c>
      <c r="G962" t="s">
        <v>216</v>
      </c>
      <c r="H962" s="6">
        <v>6999.592341999974</v>
      </c>
      <c r="I962" s="6">
        <v>0</v>
      </c>
      <c r="J962" s="6">
        <v>6999.592341999974</v>
      </c>
    </row>
    <row r="963" spans="1:10">
      <c r="A963" t="s">
        <v>680</v>
      </c>
      <c r="B963" s="5">
        <v>45748</v>
      </c>
      <c r="C963" t="s">
        <v>194</v>
      </c>
      <c r="D963" t="s">
        <v>195</v>
      </c>
      <c r="E963" t="s">
        <v>150</v>
      </c>
      <c r="F963" t="s">
        <v>154</v>
      </c>
      <c r="G963" t="s">
        <v>216</v>
      </c>
      <c r="H963" s="6">
        <v>0</v>
      </c>
      <c r="I963" s="6">
        <v>6999.592341999974</v>
      </c>
      <c r="J963" s="6">
        <v>-6999.592341999974</v>
      </c>
    </row>
    <row r="964" spans="1:10">
      <c r="A964" t="s">
        <v>681</v>
      </c>
      <c r="B964" s="5">
        <v>45778</v>
      </c>
      <c r="C964" t="s">
        <v>146</v>
      </c>
      <c r="D964" t="s">
        <v>86</v>
      </c>
      <c r="E964" t="s">
        <v>120</v>
      </c>
      <c r="F964" t="s">
        <v>52</v>
      </c>
      <c r="G964" t="s">
        <v>147</v>
      </c>
      <c r="H964" s="6">
        <v>1449678.53</v>
      </c>
      <c r="I964" s="6">
        <v>0</v>
      </c>
      <c r="J964" s="6">
        <v>1449678.53</v>
      </c>
    </row>
    <row r="965" spans="1:10">
      <c r="A965" t="s">
        <v>681</v>
      </c>
      <c r="B965" s="5">
        <v>45778</v>
      </c>
      <c r="C965" t="s">
        <v>148</v>
      </c>
      <c r="D965" t="s">
        <v>149</v>
      </c>
      <c r="E965" t="s">
        <v>150</v>
      </c>
      <c r="F965" t="s">
        <v>52</v>
      </c>
      <c r="G965" t="s">
        <v>147</v>
      </c>
      <c r="H965" s="6">
        <v>0</v>
      </c>
      <c r="I965" s="6">
        <v>1449678.53</v>
      </c>
      <c r="J965" s="6">
        <v>-1449678.53</v>
      </c>
    </row>
    <row r="966" spans="1:10">
      <c r="A966" t="s">
        <v>682</v>
      </c>
      <c r="B966" s="5">
        <v>45778</v>
      </c>
      <c r="C966" t="s">
        <v>152</v>
      </c>
      <c r="D966" t="s">
        <v>153</v>
      </c>
      <c r="E966" t="s">
        <v>150</v>
      </c>
      <c r="F966" t="s">
        <v>154</v>
      </c>
      <c r="G966" t="s">
        <v>155</v>
      </c>
      <c r="H966" s="6">
        <v>123222.67505</v>
      </c>
      <c r="I966" s="6">
        <v>0</v>
      </c>
      <c r="J966" s="6">
        <v>123222.67505</v>
      </c>
    </row>
    <row r="967" spans="1:10">
      <c r="A967" t="s">
        <v>682</v>
      </c>
      <c r="B967" s="5">
        <v>45778</v>
      </c>
      <c r="C967" t="s">
        <v>156</v>
      </c>
      <c r="D967" t="s">
        <v>157</v>
      </c>
      <c r="E967" t="s">
        <v>121</v>
      </c>
      <c r="F967" t="s">
        <v>154</v>
      </c>
      <c r="G967" t="s">
        <v>155</v>
      </c>
      <c r="H967" s="6">
        <v>0</v>
      </c>
      <c r="I967" s="6">
        <v>123222.67505</v>
      </c>
      <c r="J967" s="6">
        <v>-123222.67505</v>
      </c>
    </row>
    <row r="968" spans="1:10">
      <c r="A968" t="s">
        <v>683</v>
      </c>
      <c r="B968" s="5">
        <v>45778</v>
      </c>
      <c r="C968" t="s">
        <v>159</v>
      </c>
      <c r="D968" t="s">
        <v>160</v>
      </c>
      <c r="E968" t="s">
        <v>120</v>
      </c>
      <c r="F968" t="s">
        <v>58</v>
      </c>
      <c r="G968" t="s">
        <v>161</v>
      </c>
      <c r="H968" s="6">
        <v>1064146.448</v>
      </c>
      <c r="I968" s="6">
        <v>0</v>
      </c>
      <c r="J968" s="6">
        <v>1064146.448</v>
      </c>
    </row>
    <row r="969" spans="1:10">
      <c r="A969" t="s">
        <v>683</v>
      </c>
      <c r="B969" s="5">
        <v>45778</v>
      </c>
      <c r="C969" t="s">
        <v>162</v>
      </c>
      <c r="D969" t="s">
        <v>88</v>
      </c>
      <c r="E969" t="s">
        <v>121</v>
      </c>
      <c r="F969" t="s">
        <v>58</v>
      </c>
      <c r="G969" t="s">
        <v>161</v>
      </c>
      <c r="H969" s="6">
        <v>0</v>
      </c>
      <c r="I969" s="6">
        <v>1064146.448</v>
      </c>
      <c r="J969" s="6">
        <v>-1064146.448</v>
      </c>
    </row>
    <row r="970" spans="1:10">
      <c r="A970" t="s">
        <v>684</v>
      </c>
      <c r="B970" s="5">
        <v>45778</v>
      </c>
      <c r="C970" t="s">
        <v>164</v>
      </c>
      <c r="D970" t="s">
        <v>36</v>
      </c>
      <c r="E970" t="s">
        <v>150</v>
      </c>
      <c r="F970" t="s">
        <v>58</v>
      </c>
      <c r="G970" t="s">
        <v>165</v>
      </c>
      <c r="H970" s="6">
        <v>991818.4</v>
      </c>
      <c r="I970" s="6">
        <v>0</v>
      </c>
      <c r="J970" s="6">
        <v>991818.4</v>
      </c>
    </row>
    <row r="971" spans="1:10">
      <c r="A971" t="s">
        <v>684</v>
      </c>
      <c r="B971" s="5">
        <v>45778</v>
      </c>
      <c r="C971" t="s">
        <v>159</v>
      </c>
      <c r="D971" t="s">
        <v>160</v>
      </c>
      <c r="E971" t="s">
        <v>120</v>
      </c>
      <c r="F971" t="s">
        <v>58</v>
      </c>
      <c r="G971" t="s">
        <v>165</v>
      </c>
      <c r="H971" s="6">
        <v>0</v>
      </c>
      <c r="I971" s="6">
        <v>991818.4</v>
      </c>
      <c r="J971" s="6">
        <v>-991818.4</v>
      </c>
    </row>
    <row r="972" spans="1:10">
      <c r="A972" t="s">
        <v>685</v>
      </c>
      <c r="B972" s="5">
        <v>45778</v>
      </c>
      <c r="C972" t="s">
        <v>167</v>
      </c>
      <c r="D972" t="s">
        <v>51</v>
      </c>
      <c r="E972" t="s">
        <v>150</v>
      </c>
      <c r="F972" t="s">
        <v>51</v>
      </c>
      <c r="G972" t="s">
        <v>168</v>
      </c>
      <c r="H972" s="6">
        <v>105925</v>
      </c>
      <c r="I972" s="6">
        <v>0</v>
      </c>
      <c r="J972" s="6">
        <v>105925</v>
      </c>
    </row>
    <row r="973" spans="1:10">
      <c r="A973" t="s">
        <v>685</v>
      </c>
      <c r="B973" s="5">
        <v>45778</v>
      </c>
      <c r="C973" t="s">
        <v>169</v>
      </c>
      <c r="D973" t="s">
        <v>170</v>
      </c>
      <c r="E973" t="s">
        <v>121</v>
      </c>
      <c r="F973" t="s">
        <v>51</v>
      </c>
      <c r="G973" t="s">
        <v>168</v>
      </c>
      <c r="H973" s="6">
        <v>0</v>
      </c>
      <c r="I973" s="6">
        <v>105925</v>
      </c>
      <c r="J973" s="6">
        <v>-105925</v>
      </c>
    </row>
    <row r="974" spans="1:10">
      <c r="A974" t="s">
        <v>686</v>
      </c>
      <c r="B974" s="5">
        <v>45778</v>
      </c>
      <c r="C974" t="s">
        <v>169</v>
      </c>
      <c r="D974" t="s">
        <v>170</v>
      </c>
      <c r="E974" t="s">
        <v>121</v>
      </c>
      <c r="F974" t="s">
        <v>51</v>
      </c>
      <c r="G974" t="s">
        <v>172</v>
      </c>
      <c r="H974" s="6">
        <v>105925</v>
      </c>
      <c r="I974" s="6">
        <v>0</v>
      </c>
      <c r="J974" s="6">
        <v>105925</v>
      </c>
    </row>
    <row r="975" spans="1:10">
      <c r="A975" t="s">
        <v>686</v>
      </c>
      <c r="B975" s="5">
        <v>45778</v>
      </c>
      <c r="C975" t="s">
        <v>173</v>
      </c>
      <c r="D975" t="s">
        <v>174</v>
      </c>
      <c r="E975" t="s">
        <v>120</v>
      </c>
      <c r="F975" t="s">
        <v>51</v>
      </c>
      <c r="G975" t="s">
        <v>172</v>
      </c>
      <c r="H975" s="6">
        <v>0</v>
      </c>
      <c r="I975" s="6">
        <v>105925</v>
      </c>
      <c r="J975" s="6">
        <v>-105925</v>
      </c>
    </row>
    <row r="976" spans="1:10">
      <c r="A976" t="s">
        <v>687</v>
      </c>
      <c r="B976" s="5">
        <v>45778</v>
      </c>
      <c r="C976" t="s">
        <v>176</v>
      </c>
      <c r="D976" t="s">
        <v>52</v>
      </c>
      <c r="E976" t="s">
        <v>150</v>
      </c>
      <c r="F976" t="s">
        <v>52</v>
      </c>
      <c r="G976" t="s">
        <v>177</v>
      </c>
      <c r="H976" s="6">
        <v>52188.43</v>
      </c>
      <c r="I976" s="6">
        <v>0</v>
      </c>
      <c r="J976" s="6">
        <v>52188.43</v>
      </c>
    </row>
    <row r="977" spans="1:10">
      <c r="A977" t="s">
        <v>687</v>
      </c>
      <c r="B977" s="5">
        <v>45778</v>
      </c>
      <c r="C977" t="s">
        <v>173</v>
      </c>
      <c r="D977" t="s">
        <v>174</v>
      </c>
      <c r="E977" t="s">
        <v>120</v>
      </c>
      <c r="F977" t="s">
        <v>52</v>
      </c>
      <c r="G977" t="s">
        <v>177</v>
      </c>
      <c r="H977" s="6">
        <v>0</v>
      </c>
      <c r="I977" s="6">
        <v>52188.43</v>
      </c>
      <c r="J977" s="6">
        <v>-52188.43</v>
      </c>
    </row>
    <row r="978" spans="1:10">
      <c r="A978" t="s">
        <v>688</v>
      </c>
      <c r="B978" s="5">
        <v>45778</v>
      </c>
      <c r="C978" t="s">
        <v>179</v>
      </c>
      <c r="D978" t="s">
        <v>54</v>
      </c>
      <c r="E978" t="s">
        <v>150</v>
      </c>
      <c r="F978" t="s">
        <v>54</v>
      </c>
      <c r="G978" t="s">
        <v>177</v>
      </c>
      <c r="H978" s="6">
        <v>33920</v>
      </c>
      <c r="I978" s="6">
        <v>0</v>
      </c>
      <c r="J978" s="6">
        <v>33920</v>
      </c>
    </row>
    <row r="979" spans="1:10">
      <c r="A979" t="s">
        <v>688</v>
      </c>
      <c r="B979" s="5">
        <v>45778</v>
      </c>
      <c r="C979" t="s">
        <v>173</v>
      </c>
      <c r="D979" t="s">
        <v>174</v>
      </c>
      <c r="E979" t="s">
        <v>120</v>
      </c>
      <c r="F979" t="s">
        <v>54</v>
      </c>
      <c r="G979" t="s">
        <v>177</v>
      </c>
      <c r="H979" s="6">
        <v>0</v>
      </c>
      <c r="I979" s="6">
        <v>33920</v>
      </c>
      <c r="J979" s="6">
        <v>-33920</v>
      </c>
    </row>
    <row r="980" spans="1:10">
      <c r="A980" t="s">
        <v>689</v>
      </c>
      <c r="B980" s="5">
        <v>45778</v>
      </c>
      <c r="C980" t="s">
        <v>181</v>
      </c>
      <c r="D980" t="s">
        <v>56</v>
      </c>
      <c r="E980" t="s">
        <v>150</v>
      </c>
      <c r="F980" t="s">
        <v>56</v>
      </c>
      <c r="G980" t="s">
        <v>177</v>
      </c>
      <c r="H980" s="6">
        <v>48160</v>
      </c>
      <c r="I980" s="6">
        <v>0</v>
      </c>
      <c r="J980" s="6">
        <v>48160</v>
      </c>
    </row>
    <row r="981" spans="1:10">
      <c r="A981" t="s">
        <v>689</v>
      </c>
      <c r="B981" s="5">
        <v>45778</v>
      </c>
      <c r="C981" t="s">
        <v>173</v>
      </c>
      <c r="D981" t="s">
        <v>174</v>
      </c>
      <c r="E981" t="s">
        <v>120</v>
      </c>
      <c r="F981" t="s">
        <v>56</v>
      </c>
      <c r="G981" t="s">
        <v>177</v>
      </c>
      <c r="H981" s="6">
        <v>0</v>
      </c>
      <c r="I981" s="6">
        <v>48160</v>
      </c>
      <c r="J981" s="6">
        <v>-48160</v>
      </c>
    </row>
    <row r="982" spans="1:10">
      <c r="A982" t="s">
        <v>690</v>
      </c>
      <c r="B982" s="5">
        <v>45778</v>
      </c>
      <c r="C982" t="s">
        <v>183</v>
      </c>
      <c r="D982" t="s">
        <v>59</v>
      </c>
      <c r="E982" t="s">
        <v>150</v>
      </c>
      <c r="F982" t="s">
        <v>66</v>
      </c>
      <c r="G982" t="s">
        <v>177</v>
      </c>
      <c r="H982" s="6">
        <v>31892.93</v>
      </c>
      <c r="I982" s="6">
        <v>0</v>
      </c>
      <c r="J982" s="6">
        <v>31892.93</v>
      </c>
    </row>
    <row r="983" spans="1:10">
      <c r="A983" t="s">
        <v>690</v>
      </c>
      <c r="B983" s="5">
        <v>45778</v>
      </c>
      <c r="C983" t="s">
        <v>173</v>
      </c>
      <c r="D983" t="s">
        <v>174</v>
      </c>
      <c r="E983" t="s">
        <v>120</v>
      </c>
      <c r="F983" t="s">
        <v>66</v>
      </c>
      <c r="G983" t="s">
        <v>177</v>
      </c>
      <c r="H983" s="6">
        <v>0</v>
      </c>
      <c r="I983" s="6">
        <v>31892.93</v>
      </c>
      <c r="J983" s="6">
        <v>-31892.93</v>
      </c>
    </row>
    <row r="984" spans="1:10">
      <c r="A984" t="s">
        <v>691</v>
      </c>
      <c r="B984" s="5">
        <v>45778</v>
      </c>
      <c r="C984" t="s">
        <v>185</v>
      </c>
      <c r="D984" t="s">
        <v>186</v>
      </c>
      <c r="E984" t="s">
        <v>150</v>
      </c>
      <c r="F984" t="s">
        <v>154</v>
      </c>
      <c r="G984" t="s">
        <v>187</v>
      </c>
      <c r="H984" s="6">
        <v>21480</v>
      </c>
      <c r="I984" s="6">
        <v>0</v>
      </c>
      <c r="J984" s="6">
        <v>21480</v>
      </c>
    </row>
    <row r="985" spans="1:10">
      <c r="A985" t="s">
        <v>691</v>
      </c>
      <c r="B985" s="5">
        <v>45778</v>
      </c>
      <c r="C985" t="s">
        <v>188</v>
      </c>
      <c r="D985" t="s">
        <v>189</v>
      </c>
      <c r="E985" t="s">
        <v>120</v>
      </c>
      <c r="F985" t="s">
        <v>154</v>
      </c>
      <c r="G985" t="s">
        <v>187</v>
      </c>
      <c r="H985" s="6">
        <v>0</v>
      </c>
      <c r="I985" s="6">
        <v>21480</v>
      </c>
      <c r="J985" s="6">
        <v>-21480</v>
      </c>
    </row>
    <row r="986" spans="1:10">
      <c r="A986" t="s">
        <v>692</v>
      </c>
      <c r="B986" s="5">
        <v>45778</v>
      </c>
      <c r="C986" t="s">
        <v>191</v>
      </c>
      <c r="D986" t="s">
        <v>104</v>
      </c>
      <c r="E986" t="s">
        <v>150</v>
      </c>
      <c r="F986" t="s">
        <v>154</v>
      </c>
      <c r="G986" t="s">
        <v>192</v>
      </c>
      <c r="H986" s="6">
        <v>10344</v>
      </c>
      <c r="I986" s="6">
        <v>0</v>
      </c>
      <c r="J986" s="6">
        <v>10344</v>
      </c>
    </row>
    <row r="987" spans="1:10">
      <c r="A987" t="s">
        <v>692</v>
      </c>
      <c r="B987" s="5">
        <v>45778</v>
      </c>
      <c r="C987" t="s">
        <v>173</v>
      </c>
      <c r="D987" t="s">
        <v>174</v>
      </c>
      <c r="E987" t="s">
        <v>120</v>
      </c>
      <c r="F987" t="s">
        <v>154</v>
      </c>
      <c r="G987" t="s">
        <v>192</v>
      </c>
      <c r="H987" s="6">
        <v>0</v>
      </c>
      <c r="I987" s="6">
        <v>10344</v>
      </c>
      <c r="J987" s="6">
        <v>-10344</v>
      </c>
    </row>
    <row r="988" spans="1:10">
      <c r="A988" t="s">
        <v>693</v>
      </c>
      <c r="B988" s="5">
        <v>45778</v>
      </c>
      <c r="C988" t="s">
        <v>194</v>
      </c>
      <c r="D988" t="s">
        <v>195</v>
      </c>
      <c r="E988" t="s">
        <v>150</v>
      </c>
      <c r="F988" t="s">
        <v>154</v>
      </c>
      <c r="G988" t="s">
        <v>196</v>
      </c>
      <c r="H988" s="6">
        <v>10447.21228300002</v>
      </c>
      <c r="I988" s="6">
        <v>0</v>
      </c>
      <c r="J988" s="6">
        <v>10447.21228300002</v>
      </c>
    </row>
    <row r="989" spans="1:10">
      <c r="A989" t="s">
        <v>693</v>
      </c>
      <c r="B989" s="5">
        <v>45778</v>
      </c>
      <c r="C989" t="s">
        <v>197</v>
      </c>
      <c r="D989" t="s">
        <v>198</v>
      </c>
      <c r="E989" t="s">
        <v>121</v>
      </c>
      <c r="F989" t="s">
        <v>154</v>
      </c>
      <c r="G989" t="s">
        <v>196</v>
      </c>
      <c r="H989" s="6">
        <v>0</v>
      </c>
      <c r="I989" s="6">
        <v>10447.21228300002</v>
      </c>
      <c r="J989" s="6">
        <v>-10447.21228300002</v>
      </c>
    </row>
    <row r="990" spans="1:10">
      <c r="A990" t="s">
        <v>694</v>
      </c>
      <c r="B990" s="5">
        <v>45778</v>
      </c>
      <c r="C990" t="s">
        <v>173</v>
      </c>
      <c r="D990" t="s">
        <v>174</v>
      </c>
      <c r="E990" t="s">
        <v>120</v>
      </c>
      <c r="F990" t="s">
        <v>154</v>
      </c>
      <c r="G990" t="s">
        <v>200</v>
      </c>
      <c r="H990" s="6">
        <v>1347247.811</v>
      </c>
      <c r="I990" s="6">
        <v>0</v>
      </c>
      <c r="J990" s="6">
        <v>1347247.811</v>
      </c>
    </row>
    <row r="991" spans="1:10">
      <c r="A991" t="s">
        <v>694</v>
      </c>
      <c r="B991" s="5">
        <v>45778</v>
      </c>
      <c r="C991" t="s">
        <v>146</v>
      </c>
      <c r="D991" t="s">
        <v>86</v>
      </c>
      <c r="E991" t="s">
        <v>120</v>
      </c>
      <c r="F991" t="s">
        <v>154</v>
      </c>
      <c r="G991" t="s">
        <v>200</v>
      </c>
      <c r="H991" s="6">
        <v>0</v>
      </c>
      <c r="I991" s="6">
        <v>1347247.811</v>
      </c>
      <c r="J991" s="6">
        <v>-1347247.811</v>
      </c>
    </row>
    <row r="992" spans="1:10">
      <c r="A992" t="s">
        <v>695</v>
      </c>
      <c r="B992" s="5">
        <v>45778</v>
      </c>
      <c r="C992" t="s">
        <v>162</v>
      </c>
      <c r="D992" t="s">
        <v>88</v>
      </c>
      <c r="E992" t="s">
        <v>121</v>
      </c>
      <c r="F992" t="s">
        <v>154</v>
      </c>
      <c r="G992" t="s">
        <v>202</v>
      </c>
      <c r="H992" s="6">
        <v>1015464.108</v>
      </c>
      <c r="I992" s="6">
        <v>0</v>
      </c>
      <c r="J992" s="6">
        <v>1015464.108</v>
      </c>
    </row>
    <row r="993" spans="1:10">
      <c r="A993" t="s">
        <v>695</v>
      </c>
      <c r="B993" s="5">
        <v>45778</v>
      </c>
      <c r="C993" t="s">
        <v>173</v>
      </c>
      <c r="D993" t="s">
        <v>174</v>
      </c>
      <c r="E993" t="s">
        <v>120</v>
      </c>
      <c r="F993" t="s">
        <v>154</v>
      </c>
      <c r="G993" t="s">
        <v>202</v>
      </c>
      <c r="H993" s="6">
        <v>0</v>
      </c>
      <c r="I993" s="6">
        <v>1015464.108</v>
      </c>
      <c r="J993" s="6">
        <v>-1015464.108</v>
      </c>
    </row>
    <row r="994" spans="1:10">
      <c r="A994" t="s">
        <v>696</v>
      </c>
      <c r="B994" s="5">
        <v>45778</v>
      </c>
      <c r="C994" t="s">
        <v>156</v>
      </c>
      <c r="D994" t="s">
        <v>157</v>
      </c>
      <c r="E994" t="s">
        <v>121</v>
      </c>
      <c r="F994" t="s">
        <v>154</v>
      </c>
      <c r="G994" t="s">
        <v>204</v>
      </c>
      <c r="H994" s="6">
        <v>117665.2637</v>
      </c>
      <c r="I994" s="6">
        <v>0</v>
      </c>
      <c r="J994" s="6">
        <v>117665.2637</v>
      </c>
    </row>
    <row r="995" spans="1:10">
      <c r="A995" t="s">
        <v>696</v>
      </c>
      <c r="B995" s="5">
        <v>45778</v>
      </c>
      <c r="C995" t="s">
        <v>173</v>
      </c>
      <c r="D995" t="s">
        <v>174</v>
      </c>
      <c r="E995" t="s">
        <v>120</v>
      </c>
      <c r="F995" t="s">
        <v>154</v>
      </c>
      <c r="G995" t="s">
        <v>204</v>
      </c>
      <c r="H995" s="6">
        <v>0</v>
      </c>
      <c r="I995" s="6">
        <v>117665.2637</v>
      </c>
      <c r="J995" s="6">
        <v>-117665.2637</v>
      </c>
    </row>
    <row r="996" spans="1:10">
      <c r="A996" t="s">
        <v>697</v>
      </c>
      <c r="B996" s="5">
        <v>45778</v>
      </c>
      <c r="C996" t="s">
        <v>197</v>
      </c>
      <c r="D996" t="s">
        <v>198</v>
      </c>
      <c r="E996" t="s">
        <v>121</v>
      </c>
      <c r="F996" t="s">
        <v>154</v>
      </c>
      <c r="G996" t="s">
        <v>206</v>
      </c>
      <c r="H996" s="6">
        <v>6999.592341999973</v>
      </c>
      <c r="I996" s="6">
        <v>0</v>
      </c>
      <c r="J996" s="6">
        <v>6999.592341999973</v>
      </c>
    </row>
    <row r="997" spans="1:10">
      <c r="A997" t="s">
        <v>697</v>
      </c>
      <c r="B997" s="5">
        <v>45778</v>
      </c>
      <c r="C997" t="s">
        <v>173</v>
      </c>
      <c r="D997" t="s">
        <v>174</v>
      </c>
      <c r="E997" t="s">
        <v>120</v>
      </c>
      <c r="F997" t="s">
        <v>154</v>
      </c>
      <c r="G997" t="s">
        <v>206</v>
      </c>
      <c r="H997" s="6">
        <v>0</v>
      </c>
      <c r="I997" s="6">
        <v>6999.592341999973</v>
      </c>
      <c r="J997" s="6">
        <v>-6999.592341999973</v>
      </c>
    </row>
    <row r="998" spans="1:10">
      <c r="A998" t="s">
        <v>698</v>
      </c>
      <c r="B998" s="5">
        <v>45778</v>
      </c>
      <c r="C998" t="s">
        <v>208</v>
      </c>
      <c r="D998" t="s">
        <v>209</v>
      </c>
      <c r="E998" t="s">
        <v>120</v>
      </c>
      <c r="F998" t="s">
        <v>154</v>
      </c>
      <c r="G998" t="s">
        <v>210</v>
      </c>
      <c r="H998" s="6">
        <v>18000</v>
      </c>
      <c r="I998" s="6">
        <v>0</v>
      </c>
      <c r="J998" s="6">
        <v>18000</v>
      </c>
    </row>
    <row r="999" spans="1:10">
      <c r="A999" t="s">
        <v>698</v>
      </c>
      <c r="B999" s="5">
        <v>45778</v>
      </c>
      <c r="C999" t="s">
        <v>173</v>
      </c>
      <c r="D999" t="s">
        <v>174</v>
      </c>
      <c r="E999" t="s">
        <v>120</v>
      </c>
      <c r="F999" t="s">
        <v>154</v>
      </c>
      <c r="G999" t="s">
        <v>210</v>
      </c>
      <c r="H999" s="6">
        <v>0</v>
      </c>
      <c r="I999" s="6">
        <v>18000</v>
      </c>
      <c r="J999" s="6">
        <v>-18000</v>
      </c>
    </row>
    <row r="1000" spans="1:10">
      <c r="A1000" t="s">
        <v>699</v>
      </c>
      <c r="B1000" s="5">
        <v>45778</v>
      </c>
      <c r="C1000" t="s">
        <v>212</v>
      </c>
      <c r="D1000" t="s">
        <v>213</v>
      </c>
      <c r="E1000" t="s">
        <v>121</v>
      </c>
      <c r="F1000" t="s">
        <v>154</v>
      </c>
      <c r="G1000" t="s">
        <v>214</v>
      </c>
      <c r="H1000" s="6">
        <v>18000</v>
      </c>
      <c r="I1000" s="6">
        <v>0</v>
      </c>
      <c r="J1000" s="6">
        <v>18000</v>
      </c>
    </row>
    <row r="1001" spans="1:10">
      <c r="A1001" t="s">
        <v>699</v>
      </c>
      <c r="B1001" s="5">
        <v>45778</v>
      </c>
      <c r="C1001" t="s">
        <v>173</v>
      </c>
      <c r="D1001" t="s">
        <v>174</v>
      </c>
      <c r="E1001" t="s">
        <v>120</v>
      </c>
      <c r="F1001" t="s">
        <v>154</v>
      </c>
      <c r="G1001" t="s">
        <v>214</v>
      </c>
      <c r="H1001" s="6">
        <v>0</v>
      </c>
      <c r="I1001" s="6">
        <v>18000</v>
      </c>
      <c r="J1001" s="6">
        <v>-18000</v>
      </c>
    </row>
    <row r="1002" spans="1:10">
      <c r="A1002" t="s">
        <v>700</v>
      </c>
      <c r="B1002" s="5">
        <v>45778</v>
      </c>
      <c r="C1002" t="s">
        <v>148</v>
      </c>
      <c r="D1002" t="s">
        <v>149</v>
      </c>
      <c r="E1002" t="s">
        <v>150</v>
      </c>
      <c r="F1002" t="s">
        <v>154</v>
      </c>
      <c r="G1002" t="s">
        <v>216</v>
      </c>
      <c r="H1002" s="6">
        <v>1449678.53</v>
      </c>
      <c r="I1002" s="6">
        <v>0</v>
      </c>
      <c r="J1002" s="6">
        <v>1449678.53</v>
      </c>
    </row>
    <row r="1003" spans="1:10">
      <c r="A1003" t="s">
        <v>700</v>
      </c>
      <c r="B1003" s="5">
        <v>45778</v>
      </c>
      <c r="C1003" t="s">
        <v>217</v>
      </c>
      <c r="D1003" t="s">
        <v>218</v>
      </c>
      <c r="E1003" t="s">
        <v>122</v>
      </c>
      <c r="F1003" t="s">
        <v>154</v>
      </c>
      <c r="G1003" t="s">
        <v>216</v>
      </c>
      <c r="H1003" s="6">
        <v>0</v>
      </c>
      <c r="I1003" s="6">
        <v>1449678.53</v>
      </c>
      <c r="J1003" s="6">
        <v>-1449678.53</v>
      </c>
    </row>
    <row r="1004" spans="1:10">
      <c r="A1004" t="s">
        <v>701</v>
      </c>
      <c r="B1004" s="5">
        <v>45778</v>
      </c>
      <c r="C1004" t="s">
        <v>217</v>
      </c>
      <c r="D1004" t="s">
        <v>218</v>
      </c>
      <c r="E1004" t="s">
        <v>122</v>
      </c>
      <c r="F1004" t="s">
        <v>154</v>
      </c>
      <c r="G1004" t="s">
        <v>216</v>
      </c>
      <c r="H1004" s="6">
        <v>123222.67505</v>
      </c>
      <c r="I1004" s="6">
        <v>0</v>
      </c>
      <c r="J1004" s="6">
        <v>123222.67505</v>
      </c>
    </row>
    <row r="1005" spans="1:10">
      <c r="A1005" t="s">
        <v>701</v>
      </c>
      <c r="B1005" s="5">
        <v>45778</v>
      </c>
      <c r="C1005" t="s">
        <v>152</v>
      </c>
      <c r="D1005" t="s">
        <v>153</v>
      </c>
      <c r="E1005" t="s">
        <v>150</v>
      </c>
      <c r="F1005" t="s">
        <v>154</v>
      </c>
      <c r="G1005" t="s">
        <v>216</v>
      </c>
      <c r="H1005" s="6">
        <v>0</v>
      </c>
      <c r="I1005" s="6">
        <v>123222.67505</v>
      </c>
      <c r="J1005" s="6">
        <v>-123222.67505</v>
      </c>
    </row>
    <row r="1006" spans="1:10">
      <c r="A1006" t="s">
        <v>702</v>
      </c>
      <c r="B1006" s="5">
        <v>45778</v>
      </c>
      <c r="C1006" t="s">
        <v>217</v>
      </c>
      <c r="D1006" t="s">
        <v>218</v>
      </c>
      <c r="E1006" t="s">
        <v>122</v>
      </c>
      <c r="F1006" t="s">
        <v>154</v>
      </c>
      <c r="G1006" t="s">
        <v>216</v>
      </c>
      <c r="H1006" s="6">
        <v>991818.4</v>
      </c>
      <c r="I1006" s="6">
        <v>0</v>
      </c>
      <c r="J1006" s="6">
        <v>991818.4</v>
      </c>
    </row>
    <row r="1007" spans="1:10">
      <c r="A1007" t="s">
        <v>702</v>
      </c>
      <c r="B1007" s="5">
        <v>45778</v>
      </c>
      <c r="C1007" t="s">
        <v>164</v>
      </c>
      <c r="D1007" t="s">
        <v>36</v>
      </c>
      <c r="E1007" t="s">
        <v>150</v>
      </c>
      <c r="F1007" t="s">
        <v>154</v>
      </c>
      <c r="G1007" t="s">
        <v>216</v>
      </c>
      <c r="H1007" s="6">
        <v>0</v>
      </c>
      <c r="I1007" s="6">
        <v>991818.4</v>
      </c>
      <c r="J1007" s="6">
        <v>-991818.4</v>
      </c>
    </row>
    <row r="1008" spans="1:10">
      <c r="A1008" t="s">
        <v>703</v>
      </c>
      <c r="B1008" s="5">
        <v>45778</v>
      </c>
      <c r="C1008" t="s">
        <v>217</v>
      </c>
      <c r="D1008" t="s">
        <v>218</v>
      </c>
      <c r="E1008" t="s">
        <v>122</v>
      </c>
      <c r="F1008" t="s">
        <v>154</v>
      </c>
      <c r="G1008" t="s">
        <v>216</v>
      </c>
      <c r="H1008" s="6">
        <v>105925</v>
      </c>
      <c r="I1008" s="6">
        <v>0</v>
      </c>
      <c r="J1008" s="6">
        <v>105925</v>
      </c>
    </row>
    <row r="1009" spans="1:10">
      <c r="A1009" t="s">
        <v>703</v>
      </c>
      <c r="B1009" s="5">
        <v>45778</v>
      </c>
      <c r="C1009" t="s">
        <v>167</v>
      </c>
      <c r="D1009" t="s">
        <v>51</v>
      </c>
      <c r="E1009" t="s">
        <v>150</v>
      </c>
      <c r="F1009" t="s">
        <v>154</v>
      </c>
      <c r="G1009" t="s">
        <v>216</v>
      </c>
      <c r="H1009" s="6">
        <v>0</v>
      </c>
      <c r="I1009" s="6">
        <v>105925</v>
      </c>
      <c r="J1009" s="6">
        <v>-105925</v>
      </c>
    </row>
    <row r="1010" spans="1:10">
      <c r="A1010" t="s">
        <v>704</v>
      </c>
      <c r="B1010" s="5">
        <v>45778</v>
      </c>
      <c r="C1010" t="s">
        <v>217</v>
      </c>
      <c r="D1010" t="s">
        <v>218</v>
      </c>
      <c r="E1010" t="s">
        <v>122</v>
      </c>
      <c r="F1010" t="s">
        <v>154</v>
      </c>
      <c r="G1010" t="s">
        <v>216</v>
      </c>
      <c r="H1010" s="6">
        <v>52188.43</v>
      </c>
      <c r="I1010" s="6">
        <v>0</v>
      </c>
      <c r="J1010" s="6">
        <v>52188.43</v>
      </c>
    </row>
    <row r="1011" spans="1:10">
      <c r="A1011" t="s">
        <v>704</v>
      </c>
      <c r="B1011" s="5">
        <v>45778</v>
      </c>
      <c r="C1011" t="s">
        <v>176</v>
      </c>
      <c r="D1011" t="s">
        <v>52</v>
      </c>
      <c r="E1011" t="s">
        <v>150</v>
      </c>
      <c r="F1011" t="s">
        <v>154</v>
      </c>
      <c r="G1011" t="s">
        <v>216</v>
      </c>
      <c r="H1011" s="6">
        <v>0</v>
      </c>
      <c r="I1011" s="6">
        <v>52188.43</v>
      </c>
      <c r="J1011" s="6">
        <v>-52188.43</v>
      </c>
    </row>
    <row r="1012" spans="1:10">
      <c r="A1012" t="s">
        <v>705</v>
      </c>
      <c r="B1012" s="5">
        <v>45778</v>
      </c>
      <c r="C1012" t="s">
        <v>217</v>
      </c>
      <c r="D1012" t="s">
        <v>218</v>
      </c>
      <c r="E1012" t="s">
        <v>122</v>
      </c>
      <c r="F1012" t="s">
        <v>154</v>
      </c>
      <c r="G1012" t="s">
        <v>216</v>
      </c>
      <c r="H1012" s="6">
        <v>33920</v>
      </c>
      <c r="I1012" s="6">
        <v>0</v>
      </c>
      <c r="J1012" s="6">
        <v>33920</v>
      </c>
    </row>
    <row r="1013" spans="1:10">
      <c r="A1013" t="s">
        <v>705</v>
      </c>
      <c r="B1013" s="5">
        <v>45778</v>
      </c>
      <c r="C1013" t="s">
        <v>179</v>
      </c>
      <c r="D1013" t="s">
        <v>54</v>
      </c>
      <c r="E1013" t="s">
        <v>150</v>
      </c>
      <c r="F1013" t="s">
        <v>154</v>
      </c>
      <c r="G1013" t="s">
        <v>216</v>
      </c>
      <c r="H1013" s="6">
        <v>0</v>
      </c>
      <c r="I1013" s="6">
        <v>33920</v>
      </c>
      <c r="J1013" s="6">
        <v>-33920</v>
      </c>
    </row>
    <row r="1014" spans="1:10">
      <c r="A1014" t="s">
        <v>706</v>
      </c>
      <c r="B1014" s="5">
        <v>45778</v>
      </c>
      <c r="C1014" t="s">
        <v>217</v>
      </c>
      <c r="D1014" t="s">
        <v>218</v>
      </c>
      <c r="E1014" t="s">
        <v>122</v>
      </c>
      <c r="F1014" t="s">
        <v>154</v>
      </c>
      <c r="G1014" t="s">
        <v>216</v>
      </c>
      <c r="H1014" s="6">
        <v>48160</v>
      </c>
      <c r="I1014" s="6">
        <v>0</v>
      </c>
      <c r="J1014" s="6">
        <v>48160</v>
      </c>
    </row>
    <row r="1015" spans="1:10">
      <c r="A1015" t="s">
        <v>706</v>
      </c>
      <c r="B1015" s="5">
        <v>45778</v>
      </c>
      <c r="C1015" t="s">
        <v>181</v>
      </c>
      <c r="D1015" t="s">
        <v>56</v>
      </c>
      <c r="E1015" t="s">
        <v>150</v>
      </c>
      <c r="F1015" t="s">
        <v>154</v>
      </c>
      <c r="G1015" t="s">
        <v>216</v>
      </c>
      <c r="H1015" s="6">
        <v>0</v>
      </c>
      <c r="I1015" s="6">
        <v>48160</v>
      </c>
      <c r="J1015" s="6">
        <v>-48160</v>
      </c>
    </row>
    <row r="1016" spans="1:10">
      <c r="A1016" t="s">
        <v>707</v>
      </c>
      <c r="B1016" s="5">
        <v>45778</v>
      </c>
      <c r="C1016" t="s">
        <v>217</v>
      </c>
      <c r="D1016" t="s">
        <v>218</v>
      </c>
      <c r="E1016" t="s">
        <v>122</v>
      </c>
      <c r="F1016" t="s">
        <v>154</v>
      </c>
      <c r="G1016" t="s">
        <v>216</v>
      </c>
      <c r="H1016" s="6">
        <v>31892.93</v>
      </c>
      <c r="I1016" s="6">
        <v>0</v>
      </c>
      <c r="J1016" s="6">
        <v>31892.93</v>
      </c>
    </row>
    <row r="1017" spans="1:10">
      <c r="A1017" t="s">
        <v>707</v>
      </c>
      <c r="B1017" s="5">
        <v>45778</v>
      </c>
      <c r="C1017" t="s">
        <v>183</v>
      </c>
      <c r="D1017" t="s">
        <v>59</v>
      </c>
      <c r="E1017" t="s">
        <v>150</v>
      </c>
      <c r="F1017" t="s">
        <v>154</v>
      </c>
      <c r="G1017" t="s">
        <v>216</v>
      </c>
      <c r="H1017" s="6">
        <v>0</v>
      </c>
      <c r="I1017" s="6">
        <v>31892.93</v>
      </c>
      <c r="J1017" s="6">
        <v>-31892.93</v>
      </c>
    </row>
    <row r="1018" spans="1:10">
      <c r="A1018" t="s">
        <v>708</v>
      </c>
      <c r="B1018" s="5">
        <v>45778</v>
      </c>
      <c r="C1018" t="s">
        <v>217</v>
      </c>
      <c r="D1018" t="s">
        <v>218</v>
      </c>
      <c r="E1018" t="s">
        <v>122</v>
      </c>
      <c r="F1018" t="s">
        <v>154</v>
      </c>
      <c r="G1018" t="s">
        <v>216</v>
      </c>
      <c r="H1018" s="6">
        <v>21480</v>
      </c>
      <c r="I1018" s="6">
        <v>0</v>
      </c>
      <c r="J1018" s="6">
        <v>21480</v>
      </c>
    </row>
    <row r="1019" spans="1:10">
      <c r="A1019" t="s">
        <v>708</v>
      </c>
      <c r="B1019" s="5">
        <v>45778</v>
      </c>
      <c r="C1019" t="s">
        <v>185</v>
      </c>
      <c r="D1019" t="s">
        <v>186</v>
      </c>
      <c r="E1019" t="s">
        <v>150</v>
      </c>
      <c r="F1019" t="s">
        <v>154</v>
      </c>
      <c r="G1019" t="s">
        <v>216</v>
      </c>
      <c r="H1019" s="6">
        <v>0</v>
      </c>
      <c r="I1019" s="6">
        <v>21480</v>
      </c>
      <c r="J1019" s="6">
        <v>-21480</v>
      </c>
    </row>
    <row r="1020" spans="1:10">
      <c r="A1020" t="s">
        <v>709</v>
      </c>
      <c r="B1020" s="5">
        <v>45778</v>
      </c>
      <c r="C1020" t="s">
        <v>217</v>
      </c>
      <c r="D1020" t="s">
        <v>218</v>
      </c>
      <c r="E1020" t="s">
        <v>122</v>
      </c>
      <c r="F1020" t="s">
        <v>154</v>
      </c>
      <c r="G1020" t="s">
        <v>216</v>
      </c>
      <c r="H1020" s="6">
        <v>10344</v>
      </c>
      <c r="I1020" s="6">
        <v>0</v>
      </c>
      <c r="J1020" s="6">
        <v>10344</v>
      </c>
    </row>
    <row r="1021" spans="1:10">
      <c r="A1021" t="s">
        <v>709</v>
      </c>
      <c r="B1021" s="5">
        <v>45778</v>
      </c>
      <c r="C1021" t="s">
        <v>191</v>
      </c>
      <c r="D1021" t="s">
        <v>104</v>
      </c>
      <c r="E1021" t="s">
        <v>150</v>
      </c>
      <c r="F1021" t="s">
        <v>154</v>
      </c>
      <c r="G1021" t="s">
        <v>216</v>
      </c>
      <c r="H1021" s="6">
        <v>0</v>
      </c>
      <c r="I1021" s="6">
        <v>10344</v>
      </c>
      <c r="J1021" s="6">
        <v>-10344</v>
      </c>
    </row>
    <row r="1022" spans="1:10">
      <c r="A1022" t="s">
        <v>710</v>
      </c>
      <c r="B1022" s="5">
        <v>45778</v>
      </c>
      <c r="C1022" t="s">
        <v>217</v>
      </c>
      <c r="D1022" t="s">
        <v>218</v>
      </c>
      <c r="E1022" t="s">
        <v>122</v>
      </c>
      <c r="F1022" t="s">
        <v>154</v>
      </c>
      <c r="G1022" t="s">
        <v>216</v>
      </c>
      <c r="H1022" s="6">
        <v>10447.21228300002</v>
      </c>
      <c r="I1022" s="6">
        <v>0</v>
      </c>
      <c r="J1022" s="6">
        <v>10447.21228300002</v>
      </c>
    </row>
    <row r="1023" spans="1:10">
      <c r="A1023" t="s">
        <v>710</v>
      </c>
      <c r="B1023" s="5">
        <v>45778</v>
      </c>
      <c r="C1023" t="s">
        <v>194</v>
      </c>
      <c r="D1023" t="s">
        <v>195</v>
      </c>
      <c r="E1023" t="s">
        <v>150</v>
      </c>
      <c r="F1023" t="s">
        <v>154</v>
      </c>
      <c r="G1023" t="s">
        <v>216</v>
      </c>
      <c r="H1023" s="6">
        <v>0</v>
      </c>
      <c r="I1023" s="6">
        <v>10447.21228300002</v>
      </c>
      <c r="J1023" s="6">
        <v>-10447.21228300002</v>
      </c>
    </row>
    <row r="1024" spans="1:10">
      <c r="A1024" t="s">
        <v>711</v>
      </c>
      <c r="B1024" s="5">
        <v>45809</v>
      </c>
      <c r="C1024" t="s">
        <v>146</v>
      </c>
      <c r="D1024" t="s">
        <v>86</v>
      </c>
      <c r="E1024" t="s">
        <v>120</v>
      </c>
      <c r="F1024" t="s">
        <v>52</v>
      </c>
      <c r="G1024" t="s">
        <v>147</v>
      </c>
      <c r="H1024" s="6">
        <v>1471160.97</v>
      </c>
      <c r="I1024" s="6">
        <v>0</v>
      </c>
      <c r="J1024" s="6">
        <v>1471160.97</v>
      </c>
    </row>
    <row r="1025" spans="1:10">
      <c r="A1025" t="s">
        <v>711</v>
      </c>
      <c r="B1025" s="5">
        <v>45809</v>
      </c>
      <c r="C1025" t="s">
        <v>148</v>
      </c>
      <c r="D1025" t="s">
        <v>149</v>
      </c>
      <c r="E1025" t="s">
        <v>150</v>
      </c>
      <c r="F1025" t="s">
        <v>52</v>
      </c>
      <c r="G1025" t="s">
        <v>147</v>
      </c>
      <c r="H1025" s="6">
        <v>0</v>
      </c>
      <c r="I1025" s="6">
        <v>1471160.97</v>
      </c>
      <c r="J1025" s="6">
        <v>-1471160.97</v>
      </c>
    </row>
    <row r="1026" spans="1:10">
      <c r="A1026" t="s">
        <v>712</v>
      </c>
      <c r="B1026" s="5">
        <v>45809</v>
      </c>
      <c r="C1026" t="s">
        <v>152</v>
      </c>
      <c r="D1026" t="s">
        <v>153</v>
      </c>
      <c r="E1026" t="s">
        <v>150</v>
      </c>
      <c r="F1026" t="s">
        <v>154</v>
      </c>
      <c r="G1026" t="s">
        <v>155</v>
      </c>
      <c r="H1026" s="6">
        <v>125048.68245</v>
      </c>
      <c r="I1026" s="6">
        <v>0</v>
      </c>
      <c r="J1026" s="6">
        <v>125048.68245</v>
      </c>
    </row>
    <row r="1027" spans="1:10">
      <c r="A1027" t="s">
        <v>712</v>
      </c>
      <c r="B1027" s="5">
        <v>45809</v>
      </c>
      <c r="C1027" t="s">
        <v>156</v>
      </c>
      <c r="D1027" t="s">
        <v>157</v>
      </c>
      <c r="E1027" t="s">
        <v>121</v>
      </c>
      <c r="F1027" t="s">
        <v>154</v>
      </c>
      <c r="G1027" t="s">
        <v>155</v>
      </c>
      <c r="H1027" s="6">
        <v>0</v>
      </c>
      <c r="I1027" s="6">
        <v>125048.68245</v>
      </c>
      <c r="J1027" s="6">
        <v>-125048.68245</v>
      </c>
    </row>
    <row r="1028" spans="1:10">
      <c r="A1028" t="s">
        <v>713</v>
      </c>
      <c r="B1028" s="5">
        <v>45809</v>
      </c>
      <c r="C1028" t="s">
        <v>159</v>
      </c>
      <c r="D1028" t="s">
        <v>160</v>
      </c>
      <c r="E1028" t="s">
        <v>120</v>
      </c>
      <c r="F1028" t="s">
        <v>58</v>
      </c>
      <c r="G1028" t="s">
        <v>161</v>
      </c>
      <c r="H1028" s="6">
        <v>1033888.609333333</v>
      </c>
      <c r="I1028" s="6">
        <v>0</v>
      </c>
      <c r="J1028" s="6">
        <v>1033888.609333333</v>
      </c>
    </row>
    <row r="1029" spans="1:10">
      <c r="A1029" t="s">
        <v>713</v>
      </c>
      <c r="B1029" s="5">
        <v>45809</v>
      </c>
      <c r="C1029" t="s">
        <v>162</v>
      </c>
      <c r="D1029" t="s">
        <v>88</v>
      </c>
      <c r="E1029" t="s">
        <v>121</v>
      </c>
      <c r="F1029" t="s">
        <v>58</v>
      </c>
      <c r="G1029" t="s">
        <v>161</v>
      </c>
      <c r="H1029" s="6">
        <v>0</v>
      </c>
      <c r="I1029" s="6">
        <v>1033888.609333333</v>
      </c>
      <c r="J1029" s="6">
        <v>-1033888.609333333</v>
      </c>
    </row>
    <row r="1030" spans="1:10">
      <c r="A1030" t="s">
        <v>714</v>
      </c>
      <c r="B1030" s="5">
        <v>45809</v>
      </c>
      <c r="C1030" t="s">
        <v>164</v>
      </c>
      <c r="D1030" t="s">
        <v>36</v>
      </c>
      <c r="E1030" t="s">
        <v>150</v>
      </c>
      <c r="F1030" t="s">
        <v>58</v>
      </c>
      <c r="G1030" t="s">
        <v>165</v>
      </c>
      <c r="H1030" s="6">
        <v>1007209.94</v>
      </c>
      <c r="I1030" s="6">
        <v>0</v>
      </c>
      <c r="J1030" s="6">
        <v>1007209.94</v>
      </c>
    </row>
    <row r="1031" spans="1:10">
      <c r="A1031" t="s">
        <v>714</v>
      </c>
      <c r="B1031" s="5">
        <v>45809</v>
      </c>
      <c r="C1031" t="s">
        <v>159</v>
      </c>
      <c r="D1031" t="s">
        <v>160</v>
      </c>
      <c r="E1031" t="s">
        <v>120</v>
      </c>
      <c r="F1031" t="s">
        <v>58</v>
      </c>
      <c r="G1031" t="s">
        <v>165</v>
      </c>
      <c r="H1031" s="6">
        <v>0</v>
      </c>
      <c r="I1031" s="6">
        <v>1007209.94</v>
      </c>
      <c r="J1031" s="6">
        <v>-1007209.94</v>
      </c>
    </row>
    <row r="1032" spans="1:10">
      <c r="A1032" t="s">
        <v>715</v>
      </c>
      <c r="B1032" s="5">
        <v>45809</v>
      </c>
      <c r="C1032" t="s">
        <v>167</v>
      </c>
      <c r="D1032" t="s">
        <v>51</v>
      </c>
      <c r="E1032" t="s">
        <v>150</v>
      </c>
      <c r="F1032" t="s">
        <v>51</v>
      </c>
      <c r="G1032" t="s">
        <v>168</v>
      </c>
      <c r="H1032" s="6">
        <v>105925</v>
      </c>
      <c r="I1032" s="6">
        <v>0</v>
      </c>
      <c r="J1032" s="6">
        <v>105925</v>
      </c>
    </row>
    <row r="1033" spans="1:10">
      <c r="A1033" t="s">
        <v>715</v>
      </c>
      <c r="B1033" s="5">
        <v>45809</v>
      </c>
      <c r="C1033" t="s">
        <v>169</v>
      </c>
      <c r="D1033" t="s">
        <v>170</v>
      </c>
      <c r="E1033" t="s">
        <v>121</v>
      </c>
      <c r="F1033" t="s">
        <v>51</v>
      </c>
      <c r="G1033" t="s">
        <v>168</v>
      </c>
      <c r="H1033" s="6">
        <v>0</v>
      </c>
      <c r="I1033" s="6">
        <v>105925</v>
      </c>
      <c r="J1033" s="6">
        <v>-105925</v>
      </c>
    </row>
    <row r="1034" spans="1:10">
      <c r="A1034" t="s">
        <v>716</v>
      </c>
      <c r="B1034" s="5">
        <v>45809</v>
      </c>
      <c r="C1034" t="s">
        <v>169</v>
      </c>
      <c r="D1034" t="s">
        <v>170</v>
      </c>
      <c r="E1034" t="s">
        <v>121</v>
      </c>
      <c r="F1034" t="s">
        <v>51</v>
      </c>
      <c r="G1034" t="s">
        <v>172</v>
      </c>
      <c r="H1034" s="6">
        <v>105925</v>
      </c>
      <c r="I1034" s="6">
        <v>0</v>
      </c>
      <c r="J1034" s="6">
        <v>105925</v>
      </c>
    </row>
    <row r="1035" spans="1:10">
      <c r="A1035" t="s">
        <v>716</v>
      </c>
      <c r="B1035" s="5">
        <v>45809</v>
      </c>
      <c r="C1035" t="s">
        <v>173</v>
      </c>
      <c r="D1035" t="s">
        <v>174</v>
      </c>
      <c r="E1035" t="s">
        <v>120</v>
      </c>
      <c r="F1035" t="s">
        <v>51</v>
      </c>
      <c r="G1035" t="s">
        <v>172</v>
      </c>
      <c r="H1035" s="6">
        <v>0</v>
      </c>
      <c r="I1035" s="6">
        <v>105925</v>
      </c>
      <c r="J1035" s="6">
        <v>-105925</v>
      </c>
    </row>
    <row r="1036" spans="1:10">
      <c r="A1036" t="s">
        <v>717</v>
      </c>
      <c r="B1036" s="5">
        <v>45809</v>
      </c>
      <c r="C1036" t="s">
        <v>176</v>
      </c>
      <c r="D1036" t="s">
        <v>52</v>
      </c>
      <c r="E1036" t="s">
        <v>150</v>
      </c>
      <c r="F1036" t="s">
        <v>52</v>
      </c>
      <c r="G1036" t="s">
        <v>177</v>
      </c>
      <c r="H1036" s="6">
        <v>52961.79</v>
      </c>
      <c r="I1036" s="6">
        <v>0</v>
      </c>
      <c r="J1036" s="6">
        <v>52961.79</v>
      </c>
    </row>
    <row r="1037" spans="1:10">
      <c r="A1037" t="s">
        <v>717</v>
      </c>
      <c r="B1037" s="5">
        <v>45809</v>
      </c>
      <c r="C1037" t="s">
        <v>173</v>
      </c>
      <c r="D1037" t="s">
        <v>174</v>
      </c>
      <c r="E1037" t="s">
        <v>120</v>
      </c>
      <c r="F1037" t="s">
        <v>52</v>
      </c>
      <c r="G1037" t="s">
        <v>177</v>
      </c>
      <c r="H1037" s="6">
        <v>0</v>
      </c>
      <c r="I1037" s="6">
        <v>52961.79</v>
      </c>
      <c r="J1037" s="6">
        <v>-52961.79</v>
      </c>
    </row>
    <row r="1038" spans="1:10">
      <c r="A1038" t="s">
        <v>718</v>
      </c>
      <c r="B1038" s="5">
        <v>45809</v>
      </c>
      <c r="C1038" t="s">
        <v>179</v>
      </c>
      <c r="D1038" t="s">
        <v>54</v>
      </c>
      <c r="E1038" t="s">
        <v>150</v>
      </c>
      <c r="F1038" t="s">
        <v>54</v>
      </c>
      <c r="G1038" t="s">
        <v>177</v>
      </c>
      <c r="H1038" s="6">
        <v>33920</v>
      </c>
      <c r="I1038" s="6">
        <v>0</v>
      </c>
      <c r="J1038" s="6">
        <v>33920</v>
      </c>
    </row>
    <row r="1039" spans="1:10">
      <c r="A1039" t="s">
        <v>718</v>
      </c>
      <c r="B1039" s="5">
        <v>45809</v>
      </c>
      <c r="C1039" t="s">
        <v>173</v>
      </c>
      <c r="D1039" t="s">
        <v>174</v>
      </c>
      <c r="E1039" t="s">
        <v>120</v>
      </c>
      <c r="F1039" t="s">
        <v>54</v>
      </c>
      <c r="G1039" t="s">
        <v>177</v>
      </c>
      <c r="H1039" s="6">
        <v>0</v>
      </c>
      <c r="I1039" s="6">
        <v>33920</v>
      </c>
      <c r="J1039" s="6">
        <v>-33920</v>
      </c>
    </row>
    <row r="1040" spans="1:10">
      <c r="A1040" t="s">
        <v>719</v>
      </c>
      <c r="B1040" s="5">
        <v>45809</v>
      </c>
      <c r="C1040" t="s">
        <v>181</v>
      </c>
      <c r="D1040" t="s">
        <v>56</v>
      </c>
      <c r="E1040" t="s">
        <v>150</v>
      </c>
      <c r="F1040" t="s">
        <v>56</v>
      </c>
      <c r="G1040" t="s">
        <v>177</v>
      </c>
      <c r="H1040" s="6">
        <v>20160</v>
      </c>
      <c r="I1040" s="6">
        <v>0</v>
      </c>
      <c r="J1040" s="6">
        <v>20160</v>
      </c>
    </row>
    <row r="1041" spans="1:10">
      <c r="A1041" t="s">
        <v>719</v>
      </c>
      <c r="B1041" s="5">
        <v>45809</v>
      </c>
      <c r="C1041" t="s">
        <v>173</v>
      </c>
      <c r="D1041" t="s">
        <v>174</v>
      </c>
      <c r="E1041" t="s">
        <v>120</v>
      </c>
      <c r="F1041" t="s">
        <v>56</v>
      </c>
      <c r="G1041" t="s">
        <v>177</v>
      </c>
      <c r="H1041" s="6">
        <v>0</v>
      </c>
      <c r="I1041" s="6">
        <v>20160</v>
      </c>
      <c r="J1041" s="6">
        <v>-20160</v>
      </c>
    </row>
    <row r="1042" spans="1:10">
      <c r="A1042" t="s">
        <v>720</v>
      </c>
      <c r="B1042" s="5">
        <v>45809</v>
      </c>
      <c r="C1042" t="s">
        <v>183</v>
      </c>
      <c r="D1042" t="s">
        <v>59</v>
      </c>
      <c r="E1042" t="s">
        <v>150</v>
      </c>
      <c r="F1042" t="s">
        <v>66</v>
      </c>
      <c r="G1042" t="s">
        <v>177</v>
      </c>
      <c r="H1042" s="6">
        <v>32365.54</v>
      </c>
      <c r="I1042" s="6">
        <v>0</v>
      </c>
      <c r="J1042" s="6">
        <v>32365.54</v>
      </c>
    </row>
    <row r="1043" spans="1:10">
      <c r="A1043" t="s">
        <v>720</v>
      </c>
      <c r="B1043" s="5">
        <v>45809</v>
      </c>
      <c r="C1043" t="s">
        <v>173</v>
      </c>
      <c r="D1043" t="s">
        <v>174</v>
      </c>
      <c r="E1043" t="s">
        <v>120</v>
      </c>
      <c r="F1043" t="s">
        <v>66</v>
      </c>
      <c r="G1043" t="s">
        <v>177</v>
      </c>
      <c r="H1043" s="6">
        <v>0</v>
      </c>
      <c r="I1043" s="6">
        <v>32365.54</v>
      </c>
      <c r="J1043" s="6">
        <v>-32365.54</v>
      </c>
    </row>
    <row r="1044" spans="1:10">
      <c r="A1044" t="s">
        <v>721</v>
      </c>
      <c r="B1044" s="5">
        <v>45809</v>
      </c>
      <c r="C1044" t="s">
        <v>185</v>
      </c>
      <c r="D1044" t="s">
        <v>186</v>
      </c>
      <c r="E1044" t="s">
        <v>150</v>
      </c>
      <c r="F1044" t="s">
        <v>154</v>
      </c>
      <c r="G1044" t="s">
        <v>187</v>
      </c>
      <c r="H1044" s="6">
        <v>21660</v>
      </c>
      <c r="I1044" s="6">
        <v>0</v>
      </c>
      <c r="J1044" s="6">
        <v>21660</v>
      </c>
    </row>
    <row r="1045" spans="1:10">
      <c r="A1045" t="s">
        <v>721</v>
      </c>
      <c r="B1045" s="5">
        <v>45809</v>
      </c>
      <c r="C1045" t="s">
        <v>188</v>
      </c>
      <c r="D1045" t="s">
        <v>189</v>
      </c>
      <c r="E1045" t="s">
        <v>120</v>
      </c>
      <c r="F1045" t="s">
        <v>154</v>
      </c>
      <c r="G1045" t="s">
        <v>187</v>
      </c>
      <c r="H1045" s="6">
        <v>0</v>
      </c>
      <c r="I1045" s="6">
        <v>21660</v>
      </c>
      <c r="J1045" s="6">
        <v>-21660</v>
      </c>
    </row>
    <row r="1046" spans="1:10">
      <c r="A1046" t="s">
        <v>722</v>
      </c>
      <c r="B1046" s="5">
        <v>45809</v>
      </c>
      <c r="C1046" t="s">
        <v>191</v>
      </c>
      <c r="D1046" t="s">
        <v>104</v>
      </c>
      <c r="E1046" t="s">
        <v>150</v>
      </c>
      <c r="F1046" t="s">
        <v>154</v>
      </c>
      <c r="G1046" t="s">
        <v>192</v>
      </c>
      <c r="H1046" s="6">
        <v>10128</v>
      </c>
      <c r="I1046" s="6">
        <v>0</v>
      </c>
      <c r="J1046" s="6">
        <v>10128</v>
      </c>
    </row>
    <row r="1047" spans="1:10">
      <c r="A1047" t="s">
        <v>722</v>
      </c>
      <c r="B1047" s="5">
        <v>45809</v>
      </c>
      <c r="C1047" t="s">
        <v>173</v>
      </c>
      <c r="D1047" t="s">
        <v>174</v>
      </c>
      <c r="E1047" t="s">
        <v>120</v>
      </c>
      <c r="F1047" t="s">
        <v>154</v>
      </c>
      <c r="G1047" t="s">
        <v>192</v>
      </c>
      <c r="H1047" s="6">
        <v>0</v>
      </c>
      <c r="I1047" s="6">
        <v>10128</v>
      </c>
      <c r="J1047" s="6">
        <v>-10128</v>
      </c>
    </row>
    <row r="1048" spans="1:10">
      <c r="A1048" t="s">
        <v>723</v>
      </c>
      <c r="B1048" s="5">
        <v>45809</v>
      </c>
      <c r="C1048" t="s">
        <v>194</v>
      </c>
      <c r="D1048" t="s">
        <v>195</v>
      </c>
      <c r="E1048" t="s">
        <v>150</v>
      </c>
      <c r="F1048" t="s">
        <v>154</v>
      </c>
      <c r="G1048" t="s">
        <v>196</v>
      </c>
      <c r="H1048" s="6">
        <v>21005.88596700002</v>
      </c>
      <c r="I1048" s="6">
        <v>0</v>
      </c>
      <c r="J1048" s="6">
        <v>21005.88596700002</v>
      </c>
    </row>
    <row r="1049" spans="1:10">
      <c r="A1049" t="s">
        <v>723</v>
      </c>
      <c r="B1049" s="5">
        <v>45809</v>
      </c>
      <c r="C1049" t="s">
        <v>197</v>
      </c>
      <c r="D1049" t="s">
        <v>198</v>
      </c>
      <c r="E1049" t="s">
        <v>121</v>
      </c>
      <c r="F1049" t="s">
        <v>154</v>
      </c>
      <c r="G1049" t="s">
        <v>196</v>
      </c>
      <c r="H1049" s="6">
        <v>0</v>
      </c>
      <c r="I1049" s="6">
        <v>21005.88596700002</v>
      </c>
      <c r="J1049" s="6">
        <v>-21005.88596700002</v>
      </c>
    </row>
    <row r="1050" spans="1:10">
      <c r="A1050" t="s">
        <v>724</v>
      </c>
      <c r="B1050" s="5">
        <v>45809</v>
      </c>
      <c r="C1050" t="s">
        <v>173</v>
      </c>
      <c r="D1050" t="s">
        <v>174</v>
      </c>
      <c r="E1050" t="s">
        <v>120</v>
      </c>
      <c r="F1050" t="s">
        <v>154</v>
      </c>
      <c r="G1050" t="s">
        <v>200</v>
      </c>
      <c r="H1050" s="6">
        <v>1437505.147333333</v>
      </c>
      <c r="I1050" s="6">
        <v>0</v>
      </c>
      <c r="J1050" s="6">
        <v>1437505.147333333</v>
      </c>
    </row>
    <row r="1051" spans="1:10">
      <c r="A1051" t="s">
        <v>724</v>
      </c>
      <c r="B1051" s="5">
        <v>45809</v>
      </c>
      <c r="C1051" t="s">
        <v>146</v>
      </c>
      <c r="D1051" t="s">
        <v>86</v>
      </c>
      <c r="E1051" t="s">
        <v>120</v>
      </c>
      <c r="F1051" t="s">
        <v>154</v>
      </c>
      <c r="G1051" t="s">
        <v>200</v>
      </c>
      <c r="H1051" s="6">
        <v>0</v>
      </c>
      <c r="I1051" s="6">
        <v>1437505.147333333</v>
      </c>
      <c r="J1051" s="6">
        <v>-1437505.147333333</v>
      </c>
    </row>
    <row r="1052" spans="1:10">
      <c r="A1052" t="s">
        <v>725</v>
      </c>
      <c r="B1052" s="5">
        <v>45809</v>
      </c>
      <c r="C1052" t="s">
        <v>162</v>
      </c>
      <c r="D1052" t="s">
        <v>88</v>
      </c>
      <c r="E1052" t="s">
        <v>121</v>
      </c>
      <c r="F1052" t="s">
        <v>154</v>
      </c>
      <c r="G1052" t="s">
        <v>202</v>
      </c>
      <c r="H1052" s="6">
        <v>1015931.812666666</v>
      </c>
      <c r="I1052" s="6">
        <v>0</v>
      </c>
      <c r="J1052" s="6">
        <v>1015931.812666666</v>
      </c>
    </row>
    <row r="1053" spans="1:10">
      <c r="A1053" t="s">
        <v>725</v>
      </c>
      <c r="B1053" s="5">
        <v>45809</v>
      </c>
      <c r="C1053" t="s">
        <v>173</v>
      </c>
      <c r="D1053" t="s">
        <v>174</v>
      </c>
      <c r="E1053" t="s">
        <v>120</v>
      </c>
      <c r="F1053" t="s">
        <v>154</v>
      </c>
      <c r="G1053" t="s">
        <v>202</v>
      </c>
      <c r="H1053" s="6">
        <v>0</v>
      </c>
      <c r="I1053" s="6">
        <v>1015931.812666666</v>
      </c>
      <c r="J1053" s="6">
        <v>-1015931.812666666</v>
      </c>
    </row>
    <row r="1054" spans="1:10">
      <c r="A1054" t="s">
        <v>726</v>
      </c>
      <c r="B1054" s="5">
        <v>45809</v>
      </c>
      <c r="C1054" t="s">
        <v>156</v>
      </c>
      <c r="D1054" t="s">
        <v>157</v>
      </c>
      <c r="E1054" t="s">
        <v>121</v>
      </c>
      <c r="F1054" t="s">
        <v>154</v>
      </c>
      <c r="G1054" t="s">
        <v>204</v>
      </c>
      <c r="H1054" s="6">
        <v>123222.67505</v>
      </c>
      <c r="I1054" s="6">
        <v>0</v>
      </c>
      <c r="J1054" s="6">
        <v>123222.67505</v>
      </c>
    </row>
    <row r="1055" spans="1:10">
      <c r="A1055" t="s">
        <v>726</v>
      </c>
      <c r="B1055" s="5">
        <v>45809</v>
      </c>
      <c r="C1055" t="s">
        <v>173</v>
      </c>
      <c r="D1055" t="s">
        <v>174</v>
      </c>
      <c r="E1055" t="s">
        <v>120</v>
      </c>
      <c r="F1055" t="s">
        <v>154</v>
      </c>
      <c r="G1055" t="s">
        <v>204</v>
      </c>
      <c r="H1055" s="6">
        <v>0</v>
      </c>
      <c r="I1055" s="6">
        <v>123222.67505</v>
      </c>
      <c r="J1055" s="6">
        <v>-123222.67505</v>
      </c>
    </row>
    <row r="1056" spans="1:10">
      <c r="A1056" t="s">
        <v>727</v>
      </c>
      <c r="B1056" s="5">
        <v>45809</v>
      </c>
      <c r="C1056" t="s">
        <v>197</v>
      </c>
      <c r="D1056" t="s">
        <v>198</v>
      </c>
      <c r="E1056" t="s">
        <v>121</v>
      </c>
      <c r="F1056" t="s">
        <v>154</v>
      </c>
      <c r="G1056" t="s">
        <v>206</v>
      </c>
      <c r="H1056" s="6">
        <v>10447.21228300002</v>
      </c>
      <c r="I1056" s="6">
        <v>0</v>
      </c>
      <c r="J1056" s="6">
        <v>10447.21228300002</v>
      </c>
    </row>
    <row r="1057" spans="1:10">
      <c r="A1057" t="s">
        <v>727</v>
      </c>
      <c r="B1057" s="5">
        <v>45809</v>
      </c>
      <c r="C1057" t="s">
        <v>173</v>
      </c>
      <c r="D1057" t="s">
        <v>174</v>
      </c>
      <c r="E1057" t="s">
        <v>120</v>
      </c>
      <c r="F1057" t="s">
        <v>154</v>
      </c>
      <c r="G1057" t="s">
        <v>206</v>
      </c>
      <c r="H1057" s="6">
        <v>0</v>
      </c>
      <c r="I1057" s="6">
        <v>10447.21228300002</v>
      </c>
      <c r="J1057" s="6">
        <v>-10447.21228300002</v>
      </c>
    </row>
    <row r="1058" spans="1:10">
      <c r="A1058" t="s">
        <v>728</v>
      </c>
      <c r="B1058" s="5">
        <v>45809</v>
      </c>
      <c r="C1058" t="s">
        <v>208</v>
      </c>
      <c r="D1058" t="s">
        <v>209</v>
      </c>
      <c r="E1058" t="s">
        <v>120</v>
      </c>
      <c r="F1058" t="s">
        <v>154</v>
      </c>
      <c r="G1058" t="s">
        <v>210</v>
      </c>
      <c r="H1058" s="6">
        <v>90000</v>
      </c>
      <c r="I1058" s="6">
        <v>0</v>
      </c>
      <c r="J1058" s="6">
        <v>90000</v>
      </c>
    </row>
    <row r="1059" spans="1:10">
      <c r="A1059" t="s">
        <v>728</v>
      </c>
      <c r="B1059" s="5">
        <v>45809</v>
      </c>
      <c r="C1059" t="s">
        <v>173</v>
      </c>
      <c r="D1059" t="s">
        <v>174</v>
      </c>
      <c r="E1059" t="s">
        <v>120</v>
      </c>
      <c r="F1059" t="s">
        <v>154</v>
      </c>
      <c r="G1059" t="s">
        <v>210</v>
      </c>
      <c r="H1059" s="6">
        <v>0</v>
      </c>
      <c r="I1059" s="6">
        <v>90000</v>
      </c>
      <c r="J1059" s="6">
        <v>-90000</v>
      </c>
    </row>
    <row r="1060" spans="1:10">
      <c r="A1060" t="s">
        <v>729</v>
      </c>
      <c r="B1060" s="5">
        <v>45809</v>
      </c>
      <c r="C1060" t="s">
        <v>212</v>
      </c>
      <c r="D1060" t="s">
        <v>213</v>
      </c>
      <c r="E1060" t="s">
        <v>121</v>
      </c>
      <c r="F1060" t="s">
        <v>154</v>
      </c>
      <c r="G1060" t="s">
        <v>214</v>
      </c>
      <c r="H1060" s="6">
        <v>18000</v>
      </c>
      <c r="I1060" s="6">
        <v>0</v>
      </c>
      <c r="J1060" s="6">
        <v>18000</v>
      </c>
    </row>
    <row r="1061" spans="1:10">
      <c r="A1061" t="s">
        <v>729</v>
      </c>
      <c r="B1061" s="5">
        <v>45809</v>
      </c>
      <c r="C1061" t="s">
        <v>173</v>
      </c>
      <c r="D1061" t="s">
        <v>174</v>
      </c>
      <c r="E1061" t="s">
        <v>120</v>
      </c>
      <c r="F1061" t="s">
        <v>154</v>
      </c>
      <c r="G1061" t="s">
        <v>214</v>
      </c>
      <c r="H1061" s="6">
        <v>0</v>
      </c>
      <c r="I1061" s="6">
        <v>18000</v>
      </c>
      <c r="J1061" s="6">
        <v>-18000</v>
      </c>
    </row>
    <row r="1062" spans="1:10">
      <c r="A1062" t="s">
        <v>730</v>
      </c>
      <c r="B1062" s="5">
        <v>45809</v>
      </c>
      <c r="C1062" t="s">
        <v>148</v>
      </c>
      <c r="D1062" t="s">
        <v>149</v>
      </c>
      <c r="E1062" t="s">
        <v>150</v>
      </c>
      <c r="F1062" t="s">
        <v>154</v>
      </c>
      <c r="G1062" t="s">
        <v>216</v>
      </c>
      <c r="H1062" s="6">
        <v>1471160.97</v>
      </c>
      <c r="I1062" s="6">
        <v>0</v>
      </c>
      <c r="J1062" s="6">
        <v>1471160.97</v>
      </c>
    </row>
    <row r="1063" spans="1:10">
      <c r="A1063" t="s">
        <v>730</v>
      </c>
      <c r="B1063" s="5">
        <v>45809</v>
      </c>
      <c r="C1063" t="s">
        <v>217</v>
      </c>
      <c r="D1063" t="s">
        <v>218</v>
      </c>
      <c r="E1063" t="s">
        <v>122</v>
      </c>
      <c r="F1063" t="s">
        <v>154</v>
      </c>
      <c r="G1063" t="s">
        <v>216</v>
      </c>
      <c r="H1063" s="6">
        <v>0</v>
      </c>
      <c r="I1063" s="6">
        <v>1471160.97</v>
      </c>
      <c r="J1063" s="6">
        <v>-1471160.97</v>
      </c>
    </row>
    <row r="1064" spans="1:10">
      <c r="A1064" t="s">
        <v>731</v>
      </c>
      <c r="B1064" s="5">
        <v>45809</v>
      </c>
      <c r="C1064" t="s">
        <v>217</v>
      </c>
      <c r="D1064" t="s">
        <v>218</v>
      </c>
      <c r="E1064" t="s">
        <v>122</v>
      </c>
      <c r="F1064" t="s">
        <v>154</v>
      </c>
      <c r="G1064" t="s">
        <v>216</v>
      </c>
      <c r="H1064" s="6">
        <v>125048.68245</v>
      </c>
      <c r="I1064" s="6">
        <v>0</v>
      </c>
      <c r="J1064" s="6">
        <v>125048.68245</v>
      </c>
    </row>
    <row r="1065" spans="1:10">
      <c r="A1065" t="s">
        <v>731</v>
      </c>
      <c r="B1065" s="5">
        <v>45809</v>
      </c>
      <c r="C1065" t="s">
        <v>152</v>
      </c>
      <c r="D1065" t="s">
        <v>153</v>
      </c>
      <c r="E1065" t="s">
        <v>150</v>
      </c>
      <c r="F1065" t="s">
        <v>154</v>
      </c>
      <c r="G1065" t="s">
        <v>216</v>
      </c>
      <c r="H1065" s="6">
        <v>0</v>
      </c>
      <c r="I1065" s="6">
        <v>125048.68245</v>
      </c>
      <c r="J1065" s="6">
        <v>-125048.68245</v>
      </c>
    </row>
    <row r="1066" spans="1:10">
      <c r="A1066" t="s">
        <v>732</v>
      </c>
      <c r="B1066" s="5">
        <v>45809</v>
      </c>
      <c r="C1066" t="s">
        <v>217</v>
      </c>
      <c r="D1066" t="s">
        <v>218</v>
      </c>
      <c r="E1066" t="s">
        <v>122</v>
      </c>
      <c r="F1066" t="s">
        <v>154</v>
      </c>
      <c r="G1066" t="s">
        <v>216</v>
      </c>
      <c r="H1066" s="6">
        <v>1007209.94</v>
      </c>
      <c r="I1066" s="6">
        <v>0</v>
      </c>
      <c r="J1066" s="6">
        <v>1007209.94</v>
      </c>
    </row>
    <row r="1067" spans="1:10">
      <c r="A1067" t="s">
        <v>732</v>
      </c>
      <c r="B1067" s="5">
        <v>45809</v>
      </c>
      <c r="C1067" t="s">
        <v>164</v>
      </c>
      <c r="D1067" t="s">
        <v>36</v>
      </c>
      <c r="E1067" t="s">
        <v>150</v>
      </c>
      <c r="F1067" t="s">
        <v>154</v>
      </c>
      <c r="G1067" t="s">
        <v>216</v>
      </c>
      <c r="H1067" s="6">
        <v>0</v>
      </c>
      <c r="I1067" s="6">
        <v>1007209.94</v>
      </c>
      <c r="J1067" s="6">
        <v>-1007209.94</v>
      </c>
    </row>
    <row r="1068" spans="1:10">
      <c r="A1068" t="s">
        <v>733</v>
      </c>
      <c r="B1068" s="5">
        <v>45809</v>
      </c>
      <c r="C1068" t="s">
        <v>217</v>
      </c>
      <c r="D1068" t="s">
        <v>218</v>
      </c>
      <c r="E1068" t="s">
        <v>122</v>
      </c>
      <c r="F1068" t="s">
        <v>154</v>
      </c>
      <c r="G1068" t="s">
        <v>216</v>
      </c>
      <c r="H1068" s="6">
        <v>105925</v>
      </c>
      <c r="I1068" s="6">
        <v>0</v>
      </c>
      <c r="J1068" s="6">
        <v>105925</v>
      </c>
    </row>
    <row r="1069" spans="1:10">
      <c r="A1069" t="s">
        <v>733</v>
      </c>
      <c r="B1069" s="5">
        <v>45809</v>
      </c>
      <c r="C1069" t="s">
        <v>167</v>
      </c>
      <c r="D1069" t="s">
        <v>51</v>
      </c>
      <c r="E1069" t="s">
        <v>150</v>
      </c>
      <c r="F1069" t="s">
        <v>154</v>
      </c>
      <c r="G1069" t="s">
        <v>216</v>
      </c>
      <c r="H1069" s="6">
        <v>0</v>
      </c>
      <c r="I1069" s="6">
        <v>105925</v>
      </c>
      <c r="J1069" s="6">
        <v>-105925</v>
      </c>
    </row>
    <row r="1070" spans="1:10">
      <c r="A1070" t="s">
        <v>734</v>
      </c>
      <c r="B1070" s="5">
        <v>45809</v>
      </c>
      <c r="C1070" t="s">
        <v>217</v>
      </c>
      <c r="D1070" t="s">
        <v>218</v>
      </c>
      <c r="E1070" t="s">
        <v>122</v>
      </c>
      <c r="F1070" t="s">
        <v>154</v>
      </c>
      <c r="G1070" t="s">
        <v>216</v>
      </c>
      <c r="H1070" s="6">
        <v>52961.79</v>
      </c>
      <c r="I1070" s="6">
        <v>0</v>
      </c>
      <c r="J1070" s="6">
        <v>52961.79</v>
      </c>
    </row>
    <row r="1071" spans="1:10">
      <c r="A1071" t="s">
        <v>734</v>
      </c>
      <c r="B1071" s="5">
        <v>45809</v>
      </c>
      <c r="C1071" t="s">
        <v>176</v>
      </c>
      <c r="D1071" t="s">
        <v>52</v>
      </c>
      <c r="E1071" t="s">
        <v>150</v>
      </c>
      <c r="F1071" t="s">
        <v>154</v>
      </c>
      <c r="G1071" t="s">
        <v>216</v>
      </c>
      <c r="H1071" s="6">
        <v>0</v>
      </c>
      <c r="I1071" s="6">
        <v>52961.79</v>
      </c>
      <c r="J1071" s="6">
        <v>-52961.79</v>
      </c>
    </row>
    <row r="1072" spans="1:10">
      <c r="A1072" t="s">
        <v>735</v>
      </c>
      <c r="B1072" s="5">
        <v>45809</v>
      </c>
      <c r="C1072" t="s">
        <v>217</v>
      </c>
      <c r="D1072" t="s">
        <v>218</v>
      </c>
      <c r="E1072" t="s">
        <v>122</v>
      </c>
      <c r="F1072" t="s">
        <v>154</v>
      </c>
      <c r="G1072" t="s">
        <v>216</v>
      </c>
      <c r="H1072" s="6">
        <v>33920</v>
      </c>
      <c r="I1072" s="6">
        <v>0</v>
      </c>
      <c r="J1072" s="6">
        <v>33920</v>
      </c>
    </row>
    <row r="1073" spans="1:10">
      <c r="A1073" t="s">
        <v>735</v>
      </c>
      <c r="B1073" s="5">
        <v>45809</v>
      </c>
      <c r="C1073" t="s">
        <v>179</v>
      </c>
      <c r="D1073" t="s">
        <v>54</v>
      </c>
      <c r="E1073" t="s">
        <v>150</v>
      </c>
      <c r="F1073" t="s">
        <v>154</v>
      </c>
      <c r="G1073" t="s">
        <v>216</v>
      </c>
      <c r="H1073" s="6">
        <v>0</v>
      </c>
      <c r="I1073" s="6">
        <v>33920</v>
      </c>
      <c r="J1073" s="6">
        <v>-33920</v>
      </c>
    </row>
    <row r="1074" spans="1:10">
      <c r="A1074" t="s">
        <v>736</v>
      </c>
      <c r="B1074" s="5">
        <v>45809</v>
      </c>
      <c r="C1074" t="s">
        <v>217</v>
      </c>
      <c r="D1074" t="s">
        <v>218</v>
      </c>
      <c r="E1074" t="s">
        <v>122</v>
      </c>
      <c r="F1074" t="s">
        <v>154</v>
      </c>
      <c r="G1074" t="s">
        <v>216</v>
      </c>
      <c r="H1074" s="6">
        <v>20160</v>
      </c>
      <c r="I1074" s="6">
        <v>0</v>
      </c>
      <c r="J1074" s="6">
        <v>20160</v>
      </c>
    </row>
    <row r="1075" spans="1:10">
      <c r="A1075" t="s">
        <v>736</v>
      </c>
      <c r="B1075" s="5">
        <v>45809</v>
      </c>
      <c r="C1075" t="s">
        <v>181</v>
      </c>
      <c r="D1075" t="s">
        <v>56</v>
      </c>
      <c r="E1075" t="s">
        <v>150</v>
      </c>
      <c r="F1075" t="s">
        <v>154</v>
      </c>
      <c r="G1075" t="s">
        <v>216</v>
      </c>
      <c r="H1075" s="6">
        <v>0</v>
      </c>
      <c r="I1075" s="6">
        <v>20160</v>
      </c>
      <c r="J1075" s="6">
        <v>-20160</v>
      </c>
    </row>
    <row r="1076" spans="1:10">
      <c r="A1076" t="s">
        <v>737</v>
      </c>
      <c r="B1076" s="5">
        <v>45809</v>
      </c>
      <c r="C1076" t="s">
        <v>217</v>
      </c>
      <c r="D1076" t="s">
        <v>218</v>
      </c>
      <c r="E1076" t="s">
        <v>122</v>
      </c>
      <c r="F1076" t="s">
        <v>154</v>
      </c>
      <c r="G1076" t="s">
        <v>216</v>
      </c>
      <c r="H1076" s="6">
        <v>32365.54</v>
      </c>
      <c r="I1076" s="6">
        <v>0</v>
      </c>
      <c r="J1076" s="6">
        <v>32365.54</v>
      </c>
    </row>
    <row r="1077" spans="1:10">
      <c r="A1077" t="s">
        <v>737</v>
      </c>
      <c r="B1077" s="5">
        <v>45809</v>
      </c>
      <c r="C1077" t="s">
        <v>183</v>
      </c>
      <c r="D1077" t="s">
        <v>59</v>
      </c>
      <c r="E1077" t="s">
        <v>150</v>
      </c>
      <c r="F1077" t="s">
        <v>154</v>
      </c>
      <c r="G1077" t="s">
        <v>216</v>
      </c>
      <c r="H1077" s="6">
        <v>0</v>
      </c>
      <c r="I1077" s="6">
        <v>32365.54</v>
      </c>
      <c r="J1077" s="6">
        <v>-32365.54</v>
      </c>
    </row>
    <row r="1078" spans="1:10">
      <c r="A1078" t="s">
        <v>738</v>
      </c>
      <c r="B1078" s="5">
        <v>45809</v>
      </c>
      <c r="C1078" t="s">
        <v>217</v>
      </c>
      <c r="D1078" t="s">
        <v>218</v>
      </c>
      <c r="E1078" t="s">
        <v>122</v>
      </c>
      <c r="F1078" t="s">
        <v>154</v>
      </c>
      <c r="G1078" t="s">
        <v>216</v>
      </c>
      <c r="H1078" s="6">
        <v>21660</v>
      </c>
      <c r="I1078" s="6">
        <v>0</v>
      </c>
      <c r="J1078" s="6">
        <v>21660</v>
      </c>
    </row>
    <row r="1079" spans="1:10">
      <c r="A1079" t="s">
        <v>738</v>
      </c>
      <c r="B1079" s="5">
        <v>45809</v>
      </c>
      <c r="C1079" t="s">
        <v>185</v>
      </c>
      <c r="D1079" t="s">
        <v>186</v>
      </c>
      <c r="E1079" t="s">
        <v>150</v>
      </c>
      <c r="F1079" t="s">
        <v>154</v>
      </c>
      <c r="G1079" t="s">
        <v>216</v>
      </c>
      <c r="H1079" s="6">
        <v>0</v>
      </c>
      <c r="I1079" s="6">
        <v>21660</v>
      </c>
      <c r="J1079" s="6">
        <v>-21660</v>
      </c>
    </row>
    <row r="1080" spans="1:10">
      <c r="A1080" t="s">
        <v>739</v>
      </c>
      <c r="B1080" s="5">
        <v>45809</v>
      </c>
      <c r="C1080" t="s">
        <v>217</v>
      </c>
      <c r="D1080" t="s">
        <v>218</v>
      </c>
      <c r="E1080" t="s">
        <v>122</v>
      </c>
      <c r="F1080" t="s">
        <v>154</v>
      </c>
      <c r="G1080" t="s">
        <v>216</v>
      </c>
      <c r="H1080" s="6">
        <v>10128</v>
      </c>
      <c r="I1080" s="6">
        <v>0</v>
      </c>
      <c r="J1080" s="6">
        <v>10128</v>
      </c>
    </row>
    <row r="1081" spans="1:10">
      <c r="A1081" t="s">
        <v>739</v>
      </c>
      <c r="B1081" s="5">
        <v>45809</v>
      </c>
      <c r="C1081" t="s">
        <v>191</v>
      </c>
      <c r="D1081" t="s">
        <v>104</v>
      </c>
      <c r="E1081" t="s">
        <v>150</v>
      </c>
      <c r="F1081" t="s">
        <v>154</v>
      </c>
      <c r="G1081" t="s">
        <v>216</v>
      </c>
      <c r="H1081" s="6">
        <v>0</v>
      </c>
      <c r="I1081" s="6">
        <v>10128</v>
      </c>
      <c r="J1081" s="6">
        <v>-10128</v>
      </c>
    </row>
    <row r="1082" spans="1:10">
      <c r="A1082" t="s">
        <v>740</v>
      </c>
      <c r="B1082" s="5">
        <v>45809</v>
      </c>
      <c r="C1082" t="s">
        <v>217</v>
      </c>
      <c r="D1082" t="s">
        <v>218</v>
      </c>
      <c r="E1082" t="s">
        <v>122</v>
      </c>
      <c r="F1082" t="s">
        <v>154</v>
      </c>
      <c r="G1082" t="s">
        <v>216</v>
      </c>
      <c r="H1082" s="6">
        <v>21005.88596700002</v>
      </c>
      <c r="I1082" s="6">
        <v>0</v>
      </c>
      <c r="J1082" s="6">
        <v>21005.88596700002</v>
      </c>
    </row>
    <row r="1083" spans="1:10">
      <c r="A1083" t="s">
        <v>740</v>
      </c>
      <c r="B1083" s="5">
        <v>45809</v>
      </c>
      <c r="C1083" t="s">
        <v>194</v>
      </c>
      <c r="D1083" t="s">
        <v>195</v>
      </c>
      <c r="E1083" t="s">
        <v>150</v>
      </c>
      <c r="F1083" t="s">
        <v>154</v>
      </c>
      <c r="G1083" t="s">
        <v>216</v>
      </c>
      <c r="H1083" s="6">
        <v>0</v>
      </c>
      <c r="I1083" s="6">
        <v>21005.88596700002</v>
      </c>
      <c r="J1083" s="6">
        <v>-21005.88596700002</v>
      </c>
    </row>
    <row r="1084" spans="1:10">
      <c r="A1084" t="s">
        <v>741</v>
      </c>
      <c r="B1084" s="5">
        <v>45839</v>
      </c>
      <c r="C1084" t="s">
        <v>146</v>
      </c>
      <c r="D1084" t="s">
        <v>86</v>
      </c>
      <c r="E1084" t="s">
        <v>120</v>
      </c>
      <c r="F1084" t="s">
        <v>52</v>
      </c>
      <c r="G1084" t="s">
        <v>147</v>
      </c>
      <c r="H1084" s="6">
        <v>1207312.48</v>
      </c>
      <c r="I1084" s="6">
        <v>0</v>
      </c>
      <c r="J1084" s="6">
        <v>1207312.48</v>
      </c>
    </row>
    <row r="1085" spans="1:10">
      <c r="A1085" t="s">
        <v>741</v>
      </c>
      <c r="B1085" s="5">
        <v>45839</v>
      </c>
      <c r="C1085" t="s">
        <v>148</v>
      </c>
      <c r="D1085" t="s">
        <v>149</v>
      </c>
      <c r="E1085" t="s">
        <v>150</v>
      </c>
      <c r="F1085" t="s">
        <v>52</v>
      </c>
      <c r="G1085" t="s">
        <v>147</v>
      </c>
      <c r="H1085" s="6">
        <v>0</v>
      </c>
      <c r="I1085" s="6">
        <v>1207312.48</v>
      </c>
      <c r="J1085" s="6">
        <v>-1207312.48</v>
      </c>
    </row>
    <row r="1086" spans="1:10">
      <c r="A1086" t="s">
        <v>742</v>
      </c>
      <c r="B1086" s="5">
        <v>45839</v>
      </c>
      <c r="C1086" t="s">
        <v>152</v>
      </c>
      <c r="D1086" t="s">
        <v>153</v>
      </c>
      <c r="E1086" t="s">
        <v>150</v>
      </c>
      <c r="F1086" t="s">
        <v>154</v>
      </c>
      <c r="G1086" t="s">
        <v>155</v>
      </c>
      <c r="H1086" s="6">
        <v>102621.5608</v>
      </c>
      <c r="I1086" s="6">
        <v>0</v>
      </c>
      <c r="J1086" s="6">
        <v>102621.5608</v>
      </c>
    </row>
    <row r="1087" spans="1:10">
      <c r="A1087" t="s">
        <v>742</v>
      </c>
      <c r="B1087" s="5">
        <v>45839</v>
      </c>
      <c r="C1087" t="s">
        <v>156</v>
      </c>
      <c r="D1087" t="s">
        <v>157</v>
      </c>
      <c r="E1087" t="s">
        <v>121</v>
      </c>
      <c r="F1087" t="s">
        <v>154</v>
      </c>
      <c r="G1087" t="s">
        <v>155</v>
      </c>
      <c r="H1087" s="6">
        <v>0</v>
      </c>
      <c r="I1087" s="6">
        <v>102621.5608</v>
      </c>
      <c r="J1087" s="6">
        <v>-102621.5608</v>
      </c>
    </row>
    <row r="1088" spans="1:10">
      <c r="A1088" t="s">
        <v>743</v>
      </c>
      <c r="B1088" s="5">
        <v>45839</v>
      </c>
      <c r="C1088" t="s">
        <v>159</v>
      </c>
      <c r="D1088" t="s">
        <v>160</v>
      </c>
      <c r="E1088" t="s">
        <v>120</v>
      </c>
      <c r="F1088" t="s">
        <v>58</v>
      </c>
      <c r="G1088" t="s">
        <v>161</v>
      </c>
      <c r="H1088" s="6">
        <v>769095.7893333335</v>
      </c>
      <c r="I1088" s="6">
        <v>0</v>
      </c>
      <c r="J1088" s="6">
        <v>769095.7893333335</v>
      </c>
    </row>
    <row r="1089" spans="1:10">
      <c r="A1089" t="s">
        <v>743</v>
      </c>
      <c r="B1089" s="5">
        <v>45839</v>
      </c>
      <c r="C1089" t="s">
        <v>162</v>
      </c>
      <c r="D1089" t="s">
        <v>88</v>
      </c>
      <c r="E1089" t="s">
        <v>121</v>
      </c>
      <c r="F1089" t="s">
        <v>58</v>
      </c>
      <c r="G1089" t="s">
        <v>161</v>
      </c>
      <c r="H1089" s="6">
        <v>0</v>
      </c>
      <c r="I1089" s="6">
        <v>769095.7893333335</v>
      </c>
      <c r="J1089" s="6">
        <v>-769095.7893333335</v>
      </c>
    </row>
    <row r="1090" spans="1:10">
      <c r="A1090" t="s">
        <v>744</v>
      </c>
      <c r="B1090" s="5">
        <v>45839</v>
      </c>
      <c r="C1090" t="s">
        <v>164</v>
      </c>
      <c r="D1090" t="s">
        <v>36</v>
      </c>
      <c r="E1090" t="s">
        <v>150</v>
      </c>
      <c r="F1090" t="s">
        <v>58</v>
      </c>
      <c r="G1090" t="s">
        <v>165</v>
      </c>
      <c r="H1090" s="6">
        <v>820084.6800000001</v>
      </c>
      <c r="I1090" s="6">
        <v>0</v>
      </c>
      <c r="J1090" s="6">
        <v>820084.6800000001</v>
      </c>
    </row>
    <row r="1091" spans="1:10">
      <c r="A1091" t="s">
        <v>744</v>
      </c>
      <c r="B1091" s="5">
        <v>45839</v>
      </c>
      <c r="C1091" t="s">
        <v>159</v>
      </c>
      <c r="D1091" t="s">
        <v>160</v>
      </c>
      <c r="E1091" t="s">
        <v>120</v>
      </c>
      <c r="F1091" t="s">
        <v>58</v>
      </c>
      <c r="G1091" t="s">
        <v>165</v>
      </c>
      <c r="H1091" s="6">
        <v>0</v>
      </c>
      <c r="I1091" s="6">
        <v>820084.6800000001</v>
      </c>
      <c r="J1091" s="6">
        <v>-820084.6800000001</v>
      </c>
    </row>
    <row r="1092" spans="1:10">
      <c r="A1092" t="s">
        <v>745</v>
      </c>
      <c r="B1092" s="5">
        <v>45839</v>
      </c>
      <c r="C1092" t="s">
        <v>167</v>
      </c>
      <c r="D1092" t="s">
        <v>51</v>
      </c>
      <c r="E1092" t="s">
        <v>150</v>
      </c>
      <c r="F1092" t="s">
        <v>51</v>
      </c>
      <c r="G1092" t="s">
        <v>168</v>
      </c>
      <c r="H1092" s="6">
        <v>110162</v>
      </c>
      <c r="I1092" s="6">
        <v>0</v>
      </c>
      <c r="J1092" s="6">
        <v>110162</v>
      </c>
    </row>
    <row r="1093" spans="1:10">
      <c r="A1093" t="s">
        <v>745</v>
      </c>
      <c r="B1093" s="5">
        <v>45839</v>
      </c>
      <c r="C1093" t="s">
        <v>169</v>
      </c>
      <c r="D1093" t="s">
        <v>170</v>
      </c>
      <c r="E1093" t="s">
        <v>121</v>
      </c>
      <c r="F1093" t="s">
        <v>51</v>
      </c>
      <c r="G1093" t="s">
        <v>168</v>
      </c>
      <c r="H1093" s="6">
        <v>0</v>
      </c>
      <c r="I1093" s="6">
        <v>110162</v>
      </c>
      <c r="J1093" s="6">
        <v>-110162</v>
      </c>
    </row>
    <row r="1094" spans="1:10">
      <c r="A1094" t="s">
        <v>746</v>
      </c>
      <c r="B1094" s="5">
        <v>45839</v>
      </c>
      <c r="C1094" t="s">
        <v>169</v>
      </c>
      <c r="D1094" t="s">
        <v>170</v>
      </c>
      <c r="E1094" t="s">
        <v>121</v>
      </c>
      <c r="F1094" t="s">
        <v>51</v>
      </c>
      <c r="G1094" t="s">
        <v>172</v>
      </c>
      <c r="H1094" s="6">
        <v>109314.6</v>
      </c>
      <c r="I1094" s="6">
        <v>0</v>
      </c>
      <c r="J1094" s="6">
        <v>109314.6</v>
      </c>
    </row>
    <row r="1095" spans="1:10">
      <c r="A1095" t="s">
        <v>746</v>
      </c>
      <c r="B1095" s="5">
        <v>45839</v>
      </c>
      <c r="C1095" t="s">
        <v>173</v>
      </c>
      <c r="D1095" t="s">
        <v>174</v>
      </c>
      <c r="E1095" t="s">
        <v>120</v>
      </c>
      <c r="F1095" t="s">
        <v>51</v>
      </c>
      <c r="G1095" t="s">
        <v>172</v>
      </c>
      <c r="H1095" s="6">
        <v>0</v>
      </c>
      <c r="I1095" s="6">
        <v>109314.6</v>
      </c>
      <c r="J1095" s="6">
        <v>-109314.6</v>
      </c>
    </row>
    <row r="1096" spans="1:10">
      <c r="A1096" t="s">
        <v>747</v>
      </c>
      <c r="B1096" s="5">
        <v>45839</v>
      </c>
      <c r="C1096" t="s">
        <v>176</v>
      </c>
      <c r="D1096" t="s">
        <v>52</v>
      </c>
      <c r="E1096" t="s">
        <v>150</v>
      </c>
      <c r="F1096" t="s">
        <v>52</v>
      </c>
      <c r="G1096" t="s">
        <v>177</v>
      </c>
      <c r="H1096" s="6">
        <v>43463.25</v>
      </c>
      <c r="I1096" s="6">
        <v>0</v>
      </c>
      <c r="J1096" s="6">
        <v>43463.25</v>
      </c>
    </row>
    <row r="1097" spans="1:10">
      <c r="A1097" t="s">
        <v>747</v>
      </c>
      <c r="B1097" s="5">
        <v>45839</v>
      </c>
      <c r="C1097" t="s">
        <v>173</v>
      </c>
      <c r="D1097" t="s">
        <v>174</v>
      </c>
      <c r="E1097" t="s">
        <v>120</v>
      </c>
      <c r="F1097" t="s">
        <v>52</v>
      </c>
      <c r="G1097" t="s">
        <v>177</v>
      </c>
      <c r="H1097" s="6">
        <v>0</v>
      </c>
      <c r="I1097" s="6">
        <v>43463.25</v>
      </c>
      <c r="J1097" s="6">
        <v>-43463.25</v>
      </c>
    </row>
    <row r="1098" spans="1:10">
      <c r="A1098" t="s">
        <v>748</v>
      </c>
      <c r="B1098" s="5">
        <v>45839</v>
      </c>
      <c r="C1098" t="s">
        <v>179</v>
      </c>
      <c r="D1098" t="s">
        <v>54</v>
      </c>
      <c r="E1098" t="s">
        <v>150</v>
      </c>
      <c r="F1098" t="s">
        <v>54</v>
      </c>
      <c r="G1098" t="s">
        <v>177</v>
      </c>
      <c r="H1098" s="6">
        <v>33920</v>
      </c>
      <c r="I1098" s="6">
        <v>0</v>
      </c>
      <c r="J1098" s="6">
        <v>33920</v>
      </c>
    </row>
    <row r="1099" spans="1:10">
      <c r="A1099" t="s">
        <v>748</v>
      </c>
      <c r="B1099" s="5">
        <v>45839</v>
      </c>
      <c r="C1099" t="s">
        <v>173</v>
      </c>
      <c r="D1099" t="s">
        <v>174</v>
      </c>
      <c r="E1099" t="s">
        <v>120</v>
      </c>
      <c r="F1099" t="s">
        <v>54</v>
      </c>
      <c r="G1099" t="s">
        <v>177</v>
      </c>
      <c r="H1099" s="6">
        <v>0</v>
      </c>
      <c r="I1099" s="6">
        <v>33920</v>
      </c>
      <c r="J1099" s="6">
        <v>-33920</v>
      </c>
    </row>
    <row r="1100" spans="1:10">
      <c r="A1100" t="s">
        <v>749</v>
      </c>
      <c r="B1100" s="5">
        <v>45839</v>
      </c>
      <c r="C1100" t="s">
        <v>181</v>
      </c>
      <c r="D1100" t="s">
        <v>56</v>
      </c>
      <c r="E1100" t="s">
        <v>150</v>
      </c>
      <c r="F1100" t="s">
        <v>56</v>
      </c>
      <c r="G1100" t="s">
        <v>177</v>
      </c>
      <c r="H1100" s="6">
        <v>20160</v>
      </c>
      <c r="I1100" s="6">
        <v>0</v>
      </c>
      <c r="J1100" s="6">
        <v>20160</v>
      </c>
    </row>
    <row r="1101" spans="1:10">
      <c r="A1101" t="s">
        <v>749</v>
      </c>
      <c r="B1101" s="5">
        <v>45839</v>
      </c>
      <c r="C1101" t="s">
        <v>173</v>
      </c>
      <c r="D1101" t="s">
        <v>174</v>
      </c>
      <c r="E1101" t="s">
        <v>120</v>
      </c>
      <c r="F1101" t="s">
        <v>56</v>
      </c>
      <c r="G1101" t="s">
        <v>177</v>
      </c>
      <c r="H1101" s="6">
        <v>0</v>
      </c>
      <c r="I1101" s="6">
        <v>20160</v>
      </c>
      <c r="J1101" s="6">
        <v>-20160</v>
      </c>
    </row>
    <row r="1102" spans="1:10">
      <c r="A1102" t="s">
        <v>750</v>
      </c>
      <c r="B1102" s="5">
        <v>45839</v>
      </c>
      <c r="C1102" t="s">
        <v>183</v>
      </c>
      <c r="D1102" t="s">
        <v>59</v>
      </c>
      <c r="E1102" t="s">
        <v>150</v>
      </c>
      <c r="F1102" t="s">
        <v>66</v>
      </c>
      <c r="G1102" t="s">
        <v>177</v>
      </c>
      <c r="H1102" s="6">
        <v>26560.87</v>
      </c>
      <c r="I1102" s="6">
        <v>0</v>
      </c>
      <c r="J1102" s="6">
        <v>26560.87</v>
      </c>
    </row>
    <row r="1103" spans="1:10">
      <c r="A1103" t="s">
        <v>750</v>
      </c>
      <c r="B1103" s="5">
        <v>45839</v>
      </c>
      <c r="C1103" t="s">
        <v>173</v>
      </c>
      <c r="D1103" t="s">
        <v>174</v>
      </c>
      <c r="E1103" t="s">
        <v>120</v>
      </c>
      <c r="F1103" t="s">
        <v>66</v>
      </c>
      <c r="G1103" t="s">
        <v>177</v>
      </c>
      <c r="H1103" s="6">
        <v>0</v>
      </c>
      <c r="I1103" s="6">
        <v>26560.87</v>
      </c>
      <c r="J1103" s="6">
        <v>-26560.87</v>
      </c>
    </row>
    <row r="1104" spans="1:10">
      <c r="A1104" t="s">
        <v>751</v>
      </c>
      <c r="B1104" s="5">
        <v>45839</v>
      </c>
      <c r="C1104" t="s">
        <v>185</v>
      </c>
      <c r="D1104" t="s">
        <v>186</v>
      </c>
      <c r="E1104" t="s">
        <v>150</v>
      </c>
      <c r="F1104" t="s">
        <v>154</v>
      </c>
      <c r="G1104" t="s">
        <v>187</v>
      </c>
      <c r="H1104" s="6">
        <v>22560</v>
      </c>
      <c r="I1104" s="6">
        <v>0</v>
      </c>
      <c r="J1104" s="6">
        <v>22560</v>
      </c>
    </row>
    <row r="1105" spans="1:10">
      <c r="A1105" t="s">
        <v>751</v>
      </c>
      <c r="B1105" s="5">
        <v>45839</v>
      </c>
      <c r="C1105" t="s">
        <v>188</v>
      </c>
      <c r="D1105" t="s">
        <v>189</v>
      </c>
      <c r="E1105" t="s">
        <v>120</v>
      </c>
      <c r="F1105" t="s">
        <v>154</v>
      </c>
      <c r="G1105" t="s">
        <v>187</v>
      </c>
      <c r="H1105" s="6">
        <v>0</v>
      </c>
      <c r="I1105" s="6">
        <v>22560</v>
      </c>
      <c r="J1105" s="6">
        <v>-22560</v>
      </c>
    </row>
    <row r="1106" spans="1:10">
      <c r="A1106" t="s">
        <v>752</v>
      </c>
      <c r="B1106" s="5">
        <v>45839</v>
      </c>
      <c r="C1106" t="s">
        <v>191</v>
      </c>
      <c r="D1106" t="s">
        <v>104</v>
      </c>
      <c r="E1106" t="s">
        <v>150</v>
      </c>
      <c r="F1106" t="s">
        <v>154</v>
      </c>
      <c r="G1106" t="s">
        <v>192</v>
      </c>
      <c r="H1106" s="6">
        <v>9912</v>
      </c>
      <c r="I1106" s="6">
        <v>0</v>
      </c>
      <c r="J1106" s="6">
        <v>9912</v>
      </c>
    </row>
    <row r="1107" spans="1:10">
      <c r="A1107" t="s">
        <v>752</v>
      </c>
      <c r="B1107" s="5">
        <v>45839</v>
      </c>
      <c r="C1107" t="s">
        <v>173</v>
      </c>
      <c r="D1107" t="s">
        <v>174</v>
      </c>
      <c r="E1107" t="s">
        <v>120</v>
      </c>
      <c r="F1107" t="s">
        <v>154</v>
      </c>
      <c r="G1107" t="s">
        <v>192</v>
      </c>
      <c r="H1107" s="6">
        <v>0</v>
      </c>
      <c r="I1107" s="6">
        <v>9912</v>
      </c>
      <c r="J1107" s="6">
        <v>-9912</v>
      </c>
    </row>
    <row r="1108" spans="1:10">
      <c r="A1108" t="s">
        <v>753</v>
      </c>
      <c r="B1108" s="5">
        <v>45839</v>
      </c>
      <c r="C1108" t="s">
        <v>194</v>
      </c>
      <c r="D1108" t="s">
        <v>195</v>
      </c>
      <c r="E1108" t="s">
        <v>150</v>
      </c>
      <c r="F1108" t="s">
        <v>154</v>
      </c>
      <c r="G1108" t="s">
        <v>196</v>
      </c>
      <c r="H1108" s="6">
        <v>6075.160527999947</v>
      </c>
      <c r="I1108" s="6">
        <v>0</v>
      </c>
      <c r="J1108" s="6">
        <v>6075.160527999947</v>
      </c>
    </row>
    <row r="1109" spans="1:10">
      <c r="A1109" t="s">
        <v>753</v>
      </c>
      <c r="B1109" s="5">
        <v>45839</v>
      </c>
      <c r="C1109" t="s">
        <v>197</v>
      </c>
      <c r="D1109" t="s">
        <v>198</v>
      </c>
      <c r="E1109" t="s">
        <v>121</v>
      </c>
      <c r="F1109" t="s">
        <v>154</v>
      </c>
      <c r="G1109" t="s">
        <v>196</v>
      </c>
      <c r="H1109" s="6">
        <v>0</v>
      </c>
      <c r="I1109" s="6">
        <v>6075.160527999947</v>
      </c>
      <c r="J1109" s="6">
        <v>-6075.160527999947</v>
      </c>
    </row>
    <row r="1110" spans="1:10">
      <c r="A1110" t="s">
        <v>754</v>
      </c>
      <c r="B1110" s="5">
        <v>45839</v>
      </c>
      <c r="C1110" t="s">
        <v>173</v>
      </c>
      <c r="D1110" t="s">
        <v>174</v>
      </c>
      <c r="E1110" t="s">
        <v>120</v>
      </c>
      <c r="F1110" t="s">
        <v>154</v>
      </c>
      <c r="G1110" t="s">
        <v>200</v>
      </c>
      <c r="H1110" s="6">
        <v>1097506.373</v>
      </c>
      <c r="I1110" s="6">
        <v>0</v>
      </c>
      <c r="J1110" s="6">
        <v>1097506.373</v>
      </c>
    </row>
    <row r="1111" spans="1:10">
      <c r="A1111" t="s">
        <v>754</v>
      </c>
      <c r="B1111" s="5">
        <v>45839</v>
      </c>
      <c r="C1111" t="s">
        <v>146</v>
      </c>
      <c r="D1111" t="s">
        <v>86</v>
      </c>
      <c r="E1111" t="s">
        <v>120</v>
      </c>
      <c r="F1111" t="s">
        <v>154</v>
      </c>
      <c r="G1111" t="s">
        <v>200</v>
      </c>
      <c r="H1111" s="6">
        <v>0</v>
      </c>
      <c r="I1111" s="6">
        <v>1097506.373</v>
      </c>
      <c r="J1111" s="6">
        <v>-1097506.373</v>
      </c>
    </row>
    <row r="1112" spans="1:10">
      <c r="A1112" t="s">
        <v>755</v>
      </c>
      <c r="B1112" s="5">
        <v>45839</v>
      </c>
      <c r="C1112" t="s">
        <v>162</v>
      </c>
      <c r="D1112" t="s">
        <v>88</v>
      </c>
      <c r="E1112" t="s">
        <v>121</v>
      </c>
      <c r="F1112" t="s">
        <v>154</v>
      </c>
      <c r="G1112" t="s">
        <v>202</v>
      </c>
      <c r="H1112" s="6">
        <v>987408.5926666666</v>
      </c>
      <c r="I1112" s="6">
        <v>0</v>
      </c>
      <c r="J1112" s="6">
        <v>987408.5926666666</v>
      </c>
    </row>
    <row r="1113" spans="1:10">
      <c r="A1113" t="s">
        <v>755</v>
      </c>
      <c r="B1113" s="5">
        <v>45839</v>
      </c>
      <c r="C1113" t="s">
        <v>173</v>
      </c>
      <c r="D1113" t="s">
        <v>174</v>
      </c>
      <c r="E1113" t="s">
        <v>120</v>
      </c>
      <c r="F1113" t="s">
        <v>154</v>
      </c>
      <c r="G1113" t="s">
        <v>202</v>
      </c>
      <c r="H1113" s="6">
        <v>0</v>
      </c>
      <c r="I1113" s="6">
        <v>987408.5926666666</v>
      </c>
      <c r="J1113" s="6">
        <v>-987408.5926666666</v>
      </c>
    </row>
    <row r="1114" spans="1:10">
      <c r="A1114" t="s">
        <v>756</v>
      </c>
      <c r="B1114" s="5">
        <v>45839</v>
      </c>
      <c r="C1114" t="s">
        <v>156</v>
      </c>
      <c r="D1114" t="s">
        <v>157</v>
      </c>
      <c r="E1114" t="s">
        <v>121</v>
      </c>
      <c r="F1114" t="s">
        <v>154</v>
      </c>
      <c r="G1114" t="s">
        <v>204</v>
      </c>
      <c r="H1114" s="6">
        <v>125048.68245</v>
      </c>
      <c r="I1114" s="6">
        <v>0</v>
      </c>
      <c r="J1114" s="6">
        <v>125048.68245</v>
      </c>
    </row>
    <row r="1115" spans="1:10">
      <c r="A1115" t="s">
        <v>756</v>
      </c>
      <c r="B1115" s="5">
        <v>45839</v>
      </c>
      <c r="C1115" t="s">
        <v>173</v>
      </c>
      <c r="D1115" t="s">
        <v>174</v>
      </c>
      <c r="E1115" t="s">
        <v>120</v>
      </c>
      <c r="F1115" t="s">
        <v>154</v>
      </c>
      <c r="G1115" t="s">
        <v>204</v>
      </c>
      <c r="H1115" s="6">
        <v>0</v>
      </c>
      <c r="I1115" s="6">
        <v>125048.68245</v>
      </c>
      <c r="J1115" s="6">
        <v>-125048.68245</v>
      </c>
    </row>
    <row r="1116" spans="1:10">
      <c r="A1116" t="s">
        <v>757</v>
      </c>
      <c r="B1116" s="5">
        <v>45839</v>
      </c>
      <c r="C1116" t="s">
        <v>197</v>
      </c>
      <c r="D1116" t="s">
        <v>198</v>
      </c>
      <c r="E1116" t="s">
        <v>121</v>
      </c>
      <c r="F1116" t="s">
        <v>154</v>
      </c>
      <c r="G1116" t="s">
        <v>206</v>
      </c>
      <c r="H1116" s="6">
        <v>21005.88596700002</v>
      </c>
      <c r="I1116" s="6">
        <v>0</v>
      </c>
      <c r="J1116" s="6">
        <v>21005.88596700002</v>
      </c>
    </row>
    <row r="1117" spans="1:10">
      <c r="A1117" t="s">
        <v>757</v>
      </c>
      <c r="B1117" s="5">
        <v>45839</v>
      </c>
      <c r="C1117" t="s">
        <v>173</v>
      </c>
      <c r="D1117" t="s">
        <v>174</v>
      </c>
      <c r="E1117" t="s">
        <v>120</v>
      </c>
      <c r="F1117" t="s">
        <v>154</v>
      </c>
      <c r="G1117" t="s">
        <v>206</v>
      </c>
      <c r="H1117" s="6">
        <v>0</v>
      </c>
      <c r="I1117" s="6">
        <v>21005.88596700002</v>
      </c>
      <c r="J1117" s="6">
        <v>-21005.88596700002</v>
      </c>
    </row>
    <row r="1118" spans="1:10">
      <c r="A1118" t="s">
        <v>758</v>
      </c>
      <c r="B1118" s="5">
        <v>45839</v>
      </c>
      <c r="C1118" t="s">
        <v>208</v>
      </c>
      <c r="D1118" t="s">
        <v>209</v>
      </c>
      <c r="E1118" t="s">
        <v>120</v>
      </c>
      <c r="F1118" t="s">
        <v>154</v>
      </c>
      <c r="G1118" t="s">
        <v>210</v>
      </c>
      <c r="H1118" s="6">
        <v>18000</v>
      </c>
      <c r="I1118" s="6">
        <v>0</v>
      </c>
      <c r="J1118" s="6">
        <v>18000</v>
      </c>
    </row>
    <row r="1119" spans="1:10">
      <c r="A1119" t="s">
        <v>758</v>
      </c>
      <c r="B1119" s="5">
        <v>45839</v>
      </c>
      <c r="C1119" t="s">
        <v>173</v>
      </c>
      <c r="D1119" t="s">
        <v>174</v>
      </c>
      <c r="E1119" t="s">
        <v>120</v>
      </c>
      <c r="F1119" t="s">
        <v>154</v>
      </c>
      <c r="G1119" t="s">
        <v>210</v>
      </c>
      <c r="H1119" s="6">
        <v>0</v>
      </c>
      <c r="I1119" s="6">
        <v>18000</v>
      </c>
      <c r="J1119" s="6">
        <v>-18000</v>
      </c>
    </row>
    <row r="1120" spans="1:10">
      <c r="A1120" t="s">
        <v>759</v>
      </c>
      <c r="B1120" s="5">
        <v>45839</v>
      </c>
      <c r="C1120" t="s">
        <v>212</v>
      </c>
      <c r="D1120" t="s">
        <v>213</v>
      </c>
      <c r="E1120" t="s">
        <v>121</v>
      </c>
      <c r="F1120" t="s">
        <v>154</v>
      </c>
      <c r="G1120" t="s">
        <v>214</v>
      </c>
      <c r="H1120" s="6">
        <v>18000</v>
      </c>
      <c r="I1120" s="6">
        <v>0</v>
      </c>
      <c r="J1120" s="6">
        <v>18000</v>
      </c>
    </row>
    <row r="1121" spans="1:10">
      <c r="A1121" t="s">
        <v>759</v>
      </c>
      <c r="B1121" s="5">
        <v>45839</v>
      </c>
      <c r="C1121" t="s">
        <v>173</v>
      </c>
      <c r="D1121" t="s">
        <v>174</v>
      </c>
      <c r="E1121" t="s">
        <v>120</v>
      </c>
      <c r="F1121" t="s">
        <v>154</v>
      </c>
      <c r="G1121" t="s">
        <v>214</v>
      </c>
      <c r="H1121" s="6">
        <v>0</v>
      </c>
      <c r="I1121" s="6">
        <v>18000</v>
      </c>
      <c r="J1121" s="6">
        <v>-18000</v>
      </c>
    </row>
    <row r="1122" spans="1:10">
      <c r="A1122" t="s">
        <v>760</v>
      </c>
      <c r="B1122" s="5">
        <v>45839</v>
      </c>
      <c r="C1122" t="s">
        <v>148</v>
      </c>
      <c r="D1122" t="s">
        <v>149</v>
      </c>
      <c r="E1122" t="s">
        <v>150</v>
      </c>
      <c r="F1122" t="s">
        <v>154</v>
      </c>
      <c r="G1122" t="s">
        <v>216</v>
      </c>
      <c r="H1122" s="6">
        <v>1207312.48</v>
      </c>
      <c r="I1122" s="6">
        <v>0</v>
      </c>
      <c r="J1122" s="6">
        <v>1207312.48</v>
      </c>
    </row>
    <row r="1123" spans="1:10">
      <c r="A1123" t="s">
        <v>760</v>
      </c>
      <c r="B1123" s="5">
        <v>45839</v>
      </c>
      <c r="C1123" t="s">
        <v>217</v>
      </c>
      <c r="D1123" t="s">
        <v>218</v>
      </c>
      <c r="E1123" t="s">
        <v>122</v>
      </c>
      <c r="F1123" t="s">
        <v>154</v>
      </c>
      <c r="G1123" t="s">
        <v>216</v>
      </c>
      <c r="H1123" s="6">
        <v>0</v>
      </c>
      <c r="I1123" s="6">
        <v>1207312.48</v>
      </c>
      <c r="J1123" s="6">
        <v>-1207312.48</v>
      </c>
    </row>
    <row r="1124" spans="1:10">
      <c r="A1124" t="s">
        <v>761</v>
      </c>
      <c r="B1124" s="5">
        <v>45839</v>
      </c>
      <c r="C1124" t="s">
        <v>217</v>
      </c>
      <c r="D1124" t="s">
        <v>218</v>
      </c>
      <c r="E1124" t="s">
        <v>122</v>
      </c>
      <c r="F1124" t="s">
        <v>154</v>
      </c>
      <c r="G1124" t="s">
        <v>216</v>
      </c>
      <c r="H1124" s="6">
        <v>102621.5608</v>
      </c>
      <c r="I1124" s="6">
        <v>0</v>
      </c>
      <c r="J1124" s="6">
        <v>102621.5608</v>
      </c>
    </row>
    <row r="1125" spans="1:10">
      <c r="A1125" t="s">
        <v>761</v>
      </c>
      <c r="B1125" s="5">
        <v>45839</v>
      </c>
      <c r="C1125" t="s">
        <v>152</v>
      </c>
      <c r="D1125" t="s">
        <v>153</v>
      </c>
      <c r="E1125" t="s">
        <v>150</v>
      </c>
      <c r="F1125" t="s">
        <v>154</v>
      </c>
      <c r="G1125" t="s">
        <v>216</v>
      </c>
      <c r="H1125" s="6">
        <v>0</v>
      </c>
      <c r="I1125" s="6">
        <v>102621.5608</v>
      </c>
      <c r="J1125" s="6">
        <v>-102621.5608</v>
      </c>
    </row>
    <row r="1126" spans="1:10">
      <c r="A1126" t="s">
        <v>762</v>
      </c>
      <c r="B1126" s="5">
        <v>45839</v>
      </c>
      <c r="C1126" t="s">
        <v>217</v>
      </c>
      <c r="D1126" t="s">
        <v>218</v>
      </c>
      <c r="E1126" t="s">
        <v>122</v>
      </c>
      <c r="F1126" t="s">
        <v>154</v>
      </c>
      <c r="G1126" t="s">
        <v>216</v>
      </c>
      <c r="H1126" s="6">
        <v>820084.6800000001</v>
      </c>
      <c r="I1126" s="6">
        <v>0</v>
      </c>
      <c r="J1126" s="6">
        <v>820084.6800000001</v>
      </c>
    </row>
    <row r="1127" spans="1:10">
      <c r="A1127" t="s">
        <v>762</v>
      </c>
      <c r="B1127" s="5">
        <v>45839</v>
      </c>
      <c r="C1127" t="s">
        <v>164</v>
      </c>
      <c r="D1127" t="s">
        <v>36</v>
      </c>
      <c r="E1127" t="s">
        <v>150</v>
      </c>
      <c r="F1127" t="s">
        <v>154</v>
      </c>
      <c r="G1127" t="s">
        <v>216</v>
      </c>
      <c r="H1127" s="6">
        <v>0</v>
      </c>
      <c r="I1127" s="6">
        <v>820084.6800000001</v>
      </c>
      <c r="J1127" s="6">
        <v>-820084.6800000001</v>
      </c>
    </row>
    <row r="1128" spans="1:10">
      <c r="A1128" t="s">
        <v>763</v>
      </c>
      <c r="B1128" s="5">
        <v>45839</v>
      </c>
      <c r="C1128" t="s">
        <v>217</v>
      </c>
      <c r="D1128" t="s">
        <v>218</v>
      </c>
      <c r="E1128" t="s">
        <v>122</v>
      </c>
      <c r="F1128" t="s">
        <v>154</v>
      </c>
      <c r="G1128" t="s">
        <v>216</v>
      </c>
      <c r="H1128" s="6">
        <v>110162</v>
      </c>
      <c r="I1128" s="6">
        <v>0</v>
      </c>
      <c r="J1128" s="6">
        <v>110162</v>
      </c>
    </row>
    <row r="1129" spans="1:10">
      <c r="A1129" t="s">
        <v>763</v>
      </c>
      <c r="B1129" s="5">
        <v>45839</v>
      </c>
      <c r="C1129" t="s">
        <v>167</v>
      </c>
      <c r="D1129" t="s">
        <v>51</v>
      </c>
      <c r="E1129" t="s">
        <v>150</v>
      </c>
      <c r="F1129" t="s">
        <v>154</v>
      </c>
      <c r="G1129" t="s">
        <v>216</v>
      </c>
      <c r="H1129" s="6">
        <v>0</v>
      </c>
      <c r="I1129" s="6">
        <v>110162</v>
      </c>
      <c r="J1129" s="6">
        <v>-110162</v>
      </c>
    </row>
    <row r="1130" spans="1:10">
      <c r="A1130" t="s">
        <v>764</v>
      </c>
      <c r="B1130" s="5">
        <v>45839</v>
      </c>
      <c r="C1130" t="s">
        <v>217</v>
      </c>
      <c r="D1130" t="s">
        <v>218</v>
      </c>
      <c r="E1130" t="s">
        <v>122</v>
      </c>
      <c r="F1130" t="s">
        <v>154</v>
      </c>
      <c r="G1130" t="s">
        <v>216</v>
      </c>
      <c r="H1130" s="6">
        <v>43463.25</v>
      </c>
      <c r="I1130" s="6">
        <v>0</v>
      </c>
      <c r="J1130" s="6">
        <v>43463.25</v>
      </c>
    </row>
    <row r="1131" spans="1:10">
      <c r="A1131" t="s">
        <v>764</v>
      </c>
      <c r="B1131" s="5">
        <v>45839</v>
      </c>
      <c r="C1131" t="s">
        <v>176</v>
      </c>
      <c r="D1131" t="s">
        <v>52</v>
      </c>
      <c r="E1131" t="s">
        <v>150</v>
      </c>
      <c r="F1131" t="s">
        <v>154</v>
      </c>
      <c r="G1131" t="s">
        <v>216</v>
      </c>
      <c r="H1131" s="6">
        <v>0</v>
      </c>
      <c r="I1131" s="6">
        <v>43463.25</v>
      </c>
      <c r="J1131" s="6">
        <v>-43463.25</v>
      </c>
    </row>
    <row r="1132" spans="1:10">
      <c r="A1132" t="s">
        <v>765</v>
      </c>
      <c r="B1132" s="5">
        <v>45839</v>
      </c>
      <c r="C1132" t="s">
        <v>217</v>
      </c>
      <c r="D1132" t="s">
        <v>218</v>
      </c>
      <c r="E1132" t="s">
        <v>122</v>
      </c>
      <c r="F1132" t="s">
        <v>154</v>
      </c>
      <c r="G1132" t="s">
        <v>216</v>
      </c>
      <c r="H1132" s="6">
        <v>33920</v>
      </c>
      <c r="I1132" s="6">
        <v>0</v>
      </c>
      <c r="J1132" s="6">
        <v>33920</v>
      </c>
    </row>
    <row r="1133" spans="1:10">
      <c r="A1133" t="s">
        <v>765</v>
      </c>
      <c r="B1133" s="5">
        <v>45839</v>
      </c>
      <c r="C1133" t="s">
        <v>179</v>
      </c>
      <c r="D1133" t="s">
        <v>54</v>
      </c>
      <c r="E1133" t="s">
        <v>150</v>
      </c>
      <c r="F1133" t="s">
        <v>154</v>
      </c>
      <c r="G1133" t="s">
        <v>216</v>
      </c>
      <c r="H1133" s="6">
        <v>0</v>
      </c>
      <c r="I1133" s="6">
        <v>33920</v>
      </c>
      <c r="J1133" s="6">
        <v>-33920</v>
      </c>
    </row>
    <row r="1134" spans="1:10">
      <c r="A1134" t="s">
        <v>766</v>
      </c>
      <c r="B1134" s="5">
        <v>45839</v>
      </c>
      <c r="C1134" t="s">
        <v>217</v>
      </c>
      <c r="D1134" t="s">
        <v>218</v>
      </c>
      <c r="E1134" t="s">
        <v>122</v>
      </c>
      <c r="F1134" t="s">
        <v>154</v>
      </c>
      <c r="G1134" t="s">
        <v>216</v>
      </c>
      <c r="H1134" s="6">
        <v>20160</v>
      </c>
      <c r="I1134" s="6">
        <v>0</v>
      </c>
      <c r="J1134" s="6">
        <v>20160</v>
      </c>
    </row>
    <row r="1135" spans="1:10">
      <c r="A1135" t="s">
        <v>766</v>
      </c>
      <c r="B1135" s="5">
        <v>45839</v>
      </c>
      <c r="C1135" t="s">
        <v>181</v>
      </c>
      <c r="D1135" t="s">
        <v>56</v>
      </c>
      <c r="E1135" t="s">
        <v>150</v>
      </c>
      <c r="F1135" t="s">
        <v>154</v>
      </c>
      <c r="G1135" t="s">
        <v>216</v>
      </c>
      <c r="H1135" s="6">
        <v>0</v>
      </c>
      <c r="I1135" s="6">
        <v>20160</v>
      </c>
      <c r="J1135" s="6">
        <v>-20160</v>
      </c>
    </row>
    <row r="1136" spans="1:10">
      <c r="A1136" t="s">
        <v>767</v>
      </c>
      <c r="B1136" s="5">
        <v>45839</v>
      </c>
      <c r="C1136" t="s">
        <v>217</v>
      </c>
      <c r="D1136" t="s">
        <v>218</v>
      </c>
      <c r="E1136" t="s">
        <v>122</v>
      </c>
      <c r="F1136" t="s">
        <v>154</v>
      </c>
      <c r="G1136" t="s">
        <v>216</v>
      </c>
      <c r="H1136" s="6">
        <v>26560.87</v>
      </c>
      <c r="I1136" s="6">
        <v>0</v>
      </c>
      <c r="J1136" s="6">
        <v>26560.87</v>
      </c>
    </row>
    <row r="1137" spans="1:10">
      <c r="A1137" t="s">
        <v>767</v>
      </c>
      <c r="B1137" s="5">
        <v>45839</v>
      </c>
      <c r="C1137" t="s">
        <v>183</v>
      </c>
      <c r="D1137" t="s">
        <v>59</v>
      </c>
      <c r="E1137" t="s">
        <v>150</v>
      </c>
      <c r="F1137" t="s">
        <v>154</v>
      </c>
      <c r="G1137" t="s">
        <v>216</v>
      </c>
      <c r="H1137" s="6">
        <v>0</v>
      </c>
      <c r="I1137" s="6">
        <v>26560.87</v>
      </c>
      <c r="J1137" s="6">
        <v>-26560.87</v>
      </c>
    </row>
    <row r="1138" spans="1:10">
      <c r="A1138" t="s">
        <v>768</v>
      </c>
      <c r="B1138" s="5">
        <v>45839</v>
      </c>
      <c r="C1138" t="s">
        <v>217</v>
      </c>
      <c r="D1138" t="s">
        <v>218</v>
      </c>
      <c r="E1138" t="s">
        <v>122</v>
      </c>
      <c r="F1138" t="s">
        <v>154</v>
      </c>
      <c r="G1138" t="s">
        <v>216</v>
      </c>
      <c r="H1138" s="6">
        <v>22560</v>
      </c>
      <c r="I1138" s="6">
        <v>0</v>
      </c>
      <c r="J1138" s="6">
        <v>22560</v>
      </c>
    </row>
    <row r="1139" spans="1:10">
      <c r="A1139" t="s">
        <v>768</v>
      </c>
      <c r="B1139" s="5">
        <v>45839</v>
      </c>
      <c r="C1139" t="s">
        <v>185</v>
      </c>
      <c r="D1139" t="s">
        <v>186</v>
      </c>
      <c r="E1139" t="s">
        <v>150</v>
      </c>
      <c r="F1139" t="s">
        <v>154</v>
      </c>
      <c r="G1139" t="s">
        <v>216</v>
      </c>
      <c r="H1139" s="6">
        <v>0</v>
      </c>
      <c r="I1139" s="6">
        <v>22560</v>
      </c>
      <c r="J1139" s="6">
        <v>-22560</v>
      </c>
    </row>
    <row r="1140" spans="1:10">
      <c r="A1140" t="s">
        <v>769</v>
      </c>
      <c r="B1140" s="5">
        <v>45839</v>
      </c>
      <c r="C1140" t="s">
        <v>217</v>
      </c>
      <c r="D1140" t="s">
        <v>218</v>
      </c>
      <c r="E1140" t="s">
        <v>122</v>
      </c>
      <c r="F1140" t="s">
        <v>154</v>
      </c>
      <c r="G1140" t="s">
        <v>216</v>
      </c>
      <c r="H1140" s="6">
        <v>9912</v>
      </c>
      <c r="I1140" s="6">
        <v>0</v>
      </c>
      <c r="J1140" s="6">
        <v>9912</v>
      </c>
    </row>
    <row r="1141" spans="1:10">
      <c r="A1141" t="s">
        <v>769</v>
      </c>
      <c r="B1141" s="5">
        <v>45839</v>
      </c>
      <c r="C1141" t="s">
        <v>191</v>
      </c>
      <c r="D1141" t="s">
        <v>104</v>
      </c>
      <c r="E1141" t="s">
        <v>150</v>
      </c>
      <c r="F1141" t="s">
        <v>154</v>
      </c>
      <c r="G1141" t="s">
        <v>216</v>
      </c>
      <c r="H1141" s="6">
        <v>0</v>
      </c>
      <c r="I1141" s="6">
        <v>9912</v>
      </c>
      <c r="J1141" s="6">
        <v>-9912</v>
      </c>
    </row>
    <row r="1142" spans="1:10">
      <c r="A1142" t="s">
        <v>770</v>
      </c>
      <c r="B1142" s="5">
        <v>45839</v>
      </c>
      <c r="C1142" t="s">
        <v>217</v>
      </c>
      <c r="D1142" t="s">
        <v>218</v>
      </c>
      <c r="E1142" t="s">
        <v>122</v>
      </c>
      <c r="F1142" t="s">
        <v>154</v>
      </c>
      <c r="G1142" t="s">
        <v>216</v>
      </c>
      <c r="H1142" s="6">
        <v>6075.160527999947</v>
      </c>
      <c r="I1142" s="6">
        <v>0</v>
      </c>
      <c r="J1142" s="6">
        <v>6075.160527999947</v>
      </c>
    </row>
    <row r="1143" spans="1:10">
      <c r="A1143" t="s">
        <v>770</v>
      </c>
      <c r="B1143" s="5">
        <v>45839</v>
      </c>
      <c r="C1143" t="s">
        <v>194</v>
      </c>
      <c r="D1143" t="s">
        <v>195</v>
      </c>
      <c r="E1143" t="s">
        <v>150</v>
      </c>
      <c r="F1143" t="s">
        <v>154</v>
      </c>
      <c r="G1143" t="s">
        <v>216</v>
      </c>
      <c r="H1143" s="6">
        <v>0</v>
      </c>
      <c r="I1143" s="6">
        <v>6075.160527999947</v>
      </c>
      <c r="J1143" s="6">
        <v>-6075.160527999947</v>
      </c>
    </row>
    <row r="1144" spans="1:10">
      <c r="A1144" t="s">
        <v>771</v>
      </c>
      <c r="B1144" s="5">
        <v>45870</v>
      </c>
      <c r="C1144" t="s">
        <v>146</v>
      </c>
      <c r="D1144" t="s">
        <v>86</v>
      </c>
      <c r="E1144" t="s">
        <v>120</v>
      </c>
      <c r="F1144" t="s">
        <v>52</v>
      </c>
      <c r="G1144" t="s">
        <v>147</v>
      </c>
      <c r="H1144" s="6">
        <v>1298644.84</v>
      </c>
      <c r="I1144" s="6">
        <v>0</v>
      </c>
      <c r="J1144" s="6">
        <v>1298644.84</v>
      </c>
    </row>
    <row r="1145" spans="1:10">
      <c r="A1145" t="s">
        <v>771</v>
      </c>
      <c r="B1145" s="5">
        <v>45870</v>
      </c>
      <c r="C1145" t="s">
        <v>148</v>
      </c>
      <c r="D1145" t="s">
        <v>149</v>
      </c>
      <c r="E1145" t="s">
        <v>150</v>
      </c>
      <c r="F1145" t="s">
        <v>52</v>
      </c>
      <c r="G1145" t="s">
        <v>147</v>
      </c>
      <c r="H1145" s="6">
        <v>0</v>
      </c>
      <c r="I1145" s="6">
        <v>1298644.84</v>
      </c>
      <c r="J1145" s="6">
        <v>-1298644.84</v>
      </c>
    </row>
    <row r="1146" spans="1:10">
      <c r="A1146" t="s">
        <v>772</v>
      </c>
      <c r="B1146" s="5">
        <v>45870</v>
      </c>
      <c r="C1146" t="s">
        <v>152</v>
      </c>
      <c r="D1146" t="s">
        <v>153</v>
      </c>
      <c r="E1146" t="s">
        <v>150</v>
      </c>
      <c r="F1146" t="s">
        <v>154</v>
      </c>
      <c r="G1146" t="s">
        <v>155</v>
      </c>
      <c r="H1146" s="6">
        <v>110384.8114</v>
      </c>
      <c r="I1146" s="6">
        <v>0</v>
      </c>
      <c r="J1146" s="6">
        <v>110384.8114</v>
      </c>
    </row>
    <row r="1147" spans="1:10">
      <c r="A1147" t="s">
        <v>772</v>
      </c>
      <c r="B1147" s="5">
        <v>45870</v>
      </c>
      <c r="C1147" t="s">
        <v>156</v>
      </c>
      <c r="D1147" t="s">
        <v>157</v>
      </c>
      <c r="E1147" t="s">
        <v>121</v>
      </c>
      <c r="F1147" t="s">
        <v>154</v>
      </c>
      <c r="G1147" t="s">
        <v>155</v>
      </c>
      <c r="H1147" s="6">
        <v>0</v>
      </c>
      <c r="I1147" s="6">
        <v>110384.8114</v>
      </c>
      <c r="J1147" s="6">
        <v>-110384.8114</v>
      </c>
    </row>
    <row r="1148" spans="1:10">
      <c r="A1148" t="s">
        <v>773</v>
      </c>
      <c r="B1148" s="5">
        <v>45870</v>
      </c>
      <c r="C1148" t="s">
        <v>159</v>
      </c>
      <c r="D1148" t="s">
        <v>160</v>
      </c>
      <c r="E1148" t="s">
        <v>120</v>
      </c>
      <c r="F1148" t="s">
        <v>58</v>
      </c>
      <c r="G1148" t="s">
        <v>161</v>
      </c>
      <c r="H1148" s="6">
        <v>1013430.101333333</v>
      </c>
      <c r="I1148" s="6">
        <v>0</v>
      </c>
      <c r="J1148" s="6">
        <v>1013430.101333333</v>
      </c>
    </row>
    <row r="1149" spans="1:10">
      <c r="A1149" t="s">
        <v>773</v>
      </c>
      <c r="B1149" s="5">
        <v>45870</v>
      </c>
      <c r="C1149" t="s">
        <v>162</v>
      </c>
      <c r="D1149" t="s">
        <v>88</v>
      </c>
      <c r="E1149" t="s">
        <v>121</v>
      </c>
      <c r="F1149" t="s">
        <v>58</v>
      </c>
      <c r="G1149" t="s">
        <v>161</v>
      </c>
      <c r="H1149" s="6">
        <v>0</v>
      </c>
      <c r="I1149" s="6">
        <v>1013430.101333333</v>
      </c>
      <c r="J1149" s="6">
        <v>-1013430.101333333</v>
      </c>
    </row>
    <row r="1150" spans="1:10">
      <c r="A1150" t="s">
        <v>774</v>
      </c>
      <c r="B1150" s="5">
        <v>45870</v>
      </c>
      <c r="C1150" t="s">
        <v>164</v>
      </c>
      <c r="D1150" t="s">
        <v>36</v>
      </c>
      <c r="E1150" t="s">
        <v>150</v>
      </c>
      <c r="F1150" t="s">
        <v>58</v>
      </c>
      <c r="G1150" t="s">
        <v>165</v>
      </c>
      <c r="H1150" s="6">
        <v>883132.1</v>
      </c>
      <c r="I1150" s="6">
        <v>0</v>
      </c>
      <c r="J1150" s="6">
        <v>883132.1</v>
      </c>
    </row>
    <row r="1151" spans="1:10">
      <c r="A1151" t="s">
        <v>774</v>
      </c>
      <c r="B1151" s="5">
        <v>45870</v>
      </c>
      <c r="C1151" t="s">
        <v>159</v>
      </c>
      <c r="D1151" t="s">
        <v>160</v>
      </c>
      <c r="E1151" t="s">
        <v>120</v>
      </c>
      <c r="F1151" t="s">
        <v>58</v>
      </c>
      <c r="G1151" t="s">
        <v>165</v>
      </c>
      <c r="H1151" s="6">
        <v>0</v>
      </c>
      <c r="I1151" s="6">
        <v>883132.1</v>
      </c>
      <c r="J1151" s="6">
        <v>-883132.1</v>
      </c>
    </row>
    <row r="1152" spans="1:10">
      <c r="A1152" t="s">
        <v>775</v>
      </c>
      <c r="B1152" s="5">
        <v>45870</v>
      </c>
      <c r="C1152" t="s">
        <v>167</v>
      </c>
      <c r="D1152" t="s">
        <v>51</v>
      </c>
      <c r="E1152" t="s">
        <v>150</v>
      </c>
      <c r="F1152" t="s">
        <v>51</v>
      </c>
      <c r="G1152" t="s">
        <v>168</v>
      </c>
      <c r="H1152" s="6">
        <v>110162</v>
      </c>
      <c r="I1152" s="6">
        <v>0</v>
      </c>
      <c r="J1152" s="6">
        <v>110162</v>
      </c>
    </row>
    <row r="1153" spans="1:10">
      <c r="A1153" t="s">
        <v>775</v>
      </c>
      <c r="B1153" s="5">
        <v>45870</v>
      </c>
      <c r="C1153" t="s">
        <v>169</v>
      </c>
      <c r="D1153" t="s">
        <v>170</v>
      </c>
      <c r="E1153" t="s">
        <v>121</v>
      </c>
      <c r="F1153" t="s">
        <v>51</v>
      </c>
      <c r="G1153" t="s">
        <v>168</v>
      </c>
      <c r="H1153" s="6">
        <v>0</v>
      </c>
      <c r="I1153" s="6">
        <v>110162</v>
      </c>
      <c r="J1153" s="6">
        <v>-110162</v>
      </c>
    </row>
    <row r="1154" spans="1:10">
      <c r="A1154" t="s">
        <v>776</v>
      </c>
      <c r="B1154" s="5">
        <v>45870</v>
      </c>
      <c r="C1154" t="s">
        <v>169</v>
      </c>
      <c r="D1154" t="s">
        <v>170</v>
      </c>
      <c r="E1154" t="s">
        <v>121</v>
      </c>
      <c r="F1154" t="s">
        <v>51</v>
      </c>
      <c r="G1154" t="s">
        <v>172</v>
      </c>
      <c r="H1154" s="6">
        <v>110162</v>
      </c>
      <c r="I1154" s="6">
        <v>0</v>
      </c>
      <c r="J1154" s="6">
        <v>110162</v>
      </c>
    </row>
    <row r="1155" spans="1:10">
      <c r="A1155" t="s">
        <v>776</v>
      </c>
      <c r="B1155" s="5">
        <v>45870</v>
      </c>
      <c r="C1155" t="s">
        <v>173</v>
      </c>
      <c r="D1155" t="s">
        <v>174</v>
      </c>
      <c r="E1155" t="s">
        <v>120</v>
      </c>
      <c r="F1155" t="s">
        <v>51</v>
      </c>
      <c r="G1155" t="s">
        <v>172</v>
      </c>
      <c r="H1155" s="6">
        <v>0</v>
      </c>
      <c r="I1155" s="6">
        <v>110162</v>
      </c>
      <c r="J1155" s="6">
        <v>-110162</v>
      </c>
    </row>
    <row r="1156" spans="1:10">
      <c r="A1156" t="s">
        <v>777</v>
      </c>
      <c r="B1156" s="5">
        <v>45870</v>
      </c>
      <c r="C1156" t="s">
        <v>176</v>
      </c>
      <c r="D1156" t="s">
        <v>52</v>
      </c>
      <c r="E1156" t="s">
        <v>150</v>
      </c>
      <c r="F1156" t="s">
        <v>52</v>
      </c>
      <c r="G1156" t="s">
        <v>177</v>
      </c>
      <c r="H1156" s="6">
        <v>46751.21</v>
      </c>
      <c r="I1156" s="6">
        <v>0</v>
      </c>
      <c r="J1156" s="6">
        <v>46751.21</v>
      </c>
    </row>
    <row r="1157" spans="1:10">
      <c r="A1157" t="s">
        <v>777</v>
      </c>
      <c r="B1157" s="5">
        <v>45870</v>
      </c>
      <c r="C1157" t="s">
        <v>173</v>
      </c>
      <c r="D1157" t="s">
        <v>174</v>
      </c>
      <c r="E1157" t="s">
        <v>120</v>
      </c>
      <c r="F1157" t="s">
        <v>52</v>
      </c>
      <c r="G1157" t="s">
        <v>177</v>
      </c>
      <c r="H1157" s="6">
        <v>0</v>
      </c>
      <c r="I1157" s="6">
        <v>46751.21</v>
      </c>
      <c r="J1157" s="6">
        <v>-46751.21</v>
      </c>
    </row>
    <row r="1158" spans="1:10">
      <c r="A1158" t="s">
        <v>778</v>
      </c>
      <c r="B1158" s="5">
        <v>45870</v>
      </c>
      <c r="C1158" t="s">
        <v>179</v>
      </c>
      <c r="D1158" t="s">
        <v>54</v>
      </c>
      <c r="E1158" t="s">
        <v>150</v>
      </c>
      <c r="F1158" t="s">
        <v>54</v>
      </c>
      <c r="G1158" t="s">
        <v>177</v>
      </c>
      <c r="H1158" s="6">
        <v>33920</v>
      </c>
      <c r="I1158" s="6">
        <v>0</v>
      </c>
      <c r="J1158" s="6">
        <v>33920</v>
      </c>
    </row>
    <row r="1159" spans="1:10">
      <c r="A1159" t="s">
        <v>778</v>
      </c>
      <c r="B1159" s="5">
        <v>45870</v>
      </c>
      <c r="C1159" t="s">
        <v>173</v>
      </c>
      <c r="D1159" t="s">
        <v>174</v>
      </c>
      <c r="E1159" t="s">
        <v>120</v>
      </c>
      <c r="F1159" t="s">
        <v>54</v>
      </c>
      <c r="G1159" t="s">
        <v>177</v>
      </c>
      <c r="H1159" s="6">
        <v>0</v>
      </c>
      <c r="I1159" s="6">
        <v>33920</v>
      </c>
      <c r="J1159" s="6">
        <v>-33920</v>
      </c>
    </row>
    <row r="1160" spans="1:10">
      <c r="A1160" t="s">
        <v>779</v>
      </c>
      <c r="B1160" s="5">
        <v>45870</v>
      </c>
      <c r="C1160" t="s">
        <v>181</v>
      </c>
      <c r="D1160" t="s">
        <v>56</v>
      </c>
      <c r="E1160" t="s">
        <v>150</v>
      </c>
      <c r="F1160" t="s">
        <v>56</v>
      </c>
      <c r="G1160" t="s">
        <v>177</v>
      </c>
      <c r="H1160" s="6">
        <v>20160</v>
      </c>
      <c r="I1160" s="6">
        <v>0</v>
      </c>
      <c r="J1160" s="6">
        <v>20160</v>
      </c>
    </row>
    <row r="1161" spans="1:10">
      <c r="A1161" t="s">
        <v>779</v>
      </c>
      <c r="B1161" s="5">
        <v>45870</v>
      </c>
      <c r="C1161" t="s">
        <v>173</v>
      </c>
      <c r="D1161" t="s">
        <v>174</v>
      </c>
      <c r="E1161" t="s">
        <v>120</v>
      </c>
      <c r="F1161" t="s">
        <v>56</v>
      </c>
      <c r="G1161" t="s">
        <v>177</v>
      </c>
      <c r="H1161" s="6">
        <v>0</v>
      </c>
      <c r="I1161" s="6">
        <v>20160</v>
      </c>
      <c r="J1161" s="6">
        <v>-20160</v>
      </c>
    </row>
    <row r="1162" spans="1:10">
      <c r="A1162" t="s">
        <v>780</v>
      </c>
      <c r="B1162" s="5">
        <v>45870</v>
      </c>
      <c r="C1162" t="s">
        <v>183</v>
      </c>
      <c r="D1162" t="s">
        <v>59</v>
      </c>
      <c r="E1162" t="s">
        <v>150</v>
      </c>
      <c r="F1162" t="s">
        <v>66</v>
      </c>
      <c r="G1162" t="s">
        <v>177</v>
      </c>
      <c r="H1162" s="6">
        <v>28570.19</v>
      </c>
      <c r="I1162" s="6">
        <v>0</v>
      </c>
      <c r="J1162" s="6">
        <v>28570.19</v>
      </c>
    </row>
    <row r="1163" spans="1:10">
      <c r="A1163" t="s">
        <v>780</v>
      </c>
      <c r="B1163" s="5">
        <v>45870</v>
      </c>
      <c r="C1163" t="s">
        <v>173</v>
      </c>
      <c r="D1163" t="s">
        <v>174</v>
      </c>
      <c r="E1163" t="s">
        <v>120</v>
      </c>
      <c r="F1163" t="s">
        <v>66</v>
      </c>
      <c r="G1163" t="s">
        <v>177</v>
      </c>
      <c r="H1163" s="6">
        <v>0</v>
      </c>
      <c r="I1163" s="6">
        <v>28570.19</v>
      </c>
      <c r="J1163" s="6">
        <v>-28570.19</v>
      </c>
    </row>
    <row r="1164" spans="1:10">
      <c r="A1164" t="s">
        <v>781</v>
      </c>
      <c r="B1164" s="5">
        <v>45870</v>
      </c>
      <c r="C1164" t="s">
        <v>185</v>
      </c>
      <c r="D1164" t="s">
        <v>186</v>
      </c>
      <c r="E1164" t="s">
        <v>150</v>
      </c>
      <c r="F1164" t="s">
        <v>154</v>
      </c>
      <c r="G1164" t="s">
        <v>187</v>
      </c>
      <c r="H1164" s="6">
        <v>22740</v>
      </c>
      <c r="I1164" s="6">
        <v>0</v>
      </c>
      <c r="J1164" s="6">
        <v>22740</v>
      </c>
    </row>
    <row r="1165" spans="1:10">
      <c r="A1165" t="s">
        <v>781</v>
      </c>
      <c r="B1165" s="5">
        <v>45870</v>
      </c>
      <c r="C1165" t="s">
        <v>188</v>
      </c>
      <c r="D1165" t="s">
        <v>189</v>
      </c>
      <c r="E1165" t="s">
        <v>120</v>
      </c>
      <c r="F1165" t="s">
        <v>154</v>
      </c>
      <c r="G1165" t="s">
        <v>187</v>
      </c>
      <c r="H1165" s="6">
        <v>0</v>
      </c>
      <c r="I1165" s="6">
        <v>22740</v>
      </c>
      <c r="J1165" s="6">
        <v>-22740</v>
      </c>
    </row>
    <row r="1166" spans="1:10">
      <c r="A1166" t="s">
        <v>782</v>
      </c>
      <c r="B1166" s="5">
        <v>45870</v>
      </c>
      <c r="C1166" t="s">
        <v>191</v>
      </c>
      <c r="D1166" t="s">
        <v>104</v>
      </c>
      <c r="E1166" t="s">
        <v>150</v>
      </c>
      <c r="F1166" t="s">
        <v>154</v>
      </c>
      <c r="G1166" t="s">
        <v>192</v>
      </c>
      <c r="H1166" s="6">
        <v>9696</v>
      </c>
      <c r="I1166" s="6">
        <v>0</v>
      </c>
      <c r="J1166" s="6">
        <v>9696</v>
      </c>
    </row>
    <row r="1167" spans="1:10">
      <c r="A1167" t="s">
        <v>782</v>
      </c>
      <c r="B1167" s="5">
        <v>45870</v>
      </c>
      <c r="C1167" t="s">
        <v>173</v>
      </c>
      <c r="D1167" t="s">
        <v>174</v>
      </c>
      <c r="E1167" t="s">
        <v>120</v>
      </c>
      <c r="F1167" t="s">
        <v>154</v>
      </c>
      <c r="G1167" t="s">
        <v>192</v>
      </c>
      <c r="H1167" s="6">
        <v>0</v>
      </c>
      <c r="I1167" s="6">
        <v>9696</v>
      </c>
      <c r="J1167" s="6">
        <v>-9696</v>
      </c>
    </row>
    <row r="1168" spans="1:10">
      <c r="A1168" t="s">
        <v>783</v>
      </c>
      <c r="B1168" s="5">
        <v>45870</v>
      </c>
      <c r="C1168" t="s">
        <v>194</v>
      </c>
      <c r="D1168" t="s">
        <v>195</v>
      </c>
      <c r="E1168" t="s">
        <v>150</v>
      </c>
      <c r="F1168" t="s">
        <v>154</v>
      </c>
      <c r="G1168" t="s">
        <v>196</v>
      </c>
      <c r="H1168" s="6">
        <v>11263.69972400004</v>
      </c>
      <c r="I1168" s="6">
        <v>0</v>
      </c>
      <c r="J1168" s="6">
        <v>11263.69972400004</v>
      </c>
    </row>
    <row r="1169" spans="1:10">
      <c r="A1169" t="s">
        <v>783</v>
      </c>
      <c r="B1169" s="5">
        <v>45870</v>
      </c>
      <c r="C1169" t="s">
        <v>197</v>
      </c>
      <c r="D1169" t="s">
        <v>198</v>
      </c>
      <c r="E1169" t="s">
        <v>121</v>
      </c>
      <c r="F1169" t="s">
        <v>154</v>
      </c>
      <c r="G1169" t="s">
        <v>196</v>
      </c>
      <c r="H1169" s="6">
        <v>0</v>
      </c>
      <c r="I1169" s="6">
        <v>11263.69972400004</v>
      </c>
      <c r="J1169" s="6">
        <v>-11263.69972400004</v>
      </c>
    </row>
    <row r="1170" spans="1:10">
      <c r="A1170" t="s">
        <v>784</v>
      </c>
      <c r="B1170" s="5">
        <v>45870</v>
      </c>
      <c r="C1170" t="s">
        <v>173</v>
      </c>
      <c r="D1170" t="s">
        <v>174</v>
      </c>
      <c r="E1170" t="s">
        <v>120</v>
      </c>
      <c r="F1170" t="s">
        <v>154</v>
      </c>
      <c r="G1170" t="s">
        <v>200</v>
      </c>
      <c r="H1170" s="6">
        <v>1115980.12</v>
      </c>
      <c r="I1170" s="6">
        <v>0</v>
      </c>
      <c r="J1170" s="6">
        <v>1115980.12</v>
      </c>
    </row>
    <row r="1171" spans="1:10">
      <c r="A1171" t="s">
        <v>784</v>
      </c>
      <c r="B1171" s="5">
        <v>45870</v>
      </c>
      <c r="C1171" t="s">
        <v>146</v>
      </c>
      <c r="D1171" t="s">
        <v>86</v>
      </c>
      <c r="E1171" t="s">
        <v>120</v>
      </c>
      <c r="F1171" t="s">
        <v>154</v>
      </c>
      <c r="G1171" t="s">
        <v>200</v>
      </c>
      <c r="H1171" s="6">
        <v>0</v>
      </c>
      <c r="I1171" s="6">
        <v>1115980.12</v>
      </c>
      <c r="J1171" s="6">
        <v>-1115980.12</v>
      </c>
    </row>
    <row r="1172" spans="1:10">
      <c r="A1172" t="s">
        <v>785</v>
      </c>
      <c r="B1172" s="5">
        <v>45870</v>
      </c>
      <c r="C1172" t="s">
        <v>162</v>
      </c>
      <c r="D1172" t="s">
        <v>88</v>
      </c>
      <c r="E1172" t="s">
        <v>121</v>
      </c>
      <c r="F1172" t="s">
        <v>154</v>
      </c>
      <c r="G1172" t="s">
        <v>202</v>
      </c>
      <c r="H1172" s="6">
        <v>939874.7779999998</v>
      </c>
      <c r="I1172" s="6">
        <v>0</v>
      </c>
      <c r="J1172" s="6">
        <v>939874.7779999998</v>
      </c>
    </row>
    <row r="1173" spans="1:10">
      <c r="A1173" t="s">
        <v>785</v>
      </c>
      <c r="B1173" s="5">
        <v>45870</v>
      </c>
      <c r="C1173" t="s">
        <v>173</v>
      </c>
      <c r="D1173" t="s">
        <v>174</v>
      </c>
      <c r="E1173" t="s">
        <v>120</v>
      </c>
      <c r="F1173" t="s">
        <v>154</v>
      </c>
      <c r="G1173" t="s">
        <v>202</v>
      </c>
      <c r="H1173" s="6">
        <v>0</v>
      </c>
      <c r="I1173" s="6">
        <v>939874.7779999998</v>
      </c>
      <c r="J1173" s="6">
        <v>-939874.7779999998</v>
      </c>
    </row>
    <row r="1174" spans="1:10">
      <c r="A1174" t="s">
        <v>786</v>
      </c>
      <c r="B1174" s="5">
        <v>45870</v>
      </c>
      <c r="C1174" t="s">
        <v>156</v>
      </c>
      <c r="D1174" t="s">
        <v>157</v>
      </c>
      <c r="E1174" t="s">
        <v>121</v>
      </c>
      <c r="F1174" t="s">
        <v>154</v>
      </c>
      <c r="G1174" t="s">
        <v>204</v>
      </c>
      <c r="H1174" s="6">
        <v>102621.5608</v>
      </c>
      <c r="I1174" s="6">
        <v>0</v>
      </c>
      <c r="J1174" s="6">
        <v>102621.5608</v>
      </c>
    </row>
    <row r="1175" spans="1:10">
      <c r="A1175" t="s">
        <v>786</v>
      </c>
      <c r="B1175" s="5">
        <v>45870</v>
      </c>
      <c r="C1175" t="s">
        <v>173</v>
      </c>
      <c r="D1175" t="s">
        <v>174</v>
      </c>
      <c r="E1175" t="s">
        <v>120</v>
      </c>
      <c r="F1175" t="s">
        <v>154</v>
      </c>
      <c r="G1175" t="s">
        <v>204</v>
      </c>
      <c r="H1175" s="6">
        <v>0</v>
      </c>
      <c r="I1175" s="6">
        <v>102621.5608</v>
      </c>
      <c r="J1175" s="6">
        <v>-102621.5608</v>
      </c>
    </row>
    <row r="1176" spans="1:10">
      <c r="A1176" t="s">
        <v>787</v>
      </c>
      <c r="B1176" s="5">
        <v>45870</v>
      </c>
      <c r="C1176" t="s">
        <v>197</v>
      </c>
      <c r="D1176" t="s">
        <v>198</v>
      </c>
      <c r="E1176" t="s">
        <v>121</v>
      </c>
      <c r="F1176" t="s">
        <v>154</v>
      </c>
      <c r="G1176" t="s">
        <v>206</v>
      </c>
      <c r="H1176" s="6">
        <v>6075.160527999948</v>
      </c>
      <c r="I1176" s="6">
        <v>0</v>
      </c>
      <c r="J1176" s="6">
        <v>6075.160527999948</v>
      </c>
    </row>
    <row r="1177" spans="1:10">
      <c r="A1177" t="s">
        <v>787</v>
      </c>
      <c r="B1177" s="5">
        <v>45870</v>
      </c>
      <c r="C1177" t="s">
        <v>173</v>
      </c>
      <c r="D1177" t="s">
        <v>174</v>
      </c>
      <c r="E1177" t="s">
        <v>120</v>
      </c>
      <c r="F1177" t="s">
        <v>154</v>
      </c>
      <c r="G1177" t="s">
        <v>206</v>
      </c>
      <c r="H1177" s="6">
        <v>0</v>
      </c>
      <c r="I1177" s="6">
        <v>6075.160527999948</v>
      </c>
      <c r="J1177" s="6">
        <v>-6075.160527999948</v>
      </c>
    </row>
    <row r="1178" spans="1:10">
      <c r="A1178" t="s">
        <v>788</v>
      </c>
      <c r="B1178" s="5">
        <v>45870</v>
      </c>
      <c r="C1178" t="s">
        <v>208</v>
      </c>
      <c r="D1178" t="s">
        <v>209</v>
      </c>
      <c r="E1178" t="s">
        <v>120</v>
      </c>
      <c r="F1178" t="s">
        <v>154</v>
      </c>
      <c r="G1178" t="s">
        <v>210</v>
      </c>
      <c r="H1178" s="6">
        <v>18000</v>
      </c>
      <c r="I1178" s="6">
        <v>0</v>
      </c>
      <c r="J1178" s="6">
        <v>18000</v>
      </c>
    </row>
    <row r="1179" spans="1:10">
      <c r="A1179" t="s">
        <v>788</v>
      </c>
      <c r="B1179" s="5">
        <v>45870</v>
      </c>
      <c r="C1179" t="s">
        <v>173</v>
      </c>
      <c r="D1179" t="s">
        <v>174</v>
      </c>
      <c r="E1179" t="s">
        <v>120</v>
      </c>
      <c r="F1179" t="s">
        <v>154</v>
      </c>
      <c r="G1179" t="s">
        <v>210</v>
      </c>
      <c r="H1179" s="6">
        <v>0</v>
      </c>
      <c r="I1179" s="6">
        <v>18000</v>
      </c>
      <c r="J1179" s="6">
        <v>-18000</v>
      </c>
    </row>
    <row r="1180" spans="1:10">
      <c r="A1180" t="s">
        <v>789</v>
      </c>
      <c r="B1180" s="5">
        <v>45870</v>
      </c>
      <c r="C1180" t="s">
        <v>212</v>
      </c>
      <c r="D1180" t="s">
        <v>213</v>
      </c>
      <c r="E1180" t="s">
        <v>121</v>
      </c>
      <c r="F1180" t="s">
        <v>154</v>
      </c>
      <c r="G1180" t="s">
        <v>214</v>
      </c>
      <c r="H1180" s="6">
        <v>18000</v>
      </c>
      <c r="I1180" s="6">
        <v>0</v>
      </c>
      <c r="J1180" s="6">
        <v>18000</v>
      </c>
    </row>
    <row r="1181" spans="1:10">
      <c r="A1181" t="s">
        <v>789</v>
      </c>
      <c r="B1181" s="5">
        <v>45870</v>
      </c>
      <c r="C1181" t="s">
        <v>173</v>
      </c>
      <c r="D1181" t="s">
        <v>174</v>
      </c>
      <c r="E1181" t="s">
        <v>120</v>
      </c>
      <c r="F1181" t="s">
        <v>154</v>
      </c>
      <c r="G1181" t="s">
        <v>214</v>
      </c>
      <c r="H1181" s="6">
        <v>0</v>
      </c>
      <c r="I1181" s="6">
        <v>18000</v>
      </c>
      <c r="J1181" s="6">
        <v>-18000</v>
      </c>
    </row>
    <row r="1182" spans="1:10">
      <c r="A1182" t="s">
        <v>790</v>
      </c>
      <c r="B1182" s="5">
        <v>45870</v>
      </c>
      <c r="C1182" t="s">
        <v>148</v>
      </c>
      <c r="D1182" t="s">
        <v>149</v>
      </c>
      <c r="E1182" t="s">
        <v>150</v>
      </c>
      <c r="F1182" t="s">
        <v>154</v>
      </c>
      <c r="G1182" t="s">
        <v>216</v>
      </c>
      <c r="H1182" s="6">
        <v>1298644.84</v>
      </c>
      <c r="I1182" s="6">
        <v>0</v>
      </c>
      <c r="J1182" s="6">
        <v>1298644.84</v>
      </c>
    </row>
    <row r="1183" spans="1:10">
      <c r="A1183" t="s">
        <v>790</v>
      </c>
      <c r="B1183" s="5">
        <v>45870</v>
      </c>
      <c r="C1183" t="s">
        <v>217</v>
      </c>
      <c r="D1183" t="s">
        <v>218</v>
      </c>
      <c r="E1183" t="s">
        <v>122</v>
      </c>
      <c r="F1183" t="s">
        <v>154</v>
      </c>
      <c r="G1183" t="s">
        <v>216</v>
      </c>
      <c r="H1183" s="6">
        <v>0</v>
      </c>
      <c r="I1183" s="6">
        <v>1298644.84</v>
      </c>
      <c r="J1183" s="6">
        <v>-1298644.84</v>
      </c>
    </row>
    <row r="1184" spans="1:10">
      <c r="A1184" t="s">
        <v>791</v>
      </c>
      <c r="B1184" s="5">
        <v>45870</v>
      </c>
      <c r="C1184" t="s">
        <v>217</v>
      </c>
      <c r="D1184" t="s">
        <v>218</v>
      </c>
      <c r="E1184" t="s">
        <v>122</v>
      </c>
      <c r="F1184" t="s">
        <v>154</v>
      </c>
      <c r="G1184" t="s">
        <v>216</v>
      </c>
      <c r="H1184" s="6">
        <v>110384.8114</v>
      </c>
      <c r="I1184" s="6">
        <v>0</v>
      </c>
      <c r="J1184" s="6">
        <v>110384.8114</v>
      </c>
    </row>
    <row r="1185" spans="1:10">
      <c r="A1185" t="s">
        <v>791</v>
      </c>
      <c r="B1185" s="5">
        <v>45870</v>
      </c>
      <c r="C1185" t="s">
        <v>152</v>
      </c>
      <c r="D1185" t="s">
        <v>153</v>
      </c>
      <c r="E1185" t="s">
        <v>150</v>
      </c>
      <c r="F1185" t="s">
        <v>154</v>
      </c>
      <c r="G1185" t="s">
        <v>216</v>
      </c>
      <c r="H1185" s="6">
        <v>0</v>
      </c>
      <c r="I1185" s="6">
        <v>110384.8114</v>
      </c>
      <c r="J1185" s="6">
        <v>-110384.8114</v>
      </c>
    </row>
    <row r="1186" spans="1:10">
      <c r="A1186" t="s">
        <v>792</v>
      </c>
      <c r="B1186" s="5">
        <v>45870</v>
      </c>
      <c r="C1186" t="s">
        <v>217</v>
      </c>
      <c r="D1186" t="s">
        <v>218</v>
      </c>
      <c r="E1186" t="s">
        <v>122</v>
      </c>
      <c r="F1186" t="s">
        <v>154</v>
      </c>
      <c r="G1186" t="s">
        <v>216</v>
      </c>
      <c r="H1186" s="6">
        <v>883132.1</v>
      </c>
      <c r="I1186" s="6">
        <v>0</v>
      </c>
      <c r="J1186" s="6">
        <v>883132.1</v>
      </c>
    </row>
    <row r="1187" spans="1:10">
      <c r="A1187" t="s">
        <v>792</v>
      </c>
      <c r="B1187" s="5">
        <v>45870</v>
      </c>
      <c r="C1187" t="s">
        <v>164</v>
      </c>
      <c r="D1187" t="s">
        <v>36</v>
      </c>
      <c r="E1187" t="s">
        <v>150</v>
      </c>
      <c r="F1187" t="s">
        <v>154</v>
      </c>
      <c r="G1187" t="s">
        <v>216</v>
      </c>
      <c r="H1187" s="6">
        <v>0</v>
      </c>
      <c r="I1187" s="6">
        <v>883132.1</v>
      </c>
      <c r="J1187" s="6">
        <v>-883132.1</v>
      </c>
    </row>
    <row r="1188" spans="1:10">
      <c r="A1188" t="s">
        <v>793</v>
      </c>
      <c r="B1188" s="5">
        <v>45870</v>
      </c>
      <c r="C1188" t="s">
        <v>217</v>
      </c>
      <c r="D1188" t="s">
        <v>218</v>
      </c>
      <c r="E1188" t="s">
        <v>122</v>
      </c>
      <c r="F1188" t="s">
        <v>154</v>
      </c>
      <c r="G1188" t="s">
        <v>216</v>
      </c>
      <c r="H1188" s="6">
        <v>110162</v>
      </c>
      <c r="I1188" s="6">
        <v>0</v>
      </c>
      <c r="J1188" s="6">
        <v>110162</v>
      </c>
    </row>
    <row r="1189" spans="1:10">
      <c r="A1189" t="s">
        <v>793</v>
      </c>
      <c r="B1189" s="5">
        <v>45870</v>
      </c>
      <c r="C1189" t="s">
        <v>167</v>
      </c>
      <c r="D1189" t="s">
        <v>51</v>
      </c>
      <c r="E1189" t="s">
        <v>150</v>
      </c>
      <c r="F1189" t="s">
        <v>154</v>
      </c>
      <c r="G1189" t="s">
        <v>216</v>
      </c>
      <c r="H1189" s="6">
        <v>0</v>
      </c>
      <c r="I1189" s="6">
        <v>110162</v>
      </c>
      <c r="J1189" s="6">
        <v>-110162</v>
      </c>
    </row>
    <row r="1190" spans="1:10">
      <c r="A1190" t="s">
        <v>794</v>
      </c>
      <c r="B1190" s="5">
        <v>45870</v>
      </c>
      <c r="C1190" t="s">
        <v>217</v>
      </c>
      <c r="D1190" t="s">
        <v>218</v>
      </c>
      <c r="E1190" t="s">
        <v>122</v>
      </c>
      <c r="F1190" t="s">
        <v>154</v>
      </c>
      <c r="G1190" t="s">
        <v>216</v>
      </c>
      <c r="H1190" s="6">
        <v>46751.21</v>
      </c>
      <c r="I1190" s="6">
        <v>0</v>
      </c>
      <c r="J1190" s="6">
        <v>46751.21</v>
      </c>
    </row>
    <row r="1191" spans="1:10">
      <c r="A1191" t="s">
        <v>794</v>
      </c>
      <c r="B1191" s="5">
        <v>45870</v>
      </c>
      <c r="C1191" t="s">
        <v>176</v>
      </c>
      <c r="D1191" t="s">
        <v>52</v>
      </c>
      <c r="E1191" t="s">
        <v>150</v>
      </c>
      <c r="F1191" t="s">
        <v>154</v>
      </c>
      <c r="G1191" t="s">
        <v>216</v>
      </c>
      <c r="H1191" s="6">
        <v>0</v>
      </c>
      <c r="I1191" s="6">
        <v>46751.21</v>
      </c>
      <c r="J1191" s="6">
        <v>-46751.21</v>
      </c>
    </row>
    <row r="1192" spans="1:10">
      <c r="A1192" t="s">
        <v>795</v>
      </c>
      <c r="B1192" s="5">
        <v>45870</v>
      </c>
      <c r="C1192" t="s">
        <v>217</v>
      </c>
      <c r="D1192" t="s">
        <v>218</v>
      </c>
      <c r="E1192" t="s">
        <v>122</v>
      </c>
      <c r="F1192" t="s">
        <v>154</v>
      </c>
      <c r="G1192" t="s">
        <v>216</v>
      </c>
      <c r="H1192" s="6">
        <v>33920</v>
      </c>
      <c r="I1192" s="6">
        <v>0</v>
      </c>
      <c r="J1192" s="6">
        <v>33920</v>
      </c>
    </row>
    <row r="1193" spans="1:10">
      <c r="A1193" t="s">
        <v>795</v>
      </c>
      <c r="B1193" s="5">
        <v>45870</v>
      </c>
      <c r="C1193" t="s">
        <v>179</v>
      </c>
      <c r="D1193" t="s">
        <v>54</v>
      </c>
      <c r="E1193" t="s">
        <v>150</v>
      </c>
      <c r="F1193" t="s">
        <v>154</v>
      </c>
      <c r="G1193" t="s">
        <v>216</v>
      </c>
      <c r="H1193" s="6">
        <v>0</v>
      </c>
      <c r="I1193" s="6">
        <v>33920</v>
      </c>
      <c r="J1193" s="6">
        <v>-33920</v>
      </c>
    </row>
    <row r="1194" spans="1:10">
      <c r="A1194" t="s">
        <v>796</v>
      </c>
      <c r="B1194" s="5">
        <v>45870</v>
      </c>
      <c r="C1194" t="s">
        <v>217</v>
      </c>
      <c r="D1194" t="s">
        <v>218</v>
      </c>
      <c r="E1194" t="s">
        <v>122</v>
      </c>
      <c r="F1194" t="s">
        <v>154</v>
      </c>
      <c r="G1194" t="s">
        <v>216</v>
      </c>
      <c r="H1194" s="6">
        <v>20160</v>
      </c>
      <c r="I1194" s="6">
        <v>0</v>
      </c>
      <c r="J1194" s="6">
        <v>20160</v>
      </c>
    </row>
    <row r="1195" spans="1:10">
      <c r="A1195" t="s">
        <v>796</v>
      </c>
      <c r="B1195" s="5">
        <v>45870</v>
      </c>
      <c r="C1195" t="s">
        <v>181</v>
      </c>
      <c r="D1195" t="s">
        <v>56</v>
      </c>
      <c r="E1195" t="s">
        <v>150</v>
      </c>
      <c r="F1195" t="s">
        <v>154</v>
      </c>
      <c r="G1195" t="s">
        <v>216</v>
      </c>
      <c r="H1195" s="6">
        <v>0</v>
      </c>
      <c r="I1195" s="6">
        <v>20160</v>
      </c>
      <c r="J1195" s="6">
        <v>-20160</v>
      </c>
    </row>
    <row r="1196" spans="1:10">
      <c r="A1196" t="s">
        <v>797</v>
      </c>
      <c r="B1196" s="5">
        <v>45870</v>
      </c>
      <c r="C1196" t="s">
        <v>217</v>
      </c>
      <c r="D1196" t="s">
        <v>218</v>
      </c>
      <c r="E1196" t="s">
        <v>122</v>
      </c>
      <c r="F1196" t="s">
        <v>154</v>
      </c>
      <c r="G1196" t="s">
        <v>216</v>
      </c>
      <c r="H1196" s="6">
        <v>28570.19</v>
      </c>
      <c r="I1196" s="6">
        <v>0</v>
      </c>
      <c r="J1196" s="6">
        <v>28570.19</v>
      </c>
    </row>
    <row r="1197" spans="1:10">
      <c r="A1197" t="s">
        <v>797</v>
      </c>
      <c r="B1197" s="5">
        <v>45870</v>
      </c>
      <c r="C1197" t="s">
        <v>183</v>
      </c>
      <c r="D1197" t="s">
        <v>59</v>
      </c>
      <c r="E1197" t="s">
        <v>150</v>
      </c>
      <c r="F1197" t="s">
        <v>154</v>
      </c>
      <c r="G1197" t="s">
        <v>216</v>
      </c>
      <c r="H1197" s="6">
        <v>0</v>
      </c>
      <c r="I1197" s="6">
        <v>28570.19</v>
      </c>
      <c r="J1197" s="6">
        <v>-28570.19</v>
      </c>
    </row>
    <row r="1198" spans="1:10">
      <c r="A1198" t="s">
        <v>798</v>
      </c>
      <c r="B1198" s="5">
        <v>45870</v>
      </c>
      <c r="C1198" t="s">
        <v>217</v>
      </c>
      <c r="D1198" t="s">
        <v>218</v>
      </c>
      <c r="E1198" t="s">
        <v>122</v>
      </c>
      <c r="F1198" t="s">
        <v>154</v>
      </c>
      <c r="G1198" t="s">
        <v>216</v>
      </c>
      <c r="H1198" s="6">
        <v>22740</v>
      </c>
      <c r="I1198" s="6">
        <v>0</v>
      </c>
      <c r="J1198" s="6">
        <v>22740</v>
      </c>
    </row>
    <row r="1199" spans="1:10">
      <c r="A1199" t="s">
        <v>798</v>
      </c>
      <c r="B1199" s="5">
        <v>45870</v>
      </c>
      <c r="C1199" t="s">
        <v>185</v>
      </c>
      <c r="D1199" t="s">
        <v>186</v>
      </c>
      <c r="E1199" t="s">
        <v>150</v>
      </c>
      <c r="F1199" t="s">
        <v>154</v>
      </c>
      <c r="G1199" t="s">
        <v>216</v>
      </c>
      <c r="H1199" s="6">
        <v>0</v>
      </c>
      <c r="I1199" s="6">
        <v>22740</v>
      </c>
      <c r="J1199" s="6">
        <v>-22740</v>
      </c>
    </row>
    <row r="1200" spans="1:10">
      <c r="A1200" t="s">
        <v>799</v>
      </c>
      <c r="B1200" s="5">
        <v>45870</v>
      </c>
      <c r="C1200" t="s">
        <v>217</v>
      </c>
      <c r="D1200" t="s">
        <v>218</v>
      </c>
      <c r="E1200" t="s">
        <v>122</v>
      </c>
      <c r="F1200" t="s">
        <v>154</v>
      </c>
      <c r="G1200" t="s">
        <v>216</v>
      </c>
      <c r="H1200" s="6">
        <v>9696</v>
      </c>
      <c r="I1200" s="6">
        <v>0</v>
      </c>
      <c r="J1200" s="6">
        <v>9696</v>
      </c>
    </row>
    <row r="1201" spans="1:10">
      <c r="A1201" t="s">
        <v>799</v>
      </c>
      <c r="B1201" s="5">
        <v>45870</v>
      </c>
      <c r="C1201" t="s">
        <v>191</v>
      </c>
      <c r="D1201" t="s">
        <v>104</v>
      </c>
      <c r="E1201" t="s">
        <v>150</v>
      </c>
      <c r="F1201" t="s">
        <v>154</v>
      </c>
      <c r="G1201" t="s">
        <v>216</v>
      </c>
      <c r="H1201" s="6">
        <v>0</v>
      </c>
      <c r="I1201" s="6">
        <v>9696</v>
      </c>
      <c r="J1201" s="6">
        <v>-9696</v>
      </c>
    </row>
    <row r="1202" spans="1:10">
      <c r="A1202" t="s">
        <v>800</v>
      </c>
      <c r="B1202" s="5">
        <v>45870</v>
      </c>
      <c r="C1202" t="s">
        <v>217</v>
      </c>
      <c r="D1202" t="s">
        <v>218</v>
      </c>
      <c r="E1202" t="s">
        <v>122</v>
      </c>
      <c r="F1202" t="s">
        <v>154</v>
      </c>
      <c r="G1202" t="s">
        <v>216</v>
      </c>
      <c r="H1202" s="6">
        <v>11263.69972400004</v>
      </c>
      <c r="I1202" s="6">
        <v>0</v>
      </c>
      <c r="J1202" s="6">
        <v>11263.69972400004</v>
      </c>
    </row>
    <row r="1203" spans="1:10">
      <c r="A1203" t="s">
        <v>800</v>
      </c>
      <c r="B1203" s="5">
        <v>45870</v>
      </c>
      <c r="C1203" t="s">
        <v>194</v>
      </c>
      <c r="D1203" t="s">
        <v>195</v>
      </c>
      <c r="E1203" t="s">
        <v>150</v>
      </c>
      <c r="F1203" t="s">
        <v>154</v>
      </c>
      <c r="G1203" t="s">
        <v>216</v>
      </c>
      <c r="H1203" s="6">
        <v>0</v>
      </c>
      <c r="I1203" s="6">
        <v>11263.69972400004</v>
      </c>
      <c r="J1203" s="6">
        <v>-11263.69972400004</v>
      </c>
    </row>
    <row r="1204" spans="1:10">
      <c r="A1204" t="s">
        <v>801</v>
      </c>
      <c r="B1204" s="5">
        <v>45901</v>
      </c>
      <c r="C1204" t="s">
        <v>146</v>
      </c>
      <c r="D1204" t="s">
        <v>86</v>
      </c>
      <c r="E1204" t="s">
        <v>120</v>
      </c>
      <c r="F1204" t="s">
        <v>52</v>
      </c>
      <c r="G1204" t="s">
        <v>147</v>
      </c>
      <c r="H1204" s="6">
        <v>1385311.35</v>
      </c>
      <c r="I1204" s="6">
        <v>0</v>
      </c>
      <c r="J1204" s="6">
        <v>1385311.35</v>
      </c>
    </row>
    <row r="1205" spans="1:10">
      <c r="A1205" t="s">
        <v>801</v>
      </c>
      <c r="B1205" s="5">
        <v>45901</v>
      </c>
      <c r="C1205" t="s">
        <v>148</v>
      </c>
      <c r="D1205" t="s">
        <v>149</v>
      </c>
      <c r="E1205" t="s">
        <v>150</v>
      </c>
      <c r="F1205" t="s">
        <v>52</v>
      </c>
      <c r="G1205" t="s">
        <v>147</v>
      </c>
      <c r="H1205" s="6">
        <v>0</v>
      </c>
      <c r="I1205" s="6">
        <v>1385311.35</v>
      </c>
      <c r="J1205" s="6">
        <v>-1385311.35</v>
      </c>
    </row>
    <row r="1206" spans="1:10">
      <c r="A1206" t="s">
        <v>802</v>
      </c>
      <c r="B1206" s="5">
        <v>45901</v>
      </c>
      <c r="C1206" t="s">
        <v>152</v>
      </c>
      <c r="D1206" t="s">
        <v>153</v>
      </c>
      <c r="E1206" t="s">
        <v>150</v>
      </c>
      <c r="F1206" t="s">
        <v>154</v>
      </c>
      <c r="G1206" t="s">
        <v>155</v>
      </c>
      <c r="H1206" s="6">
        <v>117751.46475</v>
      </c>
      <c r="I1206" s="6">
        <v>0</v>
      </c>
      <c r="J1206" s="6">
        <v>117751.46475</v>
      </c>
    </row>
    <row r="1207" spans="1:10">
      <c r="A1207" t="s">
        <v>802</v>
      </c>
      <c r="B1207" s="5">
        <v>45901</v>
      </c>
      <c r="C1207" t="s">
        <v>156</v>
      </c>
      <c r="D1207" t="s">
        <v>157</v>
      </c>
      <c r="E1207" t="s">
        <v>121</v>
      </c>
      <c r="F1207" t="s">
        <v>154</v>
      </c>
      <c r="G1207" t="s">
        <v>155</v>
      </c>
      <c r="H1207" s="6">
        <v>0</v>
      </c>
      <c r="I1207" s="6">
        <v>117751.46475</v>
      </c>
      <c r="J1207" s="6">
        <v>-117751.46475</v>
      </c>
    </row>
    <row r="1208" spans="1:10">
      <c r="A1208" t="s">
        <v>803</v>
      </c>
      <c r="B1208" s="5">
        <v>45901</v>
      </c>
      <c r="C1208" t="s">
        <v>159</v>
      </c>
      <c r="D1208" t="s">
        <v>160</v>
      </c>
      <c r="E1208" t="s">
        <v>120</v>
      </c>
      <c r="F1208" t="s">
        <v>58</v>
      </c>
      <c r="G1208" t="s">
        <v>161</v>
      </c>
      <c r="H1208" s="6">
        <v>1060903.148</v>
      </c>
      <c r="I1208" s="6">
        <v>0</v>
      </c>
      <c r="J1208" s="6">
        <v>1060903.148</v>
      </c>
    </row>
    <row r="1209" spans="1:10">
      <c r="A1209" t="s">
        <v>803</v>
      </c>
      <c r="B1209" s="5">
        <v>45901</v>
      </c>
      <c r="C1209" t="s">
        <v>162</v>
      </c>
      <c r="D1209" t="s">
        <v>88</v>
      </c>
      <c r="E1209" t="s">
        <v>121</v>
      </c>
      <c r="F1209" t="s">
        <v>58</v>
      </c>
      <c r="G1209" t="s">
        <v>161</v>
      </c>
      <c r="H1209" s="6">
        <v>0</v>
      </c>
      <c r="I1209" s="6">
        <v>1060903.148</v>
      </c>
      <c r="J1209" s="6">
        <v>-1060903.148</v>
      </c>
    </row>
    <row r="1210" spans="1:10">
      <c r="A1210" t="s">
        <v>804</v>
      </c>
      <c r="B1210" s="5">
        <v>45901</v>
      </c>
      <c r="C1210" t="s">
        <v>164</v>
      </c>
      <c r="D1210" t="s">
        <v>36</v>
      </c>
      <c r="E1210" t="s">
        <v>150</v>
      </c>
      <c r="F1210" t="s">
        <v>58</v>
      </c>
      <c r="G1210" t="s">
        <v>165</v>
      </c>
      <c r="H1210" s="6">
        <v>941100.92</v>
      </c>
      <c r="I1210" s="6">
        <v>0</v>
      </c>
      <c r="J1210" s="6">
        <v>941100.92</v>
      </c>
    </row>
    <row r="1211" spans="1:10">
      <c r="A1211" t="s">
        <v>804</v>
      </c>
      <c r="B1211" s="5">
        <v>45901</v>
      </c>
      <c r="C1211" t="s">
        <v>159</v>
      </c>
      <c r="D1211" t="s">
        <v>160</v>
      </c>
      <c r="E1211" t="s">
        <v>120</v>
      </c>
      <c r="F1211" t="s">
        <v>58</v>
      </c>
      <c r="G1211" t="s">
        <v>165</v>
      </c>
      <c r="H1211" s="6">
        <v>0</v>
      </c>
      <c r="I1211" s="6">
        <v>941100.92</v>
      </c>
      <c r="J1211" s="6">
        <v>-941100.92</v>
      </c>
    </row>
    <row r="1212" spans="1:10">
      <c r="A1212" t="s">
        <v>805</v>
      </c>
      <c r="B1212" s="5">
        <v>45901</v>
      </c>
      <c r="C1212" t="s">
        <v>167</v>
      </c>
      <c r="D1212" t="s">
        <v>51</v>
      </c>
      <c r="E1212" t="s">
        <v>150</v>
      </c>
      <c r="F1212" t="s">
        <v>51</v>
      </c>
      <c r="G1212" t="s">
        <v>168</v>
      </c>
      <c r="H1212" s="6">
        <v>110162</v>
      </c>
      <c r="I1212" s="6">
        <v>0</v>
      </c>
      <c r="J1212" s="6">
        <v>110162</v>
      </c>
    </row>
    <row r="1213" spans="1:10">
      <c r="A1213" t="s">
        <v>805</v>
      </c>
      <c r="B1213" s="5">
        <v>45901</v>
      </c>
      <c r="C1213" t="s">
        <v>169</v>
      </c>
      <c r="D1213" t="s">
        <v>170</v>
      </c>
      <c r="E1213" t="s">
        <v>121</v>
      </c>
      <c r="F1213" t="s">
        <v>51</v>
      </c>
      <c r="G1213" t="s">
        <v>168</v>
      </c>
      <c r="H1213" s="6">
        <v>0</v>
      </c>
      <c r="I1213" s="6">
        <v>110162</v>
      </c>
      <c r="J1213" s="6">
        <v>-110162</v>
      </c>
    </row>
    <row r="1214" spans="1:10">
      <c r="A1214" t="s">
        <v>806</v>
      </c>
      <c r="B1214" s="5">
        <v>45901</v>
      </c>
      <c r="C1214" t="s">
        <v>169</v>
      </c>
      <c r="D1214" t="s">
        <v>170</v>
      </c>
      <c r="E1214" t="s">
        <v>121</v>
      </c>
      <c r="F1214" t="s">
        <v>51</v>
      </c>
      <c r="G1214" t="s">
        <v>172</v>
      </c>
      <c r="H1214" s="6">
        <v>110162</v>
      </c>
      <c r="I1214" s="6">
        <v>0</v>
      </c>
      <c r="J1214" s="6">
        <v>110162</v>
      </c>
    </row>
    <row r="1215" spans="1:10">
      <c r="A1215" t="s">
        <v>806</v>
      </c>
      <c r="B1215" s="5">
        <v>45901</v>
      </c>
      <c r="C1215" t="s">
        <v>173</v>
      </c>
      <c r="D1215" t="s">
        <v>174</v>
      </c>
      <c r="E1215" t="s">
        <v>120</v>
      </c>
      <c r="F1215" t="s">
        <v>51</v>
      </c>
      <c r="G1215" t="s">
        <v>172</v>
      </c>
      <c r="H1215" s="6">
        <v>0</v>
      </c>
      <c r="I1215" s="6">
        <v>110162</v>
      </c>
      <c r="J1215" s="6">
        <v>-110162</v>
      </c>
    </row>
    <row r="1216" spans="1:10">
      <c r="A1216" t="s">
        <v>807</v>
      </c>
      <c r="B1216" s="5">
        <v>45901</v>
      </c>
      <c r="C1216" t="s">
        <v>176</v>
      </c>
      <c r="D1216" t="s">
        <v>52</v>
      </c>
      <c r="E1216" t="s">
        <v>150</v>
      </c>
      <c r="F1216" t="s">
        <v>52</v>
      </c>
      <c r="G1216" t="s">
        <v>177</v>
      </c>
      <c r="H1216" s="6">
        <v>49871.21</v>
      </c>
      <c r="I1216" s="6">
        <v>0</v>
      </c>
      <c r="J1216" s="6">
        <v>49871.21</v>
      </c>
    </row>
    <row r="1217" spans="1:10">
      <c r="A1217" t="s">
        <v>807</v>
      </c>
      <c r="B1217" s="5">
        <v>45901</v>
      </c>
      <c r="C1217" t="s">
        <v>173</v>
      </c>
      <c r="D1217" t="s">
        <v>174</v>
      </c>
      <c r="E1217" t="s">
        <v>120</v>
      </c>
      <c r="F1217" t="s">
        <v>52</v>
      </c>
      <c r="G1217" t="s">
        <v>177</v>
      </c>
      <c r="H1217" s="6">
        <v>0</v>
      </c>
      <c r="I1217" s="6">
        <v>49871.21</v>
      </c>
      <c r="J1217" s="6">
        <v>-49871.21</v>
      </c>
    </row>
    <row r="1218" spans="1:10">
      <c r="A1218" t="s">
        <v>808</v>
      </c>
      <c r="B1218" s="5">
        <v>45901</v>
      </c>
      <c r="C1218" t="s">
        <v>179</v>
      </c>
      <c r="D1218" t="s">
        <v>54</v>
      </c>
      <c r="E1218" t="s">
        <v>150</v>
      </c>
      <c r="F1218" t="s">
        <v>54</v>
      </c>
      <c r="G1218" t="s">
        <v>177</v>
      </c>
      <c r="H1218" s="6">
        <v>33920</v>
      </c>
      <c r="I1218" s="6">
        <v>0</v>
      </c>
      <c r="J1218" s="6">
        <v>33920</v>
      </c>
    </row>
    <row r="1219" spans="1:10">
      <c r="A1219" t="s">
        <v>808</v>
      </c>
      <c r="B1219" s="5">
        <v>45901</v>
      </c>
      <c r="C1219" t="s">
        <v>173</v>
      </c>
      <c r="D1219" t="s">
        <v>174</v>
      </c>
      <c r="E1219" t="s">
        <v>120</v>
      </c>
      <c r="F1219" t="s">
        <v>54</v>
      </c>
      <c r="G1219" t="s">
        <v>177</v>
      </c>
      <c r="H1219" s="6">
        <v>0</v>
      </c>
      <c r="I1219" s="6">
        <v>33920</v>
      </c>
      <c r="J1219" s="6">
        <v>-33920</v>
      </c>
    </row>
    <row r="1220" spans="1:10">
      <c r="A1220" t="s">
        <v>809</v>
      </c>
      <c r="B1220" s="5">
        <v>45901</v>
      </c>
      <c r="C1220" t="s">
        <v>181</v>
      </c>
      <c r="D1220" t="s">
        <v>56</v>
      </c>
      <c r="E1220" t="s">
        <v>150</v>
      </c>
      <c r="F1220" t="s">
        <v>56</v>
      </c>
      <c r="G1220" t="s">
        <v>177</v>
      </c>
      <c r="H1220" s="6">
        <v>20160</v>
      </c>
      <c r="I1220" s="6">
        <v>0</v>
      </c>
      <c r="J1220" s="6">
        <v>20160</v>
      </c>
    </row>
    <row r="1221" spans="1:10">
      <c r="A1221" t="s">
        <v>809</v>
      </c>
      <c r="B1221" s="5">
        <v>45901</v>
      </c>
      <c r="C1221" t="s">
        <v>173</v>
      </c>
      <c r="D1221" t="s">
        <v>174</v>
      </c>
      <c r="E1221" t="s">
        <v>120</v>
      </c>
      <c r="F1221" t="s">
        <v>56</v>
      </c>
      <c r="G1221" t="s">
        <v>177</v>
      </c>
      <c r="H1221" s="6">
        <v>0</v>
      </c>
      <c r="I1221" s="6">
        <v>20160</v>
      </c>
      <c r="J1221" s="6">
        <v>-20160</v>
      </c>
    </row>
    <row r="1222" spans="1:10">
      <c r="A1222" t="s">
        <v>810</v>
      </c>
      <c r="B1222" s="5">
        <v>45901</v>
      </c>
      <c r="C1222" t="s">
        <v>183</v>
      </c>
      <c r="D1222" t="s">
        <v>59</v>
      </c>
      <c r="E1222" t="s">
        <v>150</v>
      </c>
      <c r="F1222" t="s">
        <v>66</v>
      </c>
      <c r="G1222" t="s">
        <v>177</v>
      </c>
      <c r="H1222" s="6">
        <v>30476.85</v>
      </c>
      <c r="I1222" s="6">
        <v>0</v>
      </c>
      <c r="J1222" s="6">
        <v>30476.85</v>
      </c>
    </row>
    <row r="1223" spans="1:10">
      <c r="A1223" t="s">
        <v>810</v>
      </c>
      <c r="B1223" s="5">
        <v>45901</v>
      </c>
      <c r="C1223" t="s">
        <v>173</v>
      </c>
      <c r="D1223" t="s">
        <v>174</v>
      </c>
      <c r="E1223" t="s">
        <v>120</v>
      </c>
      <c r="F1223" t="s">
        <v>66</v>
      </c>
      <c r="G1223" t="s">
        <v>177</v>
      </c>
      <c r="H1223" s="6">
        <v>0</v>
      </c>
      <c r="I1223" s="6">
        <v>30476.85</v>
      </c>
      <c r="J1223" s="6">
        <v>-30476.85</v>
      </c>
    </row>
    <row r="1224" spans="1:10">
      <c r="A1224" t="s">
        <v>811</v>
      </c>
      <c r="B1224" s="5">
        <v>45901</v>
      </c>
      <c r="C1224" t="s">
        <v>185</v>
      </c>
      <c r="D1224" t="s">
        <v>186</v>
      </c>
      <c r="E1224" t="s">
        <v>150</v>
      </c>
      <c r="F1224" t="s">
        <v>154</v>
      </c>
      <c r="G1224" t="s">
        <v>187</v>
      </c>
      <c r="H1224" s="6">
        <v>22920</v>
      </c>
      <c r="I1224" s="6">
        <v>0</v>
      </c>
      <c r="J1224" s="6">
        <v>22920</v>
      </c>
    </row>
    <row r="1225" spans="1:10">
      <c r="A1225" t="s">
        <v>811</v>
      </c>
      <c r="B1225" s="5">
        <v>45901</v>
      </c>
      <c r="C1225" t="s">
        <v>188</v>
      </c>
      <c r="D1225" t="s">
        <v>189</v>
      </c>
      <c r="E1225" t="s">
        <v>120</v>
      </c>
      <c r="F1225" t="s">
        <v>154</v>
      </c>
      <c r="G1225" t="s">
        <v>187</v>
      </c>
      <c r="H1225" s="6">
        <v>0</v>
      </c>
      <c r="I1225" s="6">
        <v>22920</v>
      </c>
      <c r="J1225" s="6">
        <v>-22920</v>
      </c>
    </row>
    <row r="1226" spans="1:10">
      <c r="A1226" t="s">
        <v>812</v>
      </c>
      <c r="B1226" s="5">
        <v>45901</v>
      </c>
      <c r="C1226" t="s">
        <v>191</v>
      </c>
      <c r="D1226" t="s">
        <v>104</v>
      </c>
      <c r="E1226" t="s">
        <v>150</v>
      </c>
      <c r="F1226" t="s">
        <v>154</v>
      </c>
      <c r="G1226" t="s">
        <v>192</v>
      </c>
      <c r="H1226" s="6">
        <v>9480</v>
      </c>
      <c r="I1226" s="6">
        <v>0</v>
      </c>
      <c r="J1226" s="6">
        <v>9480</v>
      </c>
    </row>
    <row r="1227" spans="1:10">
      <c r="A1227" t="s">
        <v>812</v>
      </c>
      <c r="B1227" s="5">
        <v>45901</v>
      </c>
      <c r="C1227" t="s">
        <v>173</v>
      </c>
      <c r="D1227" t="s">
        <v>174</v>
      </c>
      <c r="E1227" t="s">
        <v>120</v>
      </c>
      <c r="F1227" t="s">
        <v>154</v>
      </c>
      <c r="G1227" t="s">
        <v>192</v>
      </c>
      <c r="H1227" s="6">
        <v>0</v>
      </c>
      <c r="I1227" s="6">
        <v>9480</v>
      </c>
      <c r="J1227" s="6">
        <v>-9480</v>
      </c>
    </row>
    <row r="1228" spans="1:10">
      <c r="A1228" t="s">
        <v>813</v>
      </c>
      <c r="B1228" s="5">
        <v>45901</v>
      </c>
      <c r="C1228" t="s">
        <v>194</v>
      </c>
      <c r="D1228" t="s">
        <v>195</v>
      </c>
      <c r="E1228" t="s">
        <v>150</v>
      </c>
      <c r="F1228" t="s">
        <v>154</v>
      </c>
      <c r="G1228" t="s">
        <v>196</v>
      </c>
      <c r="H1228" s="6">
        <v>16819.427785</v>
      </c>
      <c r="I1228" s="6">
        <v>0</v>
      </c>
      <c r="J1228" s="6">
        <v>16819.427785</v>
      </c>
    </row>
    <row r="1229" spans="1:10">
      <c r="A1229" t="s">
        <v>813</v>
      </c>
      <c r="B1229" s="5">
        <v>45901</v>
      </c>
      <c r="C1229" t="s">
        <v>197</v>
      </c>
      <c r="D1229" t="s">
        <v>198</v>
      </c>
      <c r="E1229" t="s">
        <v>121</v>
      </c>
      <c r="F1229" t="s">
        <v>154</v>
      </c>
      <c r="G1229" t="s">
        <v>196</v>
      </c>
      <c r="H1229" s="6">
        <v>0</v>
      </c>
      <c r="I1229" s="6">
        <v>16819.427785</v>
      </c>
      <c r="J1229" s="6">
        <v>-16819.427785</v>
      </c>
    </row>
    <row r="1230" spans="1:10">
      <c r="A1230" t="s">
        <v>814</v>
      </c>
      <c r="B1230" s="5">
        <v>45901</v>
      </c>
      <c r="C1230" t="s">
        <v>173</v>
      </c>
      <c r="D1230" t="s">
        <v>174</v>
      </c>
      <c r="E1230" t="s">
        <v>120</v>
      </c>
      <c r="F1230" t="s">
        <v>154</v>
      </c>
      <c r="G1230" t="s">
        <v>200</v>
      </c>
      <c r="H1230" s="6">
        <v>1211978.33</v>
      </c>
      <c r="I1230" s="6">
        <v>0</v>
      </c>
      <c r="J1230" s="6">
        <v>1211978.33</v>
      </c>
    </row>
    <row r="1231" spans="1:10">
      <c r="A1231" t="s">
        <v>814</v>
      </c>
      <c r="B1231" s="5">
        <v>45901</v>
      </c>
      <c r="C1231" t="s">
        <v>146</v>
      </c>
      <c r="D1231" t="s">
        <v>86</v>
      </c>
      <c r="E1231" t="s">
        <v>120</v>
      </c>
      <c r="F1231" t="s">
        <v>154</v>
      </c>
      <c r="G1231" t="s">
        <v>200</v>
      </c>
      <c r="H1231" s="6">
        <v>0</v>
      </c>
      <c r="I1231" s="6">
        <v>1211978.33</v>
      </c>
      <c r="J1231" s="6">
        <v>-1211978.33</v>
      </c>
    </row>
    <row r="1232" spans="1:10">
      <c r="A1232" t="s">
        <v>815</v>
      </c>
      <c r="B1232" s="5">
        <v>45901</v>
      </c>
      <c r="C1232" t="s">
        <v>162</v>
      </c>
      <c r="D1232" t="s">
        <v>88</v>
      </c>
      <c r="E1232" t="s">
        <v>121</v>
      </c>
      <c r="F1232" t="s">
        <v>154</v>
      </c>
      <c r="G1232" t="s">
        <v>202</v>
      </c>
      <c r="H1232" s="6">
        <v>993272.8580000002</v>
      </c>
      <c r="I1232" s="6">
        <v>0</v>
      </c>
      <c r="J1232" s="6">
        <v>993272.8580000002</v>
      </c>
    </row>
    <row r="1233" spans="1:10">
      <c r="A1233" t="s">
        <v>815</v>
      </c>
      <c r="B1233" s="5">
        <v>45901</v>
      </c>
      <c r="C1233" t="s">
        <v>173</v>
      </c>
      <c r="D1233" t="s">
        <v>174</v>
      </c>
      <c r="E1233" t="s">
        <v>120</v>
      </c>
      <c r="F1233" t="s">
        <v>154</v>
      </c>
      <c r="G1233" t="s">
        <v>202</v>
      </c>
      <c r="H1233" s="6">
        <v>0</v>
      </c>
      <c r="I1233" s="6">
        <v>993272.8580000002</v>
      </c>
      <c r="J1233" s="6">
        <v>-993272.8580000002</v>
      </c>
    </row>
    <row r="1234" spans="1:10">
      <c r="A1234" t="s">
        <v>816</v>
      </c>
      <c r="B1234" s="5">
        <v>45901</v>
      </c>
      <c r="C1234" t="s">
        <v>156</v>
      </c>
      <c r="D1234" t="s">
        <v>157</v>
      </c>
      <c r="E1234" t="s">
        <v>121</v>
      </c>
      <c r="F1234" t="s">
        <v>154</v>
      </c>
      <c r="G1234" t="s">
        <v>204</v>
      </c>
      <c r="H1234" s="6">
        <v>110384.8114</v>
      </c>
      <c r="I1234" s="6">
        <v>0</v>
      </c>
      <c r="J1234" s="6">
        <v>110384.8114</v>
      </c>
    </row>
    <row r="1235" spans="1:10">
      <c r="A1235" t="s">
        <v>816</v>
      </c>
      <c r="B1235" s="5">
        <v>45901</v>
      </c>
      <c r="C1235" t="s">
        <v>173</v>
      </c>
      <c r="D1235" t="s">
        <v>174</v>
      </c>
      <c r="E1235" t="s">
        <v>120</v>
      </c>
      <c r="F1235" t="s">
        <v>154</v>
      </c>
      <c r="G1235" t="s">
        <v>204</v>
      </c>
      <c r="H1235" s="6">
        <v>0</v>
      </c>
      <c r="I1235" s="6">
        <v>110384.8114</v>
      </c>
      <c r="J1235" s="6">
        <v>-110384.8114</v>
      </c>
    </row>
    <row r="1236" spans="1:10">
      <c r="A1236" t="s">
        <v>817</v>
      </c>
      <c r="B1236" s="5">
        <v>45901</v>
      </c>
      <c r="C1236" t="s">
        <v>197</v>
      </c>
      <c r="D1236" t="s">
        <v>198</v>
      </c>
      <c r="E1236" t="s">
        <v>121</v>
      </c>
      <c r="F1236" t="s">
        <v>154</v>
      </c>
      <c r="G1236" t="s">
        <v>206</v>
      </c>
      <c r="H1236" s="6">
        <v>11263.69972400004</v>
      </c>
      <c r="I1236" s="6">
        <v>0</v>
      </c>
      <c r="J1236" s="6">
        <v>11263.69972400004</v>
      </c>
    </row>
    <row r="1237" spans="1:10">
      <c r="A1237" t="s">
        <v>817</v>
      </c>
      <c r="B1237" s="5">
        <v>45901</v>
      </c>
      <c r="C1237" t="s">
        <v>173</v>
      </c>
      <c r="D1237" t="s">
        <v>174</v>
      </c>
      <c r="E1237" t="s">
        <v>120</v>
      </c>
      <c r="F1237" t="s">
        <v>154</v>
      </c>
      <c r="G1237" t="s">
        <v>206</v>
      </c>
      <c r="H1237" s="6">
        <v>0</v>
      </c>
      <c r="I1237" s="6">
        <v>11263.69972400004</v>
      </c>
      <c r="J1237" s="6">
        <v>-11263.69972400004</v>
      </c>
    </row>
    <row r="1238" spans="1:10">
      <c r="A1238" t="s">
        <v>818</v>
      </c>
      <c r="B1238" s="5">
        <v>45901</v>
      </c>
      <c r="C1238" t="s">
        <v>208</v>
      </c>
      <c r="D1238" t="s">
        <v>209</v>
      </c>
      <c r="E1238" t="s">
        <v>120</v>
      </c>
      <c r="F1238" t="s">
        <v>154</v>
      </c>
      <c r="G1238" t="s">
        <v>210</v>
      </c>
      <c r="H1238" s="6">
        <v>90000</v>
      </c>
      <c r="I1238" s="6">
        <v>0</v>
      </c>
      <c r="J1238" s="6">
        <v>90000</v>
      </c>
    </row>
    <row r="1239" spans="1:10">
      <c r="A1239" t="s">
        <v>818</v>
      </c>
      <c r="B1239" s="5">
        <v>45901</v>
      </c>
      <c r="C1239" t="s">
        <v>173</v>
      </c>
      <c r="D1239" t="s">
        <v>174</v>
      </c>
      <c r="E1239" t="s">
        <v>120</v>
      </c>
      <c r="F1239" t="s">
        <v>154</v>
      </c>
      <c r="G1239" t="s">
        <v>210</v>
      </c>
      <c r="H1239" s="6">
        <v>0</v>
      </c>
      <c r="I1239" s="6">
        <v>90000</v>
      </c>
      <c r="J1239" s="6">
        <v>-90000</v>
      </c>
    </row>
    <row r="1240" spans="1:10">
      <c r="A1240" t="s">
        <v>819</v>
      </c>
      <c r="B1240" s="5">
        <v>45901</v>
      </c>
      <c r="C1240" t="s">
        <v>212</v>
      </c>
      <c r="D1240" t="s">
        <v>213</v>
      </c>
      <c r="E1240" t="s">
        <v>121</v>
      </c>
      <c r="F1240" t="s">
        <v>154</v>
      </c>
      <c r="G1240" t="s">
        <v>214</v>
      </c>
      <c r="H1240" s="6">
        <v>18000</v>
      </c>
      <c r="I1240" s="6">
        <v>0</v>
      </c>
      <c r="J1240" s="6">
        <v>18000</v>
      </c>
    </row>
    <row r="1241" spans="1:10">
      <c r="A1241" t="s">
        <v>819</v>
      </c>
      <c r="B1241" s="5">
        <v>45901</v>
      </c>
      <c r="C1241" t="s">
        <v>173</v>
      </c>
      <c r="D1241" t="s">
        <v>174</v>
      </c>
      <c r="E1241" t="s">
        <v>120</v>
      </c>
      <c r="F1241" t="s">
        <v>154</v>
      </c>
      <c r="G1241" t="s">
        <v>214</v>
      </c>
      <c r="H1241" s="6">
        <v>0</v>
      </c>
      <c r="I1241" s="6">
        <v>18000</v>
      </c>
      <c r="J1241" s="6">
        <v>-18000</v>
      </c>
    </row>
    <row r="1242" spans="1:10">
      <c r="A1242" t="s">
        <v>820</v>
      </c>
      <c r="B1242" s="5">
        <v>45901</v>
      </c>
      <c r="C1242" t="s">
        <v>148</v>
      </c>
      <c r="D1242" t="s">
        <v>149</v>
      </c>
      <c r="E1242" t="s">
        <v>150</v>
      </c>
      <c r="F1242" t="s">
        <v>154</v>
      </c>
      <c r="G1242" t="s">
        <v>216</v>
      </c>
      <c r="H1242" s="6">
        <v>1385311.35</v>
      </c>
      <c r="I1242" s="6">
        <v>0</v>
      </c>
      <c r="J1242" s="6">
        <v>1385311.35</v>
      </c>
    </row>
    <row r="1243" spans="1:10">
      <c r="A1243" t="s">
        <v>820</v>
      </c>
      <c r="B1243" s="5">
        <v>45901</v>
      </c>
      <c r="C1243" t="s">
        <v>217</v>
      </c>
      <c r="D1243" t="s">
        <v>218</v>
      </c>
      <c r="E1243" t="s">
        <v>122</v>
      </c>
      <c r="F1243" t="s">
        <v>154</v>
      </c>
      <c r="G1243" t="s">
        <v>216</v>
      </c>
      <c r="H1243" s="6">
        <v>0</v>
      </c>
      <c r="I1243" s="6">
        <v>1385311.35</v>
      </c>
      <c r="J1243" s="6">
        <v>-1385311.35</v>
      </c>
    </row>
    <row r="1244" spans="1:10">
      <c r="A1244" t="s">
        <v>821</v>
      </c>
      <c r="B1244" s="5">
        <v>45901</v>
      </c>
      <c r="C1244" t="s">
        <v>217</v>
      </c>
      <c r="D1244" t="s">
        <v>218</v>
      </c>
      <c r="E1244" t="s">
        <v>122</v>
      </c>
      <c r="F1244" t="s">
        <v>154</v>
      </c>
      <c r="G1244" t="s">
        <v>216</v>
      </c>
      <c r="H1244" s="6">
        <v>117751.46475</v>
      </c>
      <c r="I1244" s="6">
        <v>0</v>
      </c>
      <c r="J1244" s="6">
        <v>117751.46475</v>
      </c>
    </row>
    <row r="1245" spans="1:10">
      <c r="A1245" t="s">
        <v>821</v>
      </c>
      <c r="B1245" s="5">
        <v>45901</v>
      </c>
      <c r="C1245" t="s">
        <v>152</v>
      </c>
      <c r="D1245" t="s">
        <v>153</v>
      </c>
      <c r="E1245" t="s">
        <v>150</v>
      </c>
      <c r="F1245" t="s">
        <v>154</v>
      </c>
      <c r="G1245" t="s">
        <v>216</v>
      </c>
      <c r="H1245" s="6">
        <v>0</v>
      </c>
      <c r="I1245" s="6">
        <v>117751.46475</v>
      </c>
      <c r="J1245" s="6">
        <v>-117751.46475</v>
      </c>
    </row>
    <row r="1246" spans="1:10">
      <c r="A1246" t="s">
        <v>822</v>
      </c>
      <c r="B1246" s="5">
        <v>45901</v>
      </c>
      <c r="C1246" t="s">
        <v>217</v>
      </c>
      <c r="D1246" t="s">
        <v>218</v>
      </c>
      <c r="E1246" t="s">
        <v>122</v>
      </c>
      <c r="F1246" t="s">
        <v>154</v>
      </c>
      <c r="G1246" t="s">
        <v>216</v>
      </c>
      <c r="H1246" s="6">
        <v>941100.92</v>
      </c>
      <c r="I1246" s="6">
        <v>0</v>
      </c>
      <c r="J1246" s="6">
        <v>941100.92</v>
      </c>
    </row>
    <row r="1247" spans="1:10">
      <c r="A1247" t="s">
        <v>822</v>
      </c>
      <c r="B1247" s="5">
        <v>45901</v>
      </c>
      <c r="C1247" t="s">
        <v>164</v>
      </c>
      <c r="D1247" t="s">
        <v>36</v>
      </c>
      <c r="E1247" t="s">
        <v>150</v>
      </c>
      <c r="F1247" t="s">
        <v>154</v>
      </c>
      <c r="G1247" t="s">
        <v>216</v>
      </c>
      <c r="H1247" s="6">
        <v>0</v>
      </c>
      <c r="I1247" s="6">
        <v>941100.92</v>
      </c>
      <c r="J1247" s="6">
        <v>-941100.92</v>
      </c>
    </row>
    <row r="1248" spans="1:10">
      <c r="A1248" t="s">
        <v>823</v>
      </c>
      <c r="B1248" s="5">
        <v>45901</v>
      </c>
      <c r="C1248" t="s">
        <v>217</v>
      </c>
      <c r="D1248" t="s">
        <v>218</v>
      </c>
      <c r="E1248" t="s">
        <v>122</v>
      </c>
      <c r="F1248" t="s">
        <v>154</v>
      </c>
      <c r="G1248" t="s">
        <v>216</v>
      </c>
      <c r="H1248" s="6">
        <v>110162</v>
      </c>
      <c r="I1248" s="6">
        <v>0</v>
      </c>
      <c r="J1248" s="6">
        <v>110162</v>
      </c>
    </row>
    <row r="1249" spans="1:10">
      <c r="A1249" t="s">
        <v>823</v>
      </c>
      <c r="B1249" s="5">
        <v>45901</v>
      </c>
      <c r="C1249" t="s">
        <v>167</v>
      </c>
      <c r="D1249" t="s">
        <v>51</v>
      </c>
      <c r="E1249" t="s">
        <v>150</v>
      </c>
      <c r="F1249" t="s">
        <v>154</v>
      </c>
      <c r="G1249" t="s">
        <v>216</v>
      </c>
      <c r="H1249" s="6">
        <v>0</v>
      </c>
      <c r="I1249" s="6">
        <v>110162</v>
      </c>
      <c r="J1249" s="6">
        <v>-110162</v>
      </c>
    </row>
    <row r="1250" spans="1:10">
      <c r="A1250" t="s">
        <v>824</v>
      </c>
      <c r="B1250" s="5">
        <v>45901</v>
      </c>
      <c r="C1250" t="s">
        <v>217</v>
      </c>
      <c r="D1250" t="s">
        <v>218</v>
      </c>
      <c r="E1250" t="s">
        <v>122</v>
      </c>
      <c r="F1250" t="s">
        <v>154</v>
      </c>
      <c r="G1250" t="s">
        <v>216</v>
      </c>
      <c r="H1250" s="6">
        <v>49871.21</v>
      </c>
      <c r="I1250" s="6">
        <v>0</v>
      </c>
      <c r="J1250" s="6">
        <v>49871.21</v>
      </c>
    </row>
    <row r="1251" spans="1:10">
      <c r="A1251" t="s">
        <v>824</v>
      </c>
      <c r="B1251" s="5">
        <v>45901</v>
      </c>
      <c r="C1251" t="s">
        <v>176</v>
      </c>
      <c r="D1251" t="s">
        <v>52</v>
      </c>
      <c r="E1251" t="s">
        <v>150</v>
      </c>
      <c r="F1251" t="s">
        <v>154</v>
      </c>
      <c r="G1251" t="s">
        <v>216</v>
      </c>
      <c r="H1251" s="6">
        <v>0</v>
      </c>
      <c r="I1251" s="6">
        <v>49871.21</v>
      </c>
      <c r="J1251" s="6">
        <v>-49871.21</v>
      </c>
    </row>
    <row r="1252" spans="1:10">
      <c r="A1252" t="s">
        <v>825</v>
      </c>
      <c r="B1252" s="5">
        <v>45901</v>
      </c>
      <c r="C1252" t="s">
        <v>217</v>
      </c>
      <c r="D1252" t="s">
        <v>218</v>
      </c>
      <c r="E1252" t="s">
        <v>122</v>
      </c>
      <c r="F1252" t="s">
        <v>154</v>
      </c>
      <c r="G1252" t="s">
        <v>216</v>
      </c>
      <c r="H1252" s="6">
        <v>33920</v>
      </c>
      <c r="I1252" s="6">
        <v>0</v>
      </c>
      <c r="J1252" s="6">
        <v>33920</v>
      </c>
    </row>
    <row r="1253" spans="1:10">
      <c r="A1253" t="s">
        <v>825</v>
      </c>
      <c r="B1253" s="5">
        <v>45901</v>
      </c>
      <c r="C1253" t="s">
        <v>179</v>
      </c>
      <c r="D1253" t="s">
        <v>54</v>
      </c>
      <c r="E1253" t="s">
        <v>150</v>
      </c>
      <c r="F1253" t="s">
        <v>154</v>
      </c>
      <c r="G1253" t="s">
        <v>216</v>
      </c>
      <c r="H1253" s="6">
        <v>0</v>
      </c>
      <c r="I1253" s="6">
        <v>33920</v>
      </c>
      <c r="J1253" s="6">
        <v>-33920</v>
      </c>
    </row>
    <row r="1254" spans="1:10">
      <c r="A1254" t="s">
        <v>826</v>
      </c>
      <c r="B1254" s="5">
        <v>45901</v>
      </c>
      <c r="C1254" t="s">
        <v>217</v>
      </c>
      <c r="D1254" t="s">
        <v>218</v>
      </c>
      <c r="E1254" t="s">
        <v>122</v>
      </c>
      <c r="F1254" t="s">
        <v>154</v>
      </c>
      <c r="G1254" t="s">
        <v>216</v>
      </c>
      <c r="H1254" s="6">
        <v>20160</v>
      </c>
      <c r="I1254" s="6">
        <v>0</v>
      </c>
      <c r="J1254" s="6">
        <v>20160</v>
      </c>
    </row>
    <row r="1255" spans="1:10">
      <c r="A1255" t="s">
        <v>826</v>
      </c>
      <c r="B1255" s="5">
        <v>45901</v>
      </c>
      <c r="C1255" t="s">
        <v>181</v>
      </c>
      <c r="D1255" t="s">
        <v>56</v>
      </c>
      <c r="E1255" t="s">
        <v>150</v>
      </c>
      <c r="F1255" t="s">
        <v>154</v>
      </c>
      <c r="G1255" t="s">
        <v>216</v>
      </c>
      <c r="H1255" s="6">
        <v>0</v>
      </c>
      <c r="I1255" s="6">
        <v>20160</v>
      </c>
      <c r="J1255" s="6">
        <v>-20160</v>
      </c>
    </row>
    <row r="1256" spans="1:10">
      <c r="A1256" t="s">
        <v>827</v>
      </c>
      <c r="B1256" s="5">
        <v>45901</v>
      </c>
      <c r="C1256" t="s">
        <v>217</v>
      </c>
      <c r="D1256" t="s">
        <v>218</v>
      </c>
      <c r="E1256" t="s">
        <v>122</v>
      </c>
      <c r="F1256" t="s">
        <v>154</v>
      </c>
      <c r="G1256" t="s">
        <v>216</v>
      </c>
      <c r="H1256" s="6">
        <v>30476.85</v>
      </c>
      <c r="I1256" s="6">
        <v>0</v>
      </c>
      <c r="J1256" s="6">
        <v>30476.85</v>
      </c>
    </row>
    <row r="1257" spans="1:10">
      <c r="A1257" t="s">
        <v>827</v>
      </c>
      <c r="B1257" s="5">
        <v>45901</v>
      </c>
      <c r="C1257" t="s">
        <v>183</v>
      </c>
      <c r="D1257" t="s">
        <v>59</v>
      </c>
      <c r="E1257" t="s">
        <v>150</v>
      </c>
      <c r="F1257" t="s">
        <v>154</v>
      </c>
      <c r="G1257" t="s">
        <v>216</v>
      </c>
      <c r="H1257" s="6">
        <v>0</v>
      </c>
      <c r="I1257" s="6">
        <v>30476.85</v>
      </c>
      <c r="J1257" s="6">
        <v>-30476.85</v>
      </c>
    </row>
    <row r="1258" spans="1:10">
      <c r="A1258" t="s">
        <v>828</v>
      </c>
      <c r="B1258" s="5">
        <v>45901</v>
      </c>
      <c r="C1258" t="s">
        <v>217</v>
      </c>
      <c r="D1258" t="s">
        <v>218</v>
      </c>
      <c r="E1258" t="s">
        <v>122</v>
      </c>
      <c r="F1258" t="s">
        <v>154</v>
      </c>
      <c r="G1258" t="s">
        <v>216</v>
      </c>
      <c r="H1258" s="6">
        <v>22920</v>
      </c>
      <c r="I1258" s="6">
        <v>0</v>
      </c>
      <c r="J1258" s="6">
        <v>22920</v>
      </c>
    </row>
    <row r="1259" spans="1:10">
      <c r="A1259" t="s">
        <v>828</v>
      </c>
      <c r="B1259" s="5">
        <v>45901</v>
      </c>
      <c r="C1259" t="s">
        <v>185</v>
      </c>
      <c r="D1259" t="s">
        <v>186</v>
      </c>
      <c r="E1259" t="s">
        <v>150</v>
      </c>
      <c r="F1259" t="s">
        <v>154</v>
      </c>
      <c r="G1259" t="s">
        <v>216</v>
      </c>
      <c r="H1259" s="6">
        <v>0</v>
      </c>
      <c r="I1259" s="6">
        <v>22920</v>
      </c>
      <c r="J1259" s="6">
        <v>-22920</v>
      </c>
    </row>
    <row r="1260" spans="1:10">
      <c r="A1260" t="s">
        <v>829</v>
      </c>
      <c r="B1260" s="5">
        <v>45901</v>
      </c>
      <c r="C1260" t="s">
        <v>217</v>
      </c>
      <c r="D1260" t="s">
        <v>218</v>
      </c>
      <c r="E1260" t="s">
        <v>122</v>
      </c>
      <c r="F1260" t="s">
        <v>154</v>
      </c>
      <c r="G1260" t="s">
        <v>216</v>
      </c>
      <c r="H1260" s="6">
        <v>9480</v>
      </c>
      <c r="I1260" s="6">
        <v>0</v>
      </c>
      <c r="J1260" s="6">
        <v>9480</v>
      </c>
    </row>
    <row r="1261" spans="1:10">
      <c r="A1261" t="s">
        <v>829</v>
      </c>
      <c r="B1261" s="5">
        <v>45901</v>
      </c>
      <c r="C1261" t="s">
        <v>191</v>
      </c>
      <c r="D1261" t="s">
        <v>104</v>
      </c>
      <c r="E1261" t="s">
        <v>150</v>
      </c>
      <c r="F1261" t="s">
        <v>154</v>
      </c>
      <c r="G1261" t="s">
        <v>216</v>
      </c>
      <c r="H1261" s="6">
        <v>0</v>
      </c>
      <c r="I1261" s="6">
        <v>9480</v>
      </c>
      <c r="J1261" s="6">
        <v>-9480</v>
      </c>
    </row>
    <row r="1262" spans="1:10">
      <c r="A1262" t="s">
        <v>830</v>
      </c>
      <c r="B1262" s="5">
        <v>45901</v>
      </c>
      <c r="C1262" t="s">
        <v>217</v>
      </c>
      <c r="D1262" t="s">
        <v>218</v>
      </c>
      <c r="E1262" t="s">
        <v>122</v>
      </c>
      <c r="F1262" t="s">
        <v>154</v>
      </c>
      <c r="G1262" t="s">
        <v>216</v>
      </c>
      <c r="H1262" s="6">
        <v>16819.427785</v>
      </c>
      <c r="I1262" s="6">
        <v>0</v>
      </c>
      <c r="J1262" s="6">
        <v>16819.427785</v>
      </c>
    </row>
    <row r="1263" spans="1:10">
      <c r="A1263" t="s">
        <v>830</v>
      </c>
      <c r="B1263" s="5">
        <v>45901</v>
      </c>
      <c r="C1263" t="s">
        <v>194</v>
      </c>
      <c r="D1263" t="s">
        <v>195</v>
      </c>
      <c r="E1263" t="s">
        <v>150</v>
      </c>
      <c r="F1263" t="s">
        <v>154</v>
      </c>
      <c r="G1263" t="s">
        <v>216</v>
      </c>
      <c r="H1263" s="6">
        <v>0</v>
      </c>
      <c r="I1263" s="6">
        <v>16819.427785</v>
      </c>
      <c r="J1263" s="6">
        <v>-16819.427785</v>
      </c>
    </row>
    <row r="1264" spans="1:10">
      <c r="A1264" t="s">
        <v>831</v>
      </c>
      <c r="B1264" s="5">
        <v>45931</v>
      </c>
      <c r="C1264" t="s">
        <v>146</v>
      </c>
      <c r="D1264" t="s">
        <v>86</v>
      </c>
      <c r="E1264" t="s">
        <v>120</v>
      </c>
      <c r="F1264" t="s">
        <v>52</v>
      </c>
      <c r="G1264" t="s">
        <v>147</v>
      </c>
      <c r="H1264" s="6">
        <v>1555988.89</v>
      </c>
      <c r="I1264" s="6">
        <v>0</v>
      </c>
      <c r="J1264" s="6">
        <v>1555988.89</v>
      </c>
    </row>
    <row r="1265" spans="1:10">
      <c r="A1265" t="s">
        <v>831</v>
      </c>
      <c r="B1265" s="5">
        <v>45931</v>
      </c>
      <c r="C1265" t="s">
        <v>148</v>
      </c>
      <c r="D1265" t="s">
        <v>149</v>
      </c>
      <c r="E1265" t="s">
        <v>150</v>
      </c>
      <c r="F1265" t="s">
        <v>52</v>
      </c>
      <c r="G1265" t="s">
        <v>147</v>
      </c>
      <c r="H1265" s="6">
        <v>0</v>
      </c>
      <c r="I1265" s="6">
        <v>1555988.89</v>
      </c>
      <c r="J1265" s="6">
        <v>-1555988.89</v>
      </c>
    </row>
    <row r="1266" spans="1:10">
      <c r="A1266" t="s">
        <v>832</v>
      </c>
      <c r="B1266" s="5">
        <v>45931</v>
      </c>
      <c r="C1266" t="s">
        <v>152</v>
      </c>
      <c r="D1266" t="s">
        <v>153</v>
      </c>
      <c r="E1266" t="s">
        <v>150</v>
      </c>
      <c r="F1266" t="s">
        <v>154</v>
      </c>
      <c r="G1266" t="s">
        <v>155</v>
      </c>
      <c r="H1266" s="6">
        <v>132259.05565</v>
      </c>
      <c r="I1266" s="6">
        <v>0</v>
      </c>
      <c r="J1266" s="6">
        <v>132259.05565</v>
      </c>
    </row>
    <row r="1267" spans="1:10">
      <c r="A1267" t="s">
        <v>832</v>
      </c>
      <c r="B1267" s="5">
        <v>45931</v>
      </c>
      <c r="C1267" t="s">
        <v>156</v>
      </c>
      <c r="D1267" t="s">
        <v>157</v>
      </c>
      <c r="E1267" t="s">
        <v>121</v>
      </c>
      <c r="F1267" t="s">
        <v>154</v>
      </c>
      <c r="G1267" t="s">
        <v>155</v>
      </c>
      <c r="H1267" s="6">
        <v>0</v>
      </c>
      <c r="I1267" s="6">
        <v>132259.05565</v>
      </c>
      <c r="J1267" s="6">
        <v>-132259.05565</v>
      </c>
    </row>
    <row r="1268" spans="1:10">
      <c r="A1268" t="s">
        <v>833</v>
      </c>
      <c r="B1268" s="5">
        <v>45931</v>
      </c>
      <c r="C1268" t="s">
        <v>159</v>
      </c>
      <c r="D1268" t="s">
        <v>160</v>
      </c>
      <c r="E1268" t="s">
        <v>120</v>
      </c>
      <c r="F1268" t="s">
        <v>58</v>
      </c>
      <c r="G1268" t="s">
        <v>161</v>
      </c>
      <c r="H1268" s="6">
        <v>966131.5160000005</v>
      </c>
      <c r="I1268" s="6">
        <v>0</v>
      </c>
      <c r="J1268" s="6">
        <v>966131.5160000005</v>
      </c>
    </row>
    <row r="1269" spans="1:10">
      <c r="A1269" t="s">
        <v>833</v>
      </c>
      <c r="B1269" s="5">
        <v>45931</v>
      </c>
      <c r="C1269" t="s">
        <v>162</v>
      </c>
      <c r="D1269" t="s">
        <v>88</v>
      </c>
      <c r="E1269" t="s">
        <v>121</v>
      </c>
      <c r="F1269" t="s">
        <v>58</v>
      </c>
      <c r="G1269" t="s">
        <v>161</v>
      </c>
      <c r="H1269" s="6">
        <v>0</v>
      </c>
      <c r="I1269" s="6">
        <v>966131.5160000005</v>
      </c>
      <c r="J1269" s="6">
        <v>-966131.5160000005</v>
      </c>
    </row>
    <row r="1270" spans="1:10">
      <c r="A1270" t="s">
        <v>834</v>
      </c>
      <c r="B1270" s="5">
        <v>45931</v>
      </c>
      <c r="C1270" t="s">
        <v>164</v>
      </c>
      <c r="D1270" t="s">
        <v>36</v>
      </c>
      <c r="E1270" t="s">
        <v>150</v>
      </c>
      <c r="F1270" t="s">
        <v>58</v>
      </c>
      <c r="G1270" t="s">
        <v>165</v>
      </c>
      <c r="H1270" s="6">
        <v>1065026.86</v>
      </c>
      <c r="I1270" s="6">
        <v>0</v>
      </c>
      <c r="J1270" s="6">
        <v>1065026.86</v>
      </c>
    </row>
    <row r="1271" spans="1:10">
      <c r="A1271" t="s">
        <v>834</v>
      </c>
      <c r="B1271" s="5">
        <v>45931</v>
      </c>
      <c r="C1271" t="s">
        <v>159</v>
      </c>
      <c r="D1271" t="s">
        <v>160</v>
      </c>
      <c r="E1271" t="s">
        <v>120</v>
      </c>
      <c r="F1271" t="s">
        <v>58</v>
      </c>
      <c r="G1271" t="s">
        <v>165</v>
      </c>
      <c r="H1271" s="6">
        <v>0</v>
      </c>
      <c r="I1271" s="6">
        <v>1065026.86</v>
      </c>
      <c r="J1271" s="6">
        <v>-1065026.86</v>
      </c>
    </row>
    <row r="1272" spans="1:10">
      <c r="A1272" t="s">
        <v>835</v>
      </c>
      <c r="B1272" s="5">
        <v>45931</v>
      </c>
      <c r="C1272" t="s">
        <v>167</v>
      </c>
      <c r="D1272" t="s">
        <v>51</v>
      </c>
      <c r="E1272" t="s">
        <v>150</v>
      </c>
      <c r="F1272" t="s">
        <v>51</v>
      </c>
      <c r="G1272" t="s">
        <v>168</v>
      </c>
      <c r="H1272" s="6">
        <v>110162</v>
      </c>
      <c r="I1272" s="6">
        <v>0</v>
      </c>
      <c r="J1272" s="6">
        <v>110162</v>
      </c>
    </row>
    <row r="1273" spans="1:10">
      <c r="A1273" t="s">
        <v>835</v>
      </c>
      <c r="B1273" s="5">
        <v>45931</v>
      </c>
      <c r="C1273" t="s">
        <v>169</v>
      </c>
      <c r="D1273" t="s">
        <v>170</v>
      </c>
      <c r="E1273" t="s">
        <v>121</v>
      </c>
      <c r="F1273" t="s">
        <v>51</v>
      </c>
      <c r="G1273" t="s">
        <v>168</v>
      </c>
      <c r="H1273" s="6">
        <v>0</v>
      </c>
      <c r="I1273" s="6">
        <v>110162</v>
      </c>
      <c r="J1273" s="6">
        <v>-110162</v>
      </c>
    </row>
    <row r="1274" spans="1:10">
      <c r="A1274" t="s">
        <v>836</v>
      </c>
      <c r="B1274" s="5">
        <v>45931</v>
      </c>
      <c r="C1274" t="s">
        <v>169</v>
      </c>
      <c r="D1274" t="s">
        <v>170</v>
      </c>
      <c r="E1274" t="s">
        <v>121</v>
      </c>
      <c r="F1274" t="s">
        <v>51</v>
      </c>
      <c r="G1274" t="s">
        <v>172</v>
      </c>
      <c r="H1274" s="6">
        <v>110162</v>
      </c>
      <c r="I1274" s="6">
        <v>0</v>
      </c>
      <c r="J1274" s="6">
        <v>110162</v>
      </c>
    </row>
    <row r="1275" spans="1:10">
      <c r="A1275" t="s">
        <v>836</v>
      </c>
      <c r="B1275" s="5">
        <v>45931</v>
      </c>
      <c r="C1275" t="s">
        <v>173</v>
      </c>
      <c r="D1275" t="s">
        <v>174</v>
      </c>
      <c r="E1275" t="s">
        <v>120</v>
      </c>
      <c r="F1275" t="s">
        <v>51</v>
      </c>
      <c r="G1275" t="s">
        <v>172</v>
      </c>
      <c r="H1275" s="6">
        <v>0</v>
      </c>
      <c r="I1275" s="6">
        <v>110162</v>
      </c>
      <c r="J1275" s="6">
        <v>-110162</v>
      </c>
    </row>
    <row r="1276" spans="1:10">
      <c r="A1276" t="s">
        <v>837</v>
      </c>
      <c r="B1276" s="5">
        <v>45931</v>
      </c>
      <c r="C1276" t="s">
        <v>176</v>
      </c>
      <c r="D1276" t="s">
        <v>52</v>
      </c>
      <c r="E1276" t="s">
        <v>150</v>
      </c>
      <c r="F1276" t="s">
        <v>52</v>
      </c>
      <c r="G1276" t="s">
        <v>177</v>
      </c>
      <c r="H1276" s="6">
        <v>56015.6</v>
      </c>
      <c r="I1276" s="6">
        <v>0</v>
      </c>
      <c r="J1276" s="6">
        <v>56015.6</v>
      </c>
    </row>
    <row r="1277" spans="1:10">
      <c r="A1277" t="s">
        <v>837</v>
      </c>
      <c r="B1277" s="5">
        <v>45931</v>
      </c>
      <c r="C1277" t="s">
        <v>173</v>
      </c>
      <c r="D1277" t="s">
        <v>174</v>
      </c>
      <c r="E1277" t="s">
        <v>120</v>
      </c>
      <c r="F1277" t="s">
        <v>52</v>
      </c>
      <c r="G1277" t="s">
        <v>177</v>
      </c>
      <c r="H1277" s="6">
        <v>0</v>
      </c>
      <c r="I1277" s="6">
        <v>56015.6</v>
      </c>
      <c r="J1277" s="6">
        <v>-56015.6</v>
      </c>
    </row>
    <row r="1278" spans="1:10">
      <c r="A1278" t="s">
        <v>838</v>
      </c>
      <c r="B1278" s="5">
        <v>45931</v>
      </c>
      <c r="C1278" t="s">
        <v>179</v>
      </c>
      <c r="D1278" t="s">
        <v>54</v>
      </c>
      <c r="E1278" t="s">
        <v>150</v>
      </c>
      <c r="F1278" t="s">
        <v>54</v>
      </c>
      <c r="G1278" t="s">
        <v>177</v>
      </c>
      <c r="H1278" s="6">
        <v>33920</v>
      </c>
      <c r="I1278" s="6">
        <v>0</v>
      </c>
      <c r="J1278" s="6">
        <v>33920</v>
      </c>
    </row>
    <row r="1279" spans="1:10">
      <c r="A1279" t="s">
        <v>838</v>
      </c>
      <c r="B1279" s="5">
        <v>45931</v>
      </c>
      <c r="C1279" t="s">
        <v>173</v>
      </c>
      <c r="D1279" t="s">
        <v>174</v>
      </c>
      <c r="E1279" t="s">
        <v>120</v>
      </c>
      <c r="F1279" t="s">
        <v>54</v>
      </c>
      <c r="G1279" t="s">
        <v>177</v>
      </c>
      <c r="H1279" s="6">
        <v>0</v>
      </c>
      <c r="I1279" s="6">
        <v>33920</v>
      </c>
      <c r="J1279" s="6">
        <v>-33920</v>
      </c>
    </row>
    <row r="1280" spans="1:10">
      <c r="A1280" t="s">
        <v>839</v>
      </c>
      <c r="B1280" s="5">
        <v>45931</v>
      </c>
      <c r="C1280" t="s">
        <v>181</v>
      </c>
      <c r="D1280" t="s">
        <v>56</v>
      </c>
      <c r="E1280" t="s">
        <v>150</v>
      </c>
      <c r="F1280" t="s">
        <v>56</v>
      </c>
      <c r="G1280" t="s">
        <v>177</v>
      </c>
      <c r="H1280" s="6">
        <v>20160</v>
      </c>
      <c r="I1280" s="6">
        <v>0</v>
      </c>
      <c r="J1280" s="6">
        <v>20160</v>
      </c>
    </row>
    <row r="1281" spans="1:10">
      <c r="A1281" t="s">
        <v>839</v>
      </c>
      <c r="B1281" s="5">
        <v>45931</v>
      </c>
      <c r="C1281" t="s">
        <v>173</v>
      </c>
      <c r="D1281" t="s">
        <v>174</v>
      </c>
      <c r="E1281" t="s">
        <v>120</v>
      </c>
      <c r="F1281" t="s">
        <v>56</v>
      </c>
      <c r="G1281" t="s">
        <v>177</v>
      </c>
      <c r="H1281" s="6">
        <v>0</v>
      </c>
      <c r="I1281" s="6">
        <v>20160</v>
      </c>
      <c r="J1281" s="6">
        <v>-20160</v>
      </c>
    </row>
    <row r="1282" spans="1:10">
      <c r="A1282" t="s">
        <v>840</v>
      </c>
      <c r="B1282" s="5">
        <v>45931</v>
      </c>
      <c r="C1282" t="s">
        <v>183</v>
      </c>
      <c r="D1282" t="s">
        <v>59</v>
      </c>
      <c r="E1282" t="s">
        <v>150</v>
      </c>
      <c r="F1282" t="s">
        <v>66</v>
      </c>
      <c r="G1282" t="s">
        <v>177</v>
      </c>
      <c r="H1282" s="6">
        <v>34231.76</v>
      </c>
      <c r="I1282" s="6">
        <v>0</v>
      </c>
      <c r="J1282" s="6">
        <v>34231.76</v>
      </c>
    </row>
    <row r="1283" spans="1:10">
      <c r="A1283" t="s">
        <v>840</v>
      </c>
      <c r="B1283" s="5">
        <v>45931</v>
      </c>
      <c r="C1283" t="s">
        <v>173</v>
      </c>
      <c r="D1283" t="s">
        <v>174</v>
      </c>
      <c r="E1283" t="s">
        <v>120</v>
      </c>
      <c r="F1283" t="s">
        <v>66</v>
      </c>
      <c r="G1283" t="s">
        <v>177</v>
      </c>
      <c r="H1283" s="6">
        <v>0</v>
      </c>
      <c r="I1283" s="6">
        <v>34231.76</v>
      </c>
      <c r="J1283" s="6">
        <v>-34231.76</v>
      </c>
    </row>
    <row r="1284" spans="1:10">
      <c r="A1284" t="s">
        <v>841</v>
      </c>
      <c r="B1284" s="5">
        <v>45931</v>
      </c>
      <c r="C1284" t="s">
        <v>185</v>
      </c>
      <c r="D1284" t="s">
        <v>186</v>
      </c>
      <c r="E1284" t="s">
        <v>150</v>
      </c>
      <c r="F1284" t="s">
        <v>154</v>
      </c>
      <c r="G1284" t="s">
        <v>187</v>
      </c>
      <c r="H1284" s="6">
        <v>23820</v>
      </c>
      <c r="I1284" s="6">
        <v>0</v>
      </c>
      <c r="J1284" s="6">
        <v>23820</v>
      </c>
    </row>
    <row r="1285" spans="1:10">
      <c r="A1285" t="s">
        <v>841</v>
      </c>
      <c r="B1285" s="5">
        <v>45931</v>
      </c>
      <c r="C1285" t="s">
        <v>188</v>
      </c>
      <c r="D1285" t="s">
        <v>189</v>
      </c>
      <c r="E1285" t="s">
        <v>120</v>
      </c>
      <c r="F1285" t="s">
        <v>154</v>
      </c>
      <c r="G1285" t="s">
        <v>187</v>
      </c>
      <c r="H1285" s="6">
        <v>0</v>
      </c>
      <c r="I1285" s="6">
        <v>23820</v>
      </c>
      <c r="J1285" s="6">
        <v>-23820</v>
      </c>
    </row>
    <row r="1286" spans="1:10">
      <c r="A1286" t="s">
        <v>842</v>
      </c>
      <c r="B1286" s="5">
        <v>45931</v>
      </c>
      <c r="C1286" t="s">
        <v>191</v>
      </c>
      <c r="D1286" t="s">
        <v>104</v>
      </c>
      <c r="E1286" t="s">
        <v>150</v>
      </c>
      <c r="F1286" t="s">
        <v>154</v>
      </c>
      <c r="G1286" t="s">
        <v>192</v>
      </c>
      <c r="H1286" s="6">
        <v>9264</v>
      </c>
      <c r="I1286" s="6">
        <v>0</v>
      </c>
      <c r="J1286" s="6">
        <v>9264</v>
      </c>
    </row>
    <row r="1287" spans="1:10">
      <c r="A1287" t="s">
        <v>842</v>
      </c>
      <c r="B1287" s="5">
        <v>45931</v>
      </c>
      <c r="C1287" t="s">
        <v>173</v>
      </c>
      <c r="D1287" t="s">
        <v>174</v>
      </c>
      <c r="E1287" t="s">
        <v>120</v>
      </c>
      <c r="F1287" t="s">
        <v>154</v>
      </c>
      <c r="G1287" t="s">
        <v>192</v>
      </c>
      <c r="H1287" s="6">
        <v>0</v>
      </c>
      <c r="I1287" s="6">
        <v>9264</v>
      </c>
      <c r="J1287" s="6">
        <v>-9264</v>
      </c>
    </row>
    <row r="1288" spans="1:10">
      <c r="A1288" t="s">
        <v>843</v>
      </c>
      <c r="B1288" s="5">
        <v>45931</v>
      </c>
      <c r="C1288" t="s">
        <v>194</v>
      </c>
      <c r="D1288" t="s">
        <v>195</v>
      </c>
      <c r="E1288" t="s">
        <v>150</v>
      </c>
      <c r="F1288" t="s">
        <v>154</v>
      </c>
      <c r="G1288" t="s">
        <v>196</v>
      </c>
      <c r="H1288" s="6">
        <v>24184.06887899994</v>
      </c>
      <c r="I1288" s="6">
        <v>0</v>
      </c>
      <c r="J1288" s="6">
        <v>24184.06887899994</v>
      </c>
    </row>
    <row r="1289" spans="1:10">
      <c r="A1289" t="s">
        <v>843</v>
      </c>
      <c r="B1289" s="5">
        <v>45931</v>
      </c>
      <c r="C1289" t="s">
        <v>197</v>
      </c>
      <c r="D1289" t="s">
        <v>198</v>
      </c>
      <c r="E1289" t="s">
        <v>121</v>
      </c>
      <c r="F1289" t="s">
        <v>154</v>
      </c>
      <c r="G1289" t="s">
        <v>196</v>
      </c>
      <c r="H1289" s="6">
        <v>0</v>
      </c>
      <c r="I1289" s="6">
        <v>24184.06887899994</v>
      </c>
      <c r="J1289" s="6">
        <v>-24184.06887899994</v>
      </c>
    </row>
    <row r="1290" spans="1:10">
      <c r="A1290" t="s">
        <v>844</v>
      </c>
      <c r="B1290" s="5">
        <v>45931</v>
      </c>
      <c r="C1290" t="s">
        <v>173</v>
      </c>
      <c r="D1290" t="s">
        <v>174</v>
      </c>
      <c r="E1290" t="s">
        <v>120</v>
      </c>
      <c r="F1290" t="s">
        <v>154</v>
      </c>
      <c r="G1290" t="s">
        <v>200</v>
      </c>
      <c r="H1290" s="6">
        <v>1888895.662333333</v>
      </c>
      <c r="I1290" s="6">
        <v>0</v>
      </c>
      <c r="J1290" s="6">
        <v>1888895.662333333</v>
      </c>
    </row>
    <row r="1291" spans="1:10">
      <c r="A1291" t="s">
        <v>844</v>
      </c>
      <c r="B1291" s="5">
        <v>45931</v>
      </c>
      <c r="C1291" t="s">
        <v>146</v>
      </c>
      <c r="D1291" t="s">
        <v>86</v>
      </c>
      <c r="E1291" t="s">
        <v>120</v>
      </c>
      <c r="F1291" t="s">
        <v>154</v>
      </c>
      <c r="G1291" t="s">
        <v>200</v>
      </c>
      <c r="H1291" s="6">
        <v>0</v>
      </c>
      <c r="I1291" s="6">
        <v>1888895.662333333</v>
      </c>
      <c r="J1291" s="6">
        <v>-1888895.662333333</v>
      </c>
    </row>
    <row r="1292" spans="1:10">
      <c r="A1292" t="s">
        <v>845</v>
      </c>
      <c r="B1292" s="5">
        <v>45931</v>
      </c>
      <c r="C1292" t="s">
        <v>162</v>
      </c>
      <c r="D1292" t="s">
        <v>88</v>
      </c>
      <c r="E1292" t="s">
        <v>121</v>
      </c>
      <c r="F1292" t="s">
        <v>154</v>
      </c>
      <c r="G1292" t="s">
        <v>202</v>
      </c>
      <c r="H1292" s="6">
        <v>821551.2526666673</v>
      </c>
      <c r="I1292" s="6">
        <v>0</v>
      </c>
      <c r="J1292" s="6">
        <v>821551.2526666673</v>
      </c>
    </row>
    <row r="1293" spans="1:10">
      <c r="A1293" t="s">
        <v>845</v>
      </c>
      <c r="B1293" s="5">
        <v>45931</v>
      </c>
      <c r="C1293" t="s">
        <v>173</v>
      </c>
      <c r="D1293" t="s">
        <v>174</v>
      </c>
      <c r="E1293" t="s">
        <v>120</v>
      </c>
      <c r="F1293" t="s">
        <v>154</v>
      </c>
      <c r="G1293" t="s">
        <v>202</v>
      </c>
      <c r="H1293" s="6">
        <v>0</v>
      </c>
      <c r="I1293" s="6">
        <v>821551.2526666673</v>
      </c>
      <c r="J1293" s="6">
        <v>-821551.2526666673</v>
      </c>
    </row>
    <row r="1294" spans="1:10">
      <c r="A1294" t="s">
        <v>846</v>
      </c>
      <c r="B1294" s="5">
        <v>45931</v>
      </c>
      <c r="C1294" t="s">
        <v>156</v>
      </c>
      <c r="D1294" t="s">
        <v>157</v>
      </c>
      <c r="E1294" t="s">
        <v>121</v>
      </c>
      <c r="F1294" t="s">
        <v>154</v>
      </c>
      <c r="G1294" t="s">
        <v>204</v>
      </c>
      <c r="H1294" s="6">
        <v>117751.46475</v>
      </c>
      <c r="I1294" s="6">
        <v>0</v>
      </c>
      <c r="J1294" s="6">
        <v>117751.46475</v>
      </c>
    </row>
    <row r="1295" spans="1:10">
      <c r="A1295" t="s">
        <v>846</v>
      </c>
      <c r="B1295" s="5">
        <v>45931</v>
      </c>
      <c r="C1295" t="s">
        <v>173</v>
      </c>
      <c r="D1295" t="s">
        <v>174</v>
      </c>
      <c r="E1295" t="s">
        <v>120</v>
      </c>
      <c r="F1295" t="s">
        <v>154</v>
      </c>
      <c r="G1295" t="s">
        <v>204</v>
      </c>
      <c r="H1295" s="6">
        <v>0</v>
      </c>
      <c r="I1295" s="6">
        <v>117751.46475</v>
      </c>
      <c r="J1295" s="6">
        <v>-117751.46475</v>
      </c>
    </row>
    <row r="1296" spans="1:10">
      <c r="A1296" t="s">
        <v>847</v>
      </c>
      <c r="B1296" s="5">
        <v>45931</v>
      </c>
      <c r="C1296" t="s">
        <v>197</v>
      </c>
      <c r="D1296" t="s">
        <v>198</v>
      </c>
      <c r="E1296" t="s">
        <v>121</v>
      </c>
      <c r="F1296" t="s">
        <v>154</v>
      </c>
      <c r="G1296" t="s">
        <v>206</v>
      </c>
      <c r="H1296" s="6">
        <v>16819.42778500001</v>
      </c>
      <c r="I1296" s="6">
        <v>0</v>
      </c>
      <c r="J1296" s="6">
        <v>16819.42778500001</v>
      </c>
    </row>
    <row r="1297" spans="1:10">
      <c r="A1297" t="s">
        <v>847</v>
      </c>
      <c r="B1297" s="5">
        <v>45931</v>
      </c>
      <c r="C1297" t="s">
        <v>173</v>
      </c>
      <c r="D1297" t="s">
        <v>174</v>
      </c>
      <c r="E1297" t="s">
        <v>120</v>
      </c>
      <c r="F1297" t="s">
        <v>154</v>
      </c>
      <c r="G1297" t="s">
        <v>206</v>
      </c>
      <c r="H1297" s="6">
        <v>0</v>
      </c>
      <c r="I1297" s="6">
        <v>16819.42778500001</v>
      </c>
      <c r="J1297" s="6">
        <v>-16819.42778500001</v>
      </c>
    </row>
    <row r="1298" spans="1:10">
      <c r="A1298" t="s">
        <v>848</v>
      </c>
      <c r="B1298" s="5">
        <v>45931</v>
      </c>
      <c r="C1298" t="s">
        <v>208</v>
      </c>
      <c r="D1298" t="s">
        <v>209</v>
      </c>
      <c r="E1298" t="s">
        <v>120</v>
      </c>
      <c r="F1298" t="s">
        <v>154</v>
      </c>
      <c r="G1298" t="s">
        <v>210</v>
      </c>
      <c r="H1298" s="6">
        <v>18000</v>
      </c>
      <c r="I1298" s="6">
        <v>0</v>
      </c>
      <c r="J1298" s="6">
        <v>18000</v>
      </c>
    </row>
    <row r="1299" spans="1:10">
      <c r="A1299" t="s">
        <v>848</v>
      </c>
      <c r="B1299" s="5">
        <v>45931</v>
      </c>
      <c r="C1299" t="s">
        <v>173</v>
      </c>
      <c r="D1299" t="s">
        <v>174</v>
      </c>
      <c r="E1299" t="s">
        <v>120</v>
      </c>
      <c r="F1299" t="s">
        <v>154</v>
      </c>
      <c r="G1299" t="s">
        <v>210</v>
      </c>
      <c r="H1299" s="6">
        <v>0</v>
      </c>
      <c r="I1299" s="6">
        <v>18000</v>
      </c>
      <c r="J1299" s="6">
        <v>-18000</v>
      </c>
    </row>
    <row r="1300" spans="1:10">
      <c r="A1300" t="s">
        <v>849</v>
      </c>
      <c r="B1300" s="5">
        <v>45931</v>
      </c>
      <c r="C1300" t="s">
        <v>212</v>
      </c>
      <c r="D1300" t="s">
        <v>213</v>
      </c>
      <c r="E1300" t="s">
        <v>121</v>
      </c>
      <c r="F1300" t="s">
        <v>154</v>
      </c>
      <c r="G1300" t="s">
        <v>214</v>
      </c>
      <c r="H1300" s="6">
        <v>18000</v>
      </c>
      <c r="I1300" s="6">
        <v>0</v>
      </c>
      <c r="J1300" s="6">
        <v>18000</v>
      </c>
    </row>
    <row r="1301" spans="1:10">
      <c r="A1301" t="s">
        <v>849</v>
      </c>
      <c r="B1301" s="5">
        <v>45931</v>
      </c>
      <c r="C1301" t="s">
        <v>173</v>
      </c>
      <c r="D1301" t="s">
        <v>174</v>
      </c>
      <c r="E1301" t="s">
        <v>120</v>
      </c>
      <c r="F1301" t="s">
        <v>154</v>
      </c>
      <c r="G1301" t="s">
        <v>214</v>
      </c>
      <c r="H1301" s="6">
        <v>0</v>
      </c>
      <c r="I1301" s="6">
        <v>18000</v>
      </c>
      <c r="J1301" s="6">
        <v>-18000</v>
      </c>
    </row>
    <row r="1302" spans="1:10">
      <c r="A1302" t="s">
        <v>850</v>
      </c>
      <c r="B1302" s="5">
        <v>45931</v>
      </c>
      <c r="C1302" t="s">
        <v>148</v>
      </c>
      <c r="D1302" t="s">
        <v>149</v>
      </c>
      <c r="E1302" t="s">
        <v>150</v>
      </c>
      <c r="F1302" t="s">
        <v>154</v>
      </c>
      <c r="G1302" t="s">
        <v>216</v>
      </c>
      <c r="H1302" s="6">
        <v>1555988.89</v>
      </c>
      <c r="I1302" s="6">
        <v>0</v>
      </c>
      <c r="J1302" s="6">
        <v>1555988.89</v>
      </c>
    </row>
    <row r="1303" spans="1:10">
      <c r="A1303" t="s">
        <v>850</v>
      </c>
      <c r="B1303" s="5">
        <v>45931</v>
      </c>
      <c r="C1303" t="s">
        <v>217</v>
      </c>
      <c r="D1303" t="s">
        <v>218</v>
      </c>
      <c r="E1303" t="s">
        <v>122</v>
      </c>
      <c r="F1303" t="s">
        <v>154</v>
      </c>
      <c r="G1303" t="s">
        <v>216</v>
      </c>
      <c r="H1303" s="6">
        <v>0</v>
      </c>
      <c r="I1303" s="6">
        <v>1555988.89</v>
      </c>
      <c r="J1303" s="6">
        <v>-1555988.89</v>
      </c>
    </row>
    <row r="1304" spans="1:10">
      <c r="A1304" t="s">
        <v>851</v>
      </c>
      <c r="B1304" s="5">
        <v>45931</v>
      </c>
      <c r="C1304" t="s">
        <v>217</v>
      </c>
      <c r="D1304" t="s">
        <v>218</v>
      </c>
      <c r="E1304" t="s">
        <v>122</v>
      </c>
      <c r="F1304" t="s">
        <v>154</v>
      </c>
      <c r="G1304" t="s">
        <v>216</v>
      </c>
      <c r="H1304" s="6">
        <v>132259.05565</v>
      </c>
      <c r="I1304" s="6">
        <v>0</v>
      </c>
      <c r="J1304" s="6">
        <v>132259.05565</v>
      </c>
    </row>
    <row r="1305" spans="1:10">
      <c r="A1305" t="s">
        <v>851</v>
      </c>
      <c r="B1305" s="5">
        <v>45931</v>
      </c>
      <c r="C1305" t="s">
        <v>152</v>
      </c>
      <c r="D1305" t="s">
        <v>153</v>
      </c>
      <c r="E1305" t="s">
        <v>150</v>
      </c>
      <c r="F1305" t="s">
        <v>154</v>
      </c>
      <c r="G1305" t="s">
        <v>216</v>
      </c>
      <c r="H1305" s="6">
        <v>0</v>
      </c>
      <c r="I1305" s="6">
        <v>132259.05565</v>
      </c>
      <c r="J1305" s="6">
        <v>-132259.05565</v>
      </c>
    </row>
    <row r="1306" spans="1:10">
      <c r="A1306" t="s">
        <v>852</v>
      </c>
      <c r="B1306" s="5">
        <v>45931</v>
      </c>
      <c r="C1306" t="s">
        <v>217</v>
      </c>
      <c r="D1306" t="s">
        <v>218</v>
      </c>
      <c r="E1306" t="s">
        <v>122</v>
      </c>
      <c r="F1306" t="s">
        <v>154</v>
      </c>
      <c r="G1306" t="s">
        <v>216</v>
      </c>
      <c r="H1306" s="6">
        <v>1065026.86</v>
      </c>
      <c r="I1306" s="6">
        <v>0</v>
      </c>
      <c r="J1306" s="6">
        <v>1065026.86</v>
      </c>
    </row>
    <row r="1307" spans="1:10">
      <c r="A1307" t="s">
        <v>852</v>
      </c>
      <c r="B1307" s="5">
        <v>45931</v>
      </c>
      <c r="C1307" t="s">
        <v>164</v>
      </c>
      <c r="D1307" t="s">
        <v>36</v>
      </c>
      <c r="E1307" t="s">
        <v>150</v>
      </c>
      <c r="F1307" t="s">
        <v>154</v>
      </c>
      <c r="G1307" t="s">
        <v>216</v>
      </c>
      <c r="H1307" s="6">
        <v>0</v>
      </c>
      <c r="I1307" s="6">
        <v>1065026.86</v>
      </c>
      <c r="J1307" s="6">
        <v>-1065026.86</v>
      </c>
    </row>
    <row r="1308" spans="1:10">
      <c r="A1308" t="s">
        <v>853</v>
      </c>
      <c r="B1308" s="5">
        <v>45931</v>
      </c>
      <c r="C1308" t="s">
        <v>217</v>
      </c>
      <c r="D1308" t="s">
        <v>218</v>
      </c>
      <c r="E1308" t="s">
        <v>122</v>
      </c>
      <c r="F1308" t="s">
        <v>154</v>
      </c>
      <c r="G1308" t="s">
        <v>216</v>
      </c>
      <c r="H1308" s="6">
        <v>110162</v>
      </c>
      <c r="I1308" s="6">
        <v>0</v>
      </c>
      <c r="J1308" s="6">
        <v>110162</v>
      </c>
    </row>
    <row r="1309" spans="1:10">
      <c r="A1309" t="s">
        <v>853</v>
      </c>
      <c r="B1309" s="5">
        <v>45931</v>
      </c>
      <c r="C1309" t="s">
        <v>167</v>
      </c>
      <c r="D1309" t="s">
        <v>51</v>
      </c>
      <c r="E1309" t="s">
        <v>150</v>
      </c>
      <c r="F1309" t="s">
        <v>154</v>
      </c>
      <c r="G1309" t="s">
        <v>216</v>
      </c>
      <c r="H1309" s="6">
        <v>0</v>
      </c>
      <c r="I1309" s="6">
        <v>110162</v>
      </c>
      <c r="J1309" s="6">
        <v>-110162</v>
      </c>
    </row>
    <row r="1310" spans="1:10">
      <c r="A1310" t="s">
        <v>854</v>
      </c>
      <c r="B1310" s="5">
        <v>45931</v>
      </c>
      <c r="C1310" t="s">
        <v>217</v>
      </c>
      <c r="D1310" t="s">
        <v>218</v>
      </c>
      <c r="E1310" t="s">
        <v>122</v>
      </c>
      <c r="F1310" t="s">
        <v>154</v>
      </c>
      <c r="G1310" t="s">
        <v>216</v>
      </c>
      <c r="H1310" s="6">
        <v>56015.6</v>
      </c>
      <c r="I1310" s="6">
        <v>0</v>
      </c>
      <c r="J1310" s="6">
        <v>56015.6</v>
      </c>
    </row>
    <row r="1311" spans="1:10">
      <c r="A1311" t="s">
        <v>854</v>
      </c>
      <c r="B1311" s="5">
        <v>45931</v>
      </c>
      <c r="C1311" t="s">
        <v>176</v>
      </c>
      <c r="D1311" t="s">
        <v>52</v>
      </c>
      <c r="E1311" t="s">
        <v>150</v>
      </c>
      <c r="F1311" t="s">
        <v>154</v>
      </c>
      <c r="G1311" t="s">
        <v>216</v>
      </c>
      <c r="H1311" s="6">
        <v>0</v>
      </c>
      <c r="I1311" s="6">
        <v>56015.6</v>
      </c>
      <c r="J1311" s="6">
        <v>-56015.6</v>
      </c>
    </row>
    <row r="1312" spans="1:10">
      <c r="A1312" t="s">
        <v>855</v>
      </c>
      <c r="B1312" s="5">
        <v>45931</v>
      </c>
      <c r="C1312" t="s">
        <v>217</v>
      </c>
      <c r="D1312" t="s">
        <v>218</v>
      </c>
      <c r="E1312" t="s">
        <v>122</v>
      </c>
      <c r="F1312" t="s">
        <v>154</v>
      </c>
      <c r="G1312" t="s">
        <v>216</v>
      </c>
      <c r="H1312" s="6">
        <v>33920</v>
      </c>
      <c r="I1312" s="6">
        <v>0</v>
      </c>
      <c r="J1312" s="6">
        <v>33920</v>
      </c>
    </row>
    <row r="1313" spans="1:10">
      <c r="A1313" t="s">
        <v>855</v>
      </c>
      <c r="B1313" s="5">
        <v>45931</v>
      </c>
      <c r="C1313" t="s">
        <v>179</v>
      </c>
      <c r="D1313" t="s">
        <v>54</v>
      </c>
      <c r="E1313" t="s">
        <v>150</v>
      </c>
      <c r="F1313" t="s">
        <v>154</v>
      </c>
      <c r="G1313" t="s">
        <v>216</v>
      </c>
      <c r="H1313" s="6">
        <v>0</v>
      </c>
      <c r="I1313" s="6">
        <v>33920</v>
      </c>
      <c r="J1313" s="6">
        <v>-33920</v>
      </c>
    </row>
    <row r="1314" spans="1:10">
      <c r="A1314" t="s">
        <v>856</v>
      </c>
      <c r="B1314" s="5">
        <v>45931</v>
      </c>
      <c r="C1314" t="s">
        <v>217</v>
      </c>
      <c r="D1314" t="s">
        <v>218</v>
      </c>
      <c r="E1314" t="s">
        <v>122</v>
      </c>
      <c r="F1314" t="s">
        <v>154</v>
      </c>
      <c r="G1314" t="s">
        <v>216</v>
      </c>
      <c r="H1314" s="6">
        <v>20160</v>
      </c>
      <c r="I1314" s="6">
        <v>0</v>
      </c>
      <c r="J1314" s="6">
        <v>20160</v>
      </c>
    </row>
    <row r="1315" spans="1:10">
      <c r="A1315" t="s">
        <v>856</v>
      </c>
      <c r="B1315" s="5">
        <v>45931</v>
      </c>
      <c r="C1315" t="s">
        <v>181</v>
      </c>
      <c r="D1315" t="s">
        <v>56</v>
      </c>
      <c r="E1315" t="s">
        <v>150</v>
      </c>
      <c r="F1315" t="s">
        <v>154</v>
      </c>
      <c r="G1315" t="s">
        <v>216</v>
      </c>
      <c r="H1315" s="6">
        <v>0</v>
      </c>
      <c r="I1315" s="6">
        <v>20160</v>
      </c>
      <c r="J1315" s="6">
        <v>-20160</v>
      </c>
    </row>
    <row r="1316" spans="1:10">
      <c r="A1316" t="s">
        <v>857</v>
      </c>
      <c r="B1316" s="5">
        <v>45931</v>
      </c>
      <c r="C1316" t="s">
        <v>217</v>
      </c>
      <c r="D1316" t="s">
        <v>218</v>
      </c>
      <c r="E1316" t="s">
        <v>122</v>
      </c>
      <c r="F1316" t="s">
        <v>154</v>
      </c>
      <c r="G1316" t="s">
        <v>216</v>
      </c>
      <c r="H1316" s="6">
        <v>34231.76</v>
      </c>
      <c r="I1316" s="6">
        <v>0</v>
      </c>
      <c r="J1316" s="6">
        <v>34231.76</v>
      </c>
    </row>
    <row r="1317" spans="1:10">
      <c r="A1317" t="s">
        <v>857</v>
      </c>
      <c r="B1317" s="5">
        <v>45931</v>
      </c>
      <c r="C1317" t="s">
        <v>183</v>
      </c>
      <c r="D1317" t="s">
        <v>59</v>
      </c>
      <c r="E1317" t="s">
        <v>150</v>
      </c>
      <c r="F1317" t="s">
        <v>154</v>
      </c>
      <c r="G1317" t="s">
        <v>216</v>
      </c>
      <c r="H1317" s="6">
        <v>0</v>
      </c>
      <c r="I1317" s="6">
        <v>34231.76</v>
      </c>
      <c r="J1317" s="6">
        <v>-34231.76</v>
      </c>
    </row>
    <row r="1318" spans="1:10">
      <c r="A1318" t="s">
        <v>858</v>
      </c>
      <c r="B1318" s="5">
        <v>45931</v>
      </c>
      <c r="C1318" t="s">
        <v>217</v>
      </c>
      <c r="D1318" t="s">
        <v>218</v>
      </c>
      <c r="E1318" t="s">
        <v>122</v>
      </c>
      <c r="F1318" t="s">
        <v>154</v>
      </c>
      <c r="G1318" t="s">
        <v>216</v>
      </c>
      <c r="H1318" s="6">
        <v>23820</v>
      </c>
      <c r="I1318" s="6">
        <v>0</v>
      </c>
      <c r="J1318" s="6">
        <v>23820</v>
      </c>
    </row>
    <row r="1319" spans="1:10">
      <c r="A1319" t="s">
        <v>858</v>
      </c>
      <c r="B1319" s="5">
        <v>45931</v>
      </c>
      <c r="C1319" t="s">
        <v>185</v>
      </c>
      <c r="D1319" t="s">
        <v>186</v>
      </c>
      <c r="E1319" t="s">
        <v>150</v>
      </c>
      <c r="F1319" t="s">
        <v>154</v>
      </c>
      <c r="G1319" t="s">
        <v>216</v>
      </c>
      <c r="H1319" s="6">
        <v>0</v>
      </c>
      <c r="I1319" s="6">
        <v>23820</v>
      </c>
      <c r="J1319" s="6">
        <v>-23820</v>
      </c>
    </row>
    <row r="1320" spans="1:10">
      <c r="A1320" t="s">
        <v>859</v>
      </c>
      <c r="B1320" s="5">
        <v>45931</v>
      </c>
      <c r="C1320" t="s">
        <v>217</v>
      </c>
      <c r="D1320" t="s">
        <v>218</v>
      </c>
      <c r="E1320" t="s">
        <v>122</v>
      </c>
      <c r="F1320" t="s">
        <v>154</v>
      </c>
      <c r="G1320" t="s">
        <v>216</v>
      </c>
      <c r="H1320" s="6">
        <v>9264</v>
      </c>
      <c r="I1320" s="6">
        <v>0</v>
      </c>
      <c r="J1320" s="6">
        <v>9264</v>
      </c>
    </row>
    <row r="1321" spans="1:10">
      <c r="A1321" t="s">
        <v>859</v>
      </c>
      <c r="B1321" s="5">
        <v>45931</v>
      </c>
      <c r="C1321" t="s">
        <v>191</v>
      </c>
      <c r="D1321" t="s">
        <v>104</v>
      </c>
      <c r="E1321" t="s">
        <v>150</v>
      </c>
      <c r="F1321" t="s">
        <v>154</v>
      </c>
      <c r="G1321" t="s">
        <v>216</v>
      </c>
      <c r="H1321" s="6">
        <v>0</v>
      </c>
      <c r="I1321" s="6">
        <v>9264</v>
      </c>
      <c r="J1321" s="6">
        <v>-9264</v>
      </c>
    </row>
    <row r="1322" spans="1:10">
      <c r="A1322" t="s">
        <v>860</v>
      </c>
      <c r="B1322" s="5">
        <v>45931</v>
      </c>
      <c r="C1322" t="s">
        <v>217</v>
      </c>
      <c r="D1322" t="s">
        <v>218</v>
      </c>
      <c r="E1322" t="s">
        <v>122</v>
      </c>
      <c r="F1322" t="s">
        <v>154</v>
      </c>
      <c r="G1322" t="s">
        <v>216</v>
      </c>
      <c r="H1322" s="6">
        <v>24184.06887899994</v>
      </c>
      <c r="I1322" s="6">
        <v>0</v>
      </c>
      <c r="J1322" s="6">
        <v>24184.06887899994</v>
      </c>
    </row>
    <row r="1323" spans="1:10">
      <c r="A1323" t="s">
        <v>860</v>
      </c>
      <c r="B1323" s="5">
        <v>45931</v>
      </c>
      <c r="C1323" t="s">
        <v>194</v>
      </c>
      <c r="D1323" t="s">
        <v>195</v>
      </c>
      <c r="E1323" t="s">
        <v>150</v>
      </c>
      <c r="F1323" t="s">
        <v>154</v>
      </c>
      <c r="G1323" t="s">
        <v>216</v>
      </c>
      <c r="H1323" s="6">
        <v>0</v>
      </c>
      <c r="I1323" s="6">
        <v>24184.06887899994</v>
      </c>
      <c r="J1323" s="6">
        <v>-24184.06887899994</v>
      </c>
    </row>
    <row r="1324" spans="1:10">
      <c r="A1324" t="s">
        <v>861</v>
      </c>
      <c r="B1324" s="5">
        <v>45962</v>
      </c>
      <c r="C1324" t="s">
        <v>146</v>
      </c>
      <c r="D1324" t="s">
        <v>86</v>
      </c>
      <c r="E1324" t="s">
        <v>120</v>
      </c>
      <c r="F1324" t="s">
        <v>52</v>
      </c>
      <c r="G1324" t="s">
        <v>147</v>
      </c>
      <c r="H1324" s="6">
        <v>1824414.72</v>
      </c>
      <c r="I1324" s="6">
        <v>0</v>
      </c>
      <c r="J1324" s="6">
        <v>1824414.72</v>
      </c>
    </row>
    <row r="1325" spans="1:10">
      <c r="A1325" t="s">
        <v>861</v>
      </c>
      <c r="B1325" s="5">
        <v>45962</v>
      </c>
      <c r="C1325" t="s">
        <v>148</v>
      </c>
      <c r="D1325" t="s">
        <v>149</v>
      </c>
      <c r="E1325" t="s">
        <v>150</v>
      </c>
      <c r="F1325" t="s">
        <v>52</v>
      </c>
      <c r="G1325" t="s">
        <v>147</v>
      </c>
      <c r="H1325" s="6">
        <v>0</v>
      </c>
      <c r="I1325" s="6">
        <v>1824414.72</v>
      </c>
      <c r="J1325" s="6">
        <v>-1824414.72</v>
      </c>
    </row>
    <row r="1326" spans="1:10">
      <c r="A1326" t="s">
        <v>862</v>
      </c>
      <c r="B1326" s="5">
        <v>45962</v>
      </c>
      <c r="C1326" t="s">
        <v>152</v>
      </c>
      <c r="D1326" t="s">
        <v>153</v>
      </c>
      <c r="E1326" t="s">
        <v>150</v>
      </c>
      <c r="F1326" t="s">
        <v>154</v>
      </c>
      <c r="G1326" t="s">
        <v>155</v>
      </c>
      <c r="H1326" s="6">
        <v>155075.2512</v>
      </c>
      <c r="I1326" s="6">
        <v>0</v>
      </c>
      <c r="J1326" s="6">
        <v>155075.2512</v>
      </c>
    </row>
    <row r="1327" spans="1:10">
      <c r="A1327" t="s">
        <v>862</v>
      </c>
      <c r="B1327" s="5">
        <v>45962</v>
      </c>
      <c r="C1327" t="s">
        <v>156</v>
      </c>
      <c r="D1327" t="s">
        <v>157</v>
      </c>
      <c r="E1327" t="s">
        <v>121</v>
      </c>
      <c r="F1327" t="s">
        <v>154</v>
      </c>
      <c r="G1327" t="s">
        <v>155</v>
      </c>
      <c r="H1327" s="6">
        <v>0</v>
      </c>
      <c r="I1327" s="6">
        <v>155075.2512</v>
      </c>
      <c r="J1327" s="6">
        <v>-155075.2512</v>
      </c>
    </row>
    <row r="1328" spans="1:10">
      <c r="A1328" t="s">
        <v>863</v>
      </c>
      <c r="B1328" s="5">
        <v>45962</v>
      </c>
      <c r="C1328" t="s">
        <v>159</v>
      </c>
      <c r="D1328" t="s">
        <v>160</v>
      </c>
      <c r="E1328" t="s">
        <v>120</v>
      </c>
      <c r="F1328" t="s">
        <v>58</v>
      </c>
      <c r="G1328" t="s">
        <v>161</v>
      </c>
      <c r="H1328" s="6">
        <v>1568533.264</v>
      </c>
      <c r="I1328" s="6">
        <v>0</v>
      </c>
      <c r="J1328" s="6">
        <v>1568533.264</v>
      </c>
    </row>
    <row r="1329" spans="1:10">
      <c r="A1329" t="s">
        <v>863</v>
      </c>
      <c r="B1329" s="5">
        <v>45962</v>
      </c>
      <c r="C1329" t="s">
        <v>162</v>
      </c>
      <c r="D1329" t="s">
        <v>88</v>
      </c>
      <c r="E1329" t="s">
        <v>121</v>
      </c>
      <c r="F1329" t="s">
        <v>58</v>
      </c>
      <c r="G1329" t="s">
        <v>161</v>
      </c>
      <c r="H1329" s="6">
        <v>0</v>
      </c>
      <c r="I1329" s="6">
        <v>1568533.264</v>
      </c>
      <c r="J1329" s="6">
        <v>-1568533.264</v>
      </c>
    </row>
    <row r="1330" spans="1:10">
      <c r="A1330" t="s">
        <v>864</v>
      </c>
      <c r="B1330" s="5">
        <v>45962</v>
      </c>
      <c r="C1330" t="s">
        <v>164</v>
      </c>
      <c r="D1330" t="s">
        <v>36</v>
      </c>
      <c r="E1330" t="s">
        <v>150</v>
      </c>
      <c r="F1330" t="s">
        <v>58</v>
      </c>
      <c r="G1330" t="s">
        <v>165</v>
      </c>
      <c r="H1330" s="6">
        <v>1249236.52</v>
      </c>
      <c r="I1330" s="6">
        <v>0</v>
      </c>
      <c r="J1330" s="6">
        <v>1249236.52</v>
      </c>
    </row>
    <row r="1331" spans="1:10">
      <c r="A1331" t="s">
        <v>864</v>
      </c>
      <c r="B1331" s="5">
        <v>45962</v>
      </c>
      <c r="C1331" t="s">
        <v>159</v>
      </c>
      <c r="D1331" t="s">
        <v>160</v>
      </c>
      <c r="E1331" t="s">
        <v>120</v>
      </c>
      <c r="F1331" t="s">
        <v>58</v>
      </c>
      <c r="G1331" t="s">
        <v>165</v>
      </c>
      <c r="H1331" s="6">
        <v>0</v>
      </c>
      <c r="I1331" s="6">
        <v>1249236.52</v>
      </c>
      <c r="J1331" s="6">
        <v>-1249236.52</v>
      </c>
    </row>
    <row r="1332" spans="1:10">
      <c r="A1332" t="s">
        <v>865</v>
      </c>
      <c r="B1332" s="5">
        <v>45962</v>
      </c>
      <c r="C1332" t="s">
        <v>167</v>
      </c>
      <c r="D1332" t="s">
        <v>51</v>
      </c>
      <c r="E1332" t="s">
        <v>150</v>
      </c>
      <c r="F1332" t="s">
        <v>51</v>
      </c>
      <c r="G1332" t="s">
        <v>168</v>
      </c>
      <c r="H1332" s="6">
        <v>110162</v>
      </c>
      <c r="I1332" s="6">
        <v>0</v>
      </c>
      <c r="J1332" s="6">
        <v>110162</v>
      </c>
    </row>
    <row r="1333" spans="1:10">
      <c r="A1333" t="s">
        <v>865</v>
      </c>
      <c r="B1333" s="5">
        <v>45962</v>
      </c>
      <c r="C1333" t="s">
        <v>169</v>
      </c>
      <c r="D1333" t="s">
        <v>170</v>
      </c>
      <c r="E1333" t="s">
        <v>121</v>
      </c>
      <c r="F1333" t="s">
        <v>51</v>
      </c>
      <c r="G1333" t="s">
        <v>168</v>
      </c>
      <c r="H1333" s="6">
        <v>0</v>
      </c>
      <c r="I1333" s="6">
        <v>110162</v>
      </c>
      <c r="J1333" s="6">
        <v>-110162</v>
      </c>
    </row>
    <row r="1334" spans="1:10">
      <c r="A1334" t="s">
        <v>866</v>
      </c>
      <c r="B1334" s="5">
        <v>45962</v>
      </c>
      <c r="C1334" t="s">
        <v>169</v>
      </c>
      <c r="D1334" t="s">
        <v>170</v>
      </c>
      <c r="E1334" t="s">
        <v>121</v>
      </c>
      <c r="F1334" t="s">
        <v>51</v>
      </c>
      <c r="G1334" t="s">
        <v>172</v>
      </c>
      <c r="H1334" s="6">
        <v>110162</v>
      </c>
      <c r="I1334" s="6">
        <v>0</v>
      </c>
      <c r="J1334" s="6">
        <v>110162</v>
      </c>
    </row>
    <row r="1335" spans="1:10">
      <c r="A1335" t="s">
        <v>866</v>
      </c>
      <c r="B1335" s="5">
        <v>45962</v>
      </c>
      <c r="C1335" t="s">
        <v>173</v>
      </c>
      <c r="D1335" t="s">
        <v>174</v>
      </c>
      <c r="E1335" t="s">
        <v>120</v>
      </c>
      <c r="F1335" t="s">
        <v>51</v>
      </c>
      <c r="G1335" t="s">
        <v>172</v>
      </c>
      <c r="H1335" s="6">
        <v>0</v>
      </c>
      <c r="I1335" s="6">
        <v>110162</v>
      </c>
      <c r="J1335" s="6">
        <v>-110162</v>
      </c>
    </row>
    <row r="1336" spans="1:10">
      <c r="A1336" t="s">
        <v>867</v>
      </c>
      <c r="B1336" s="5">
        <v>45962</v>
      </c>
      <c r="C1336" t="s">
        <v>176</v>
      </c>
      <c r="D1336" t="s">
        <v>52</v>
      </c>
      <c r="E1336" t="s">
        <v>150</v>
      </c>
      <c r="F1336" t="s">
        <v>52</v>
      </c>
      <c r="G1336" t="s">
        <v>177</v>
      </c>
      <c r="H1336" s="6">
        <v>65678.92999999999</v>
      </c>
      <c r="I1336" s="6">
        <v>0</v>
      </c>
      <c r="J1336" s="6">
        <v>65678.92999999999</v>
      </c>
    </row>
    <row r="1337" spans="1:10">
      <c r="A1337" t="s">
        <v>867</v>
      </c>
      <c r="B1337" s="5">
        <v>45962</v>
      </c>
      <c r="C1337" t="s">
        <v>173</v>
      </c>
      <c r="D1337" t="s">
        <v>174</v>
      </c>
      <c r="E1337" t="s">
        <v>120</v>
      </c>
      <c r="F1337" t="s">
        <v>52</v>
      </c>
      <c r="G1337" t="s">
        <v>177</v>
      </c>
      <c r="H1337" s="6">
        <v>0</v>
      </c>
      <c r="I1337" s="6">
        <v>65678.92999999999</v>
      </c>
      <c r="J1337" s="6">
        <v>-65678.92999999999</v>
      </c>
    </row>
    <row r="1338" spans="1:10">
      <c r="A1338" t="s">
        <v>868</v>
      </c>
      <c r="B1338" s="5">
        <v>45962</v>
      </c>
      <c r="C1338" t="s">
        <v>179</v>
      </c>
      <c r="D1338" t="s">
        <v>54</v>
      </c>
      <c r="E1338" t="s">
        <v>150</v>
      </c>
      <c r="F1338" t="s">
        <v>54</v>
      </c>
      <c r="G1338" t="s">
        <v>177</v>
      </c>
      <c r="H1338" s="6">
        <v>33920</v>
      </c>
      <c r="I1338" s="6">
        <v>0</v>
      </c>
      <c r="J1338" s="6">
        <v>33920</v>
      </c>
    </row>
    <row r="1339" spans="1:10">
      <c r="A1339" t="s">
        <v>868</v>
      </c>
      <c r="B1339" s="5">
        <v>45962</v>
      </c>
      <c r="C1339" t="s">
        <v>173</v>
      </c>
      <c r="D1339" t="s">
        <v>174</v>
      </c>
      <c r="E1339" t="s">
        <v>120</v>
      </c>
      <c r="F1339" t="s">
        <v>54</v>
      </c>
      <c r="G1339" t="s">
        <v>177</v>
      </c>
      <c r="H1339" s="6">
        <v>0</v>
      </c>
      <c r="I1339" s="6">
        <v>33920</v>
      </c>
      <c r="J1339" s="6">
        <v>-33920</v>
      </c>
    </row>
    <row r="1340" spans="1:10">
      <c r="A1340" t="s">
        <v>869</v>
      </c>
      <c r="B1340" s="5">
        <v>45962</v>
      </c>
      <c r="C1340" t="s">
        <v>181</v>
      </c>
      <c r="D1340" t="s">
        <v>56</v>
      </c>
      <c r="E1340" t="s">
        <v>150</v>
      </c>
      <c r="F1340" t="s">
        <v>56</v>
      </c>
      <c r="G1340" t="s">
        <v>177</v>
      </c>
      <c r="H1340" s="6">
        <v>20160</v>
      </c>
      <c r="I1340" s="6">
        <v>0</v>
      </c>
      <c r="J1340" s="6">
        <v>20160</v>
      </c>
    </row>
    <row r="1341" spans="1:10">
      <c r="A1341" t="s">
        <v>869</v>
      </c>
      <c r="B1341" s="5">
        <v>45962</v>
      </c>
      <c r="C1341" t="s">
        <v>173</v>
      </c>
      <c r="D1341" t="s">
        <v>174</v>
      </c>
      <c r="E1341" t="s">
        <v>120</v>
      </c>
      <c r="F1341" t="s">
        <v>56</v>
      </c>
      <c r="G1341" t="s">
        <v>177</v>
      </c>
      <c r="H1341" s="6">
        <v>0</v>
      </c>
      <c r="I1341" s="6">
        <v>20160</v>
      </c>
      <c r="J1341" s="6">
        <v>-20160</v>
      </c>
    </row>
    <row r="1342" spans="1:10">
      <c r="A1342" t="s">
        <v>870</v>
      </c>
      <c r="B1342" s="5">
        <v>45962</v>
      </c>
      <c r="C1342" t="s">
        <v>183</v>
      </c>
      <c r="D1342" t="s">
        <v>59</v>
      </c>
      <c r="E1342" t="s">
        <v>150</v>
      </c>
      <c r="F1342" t="s">
        <v>66</v>
      </c>
      <c r="G1342" t="s">
        <v>177</v>
      </c>
      <c r="H1342" s="6">
        <v>40137.12</v>
      </c>
      <c r="I1342" s="6">
        <v>0</v>
      </c>
      <c r="J1342" s="6">
        <v>40137.12</v>
      </c>
    </row>
    <row r="1343" spans="1:10">
      <c r="A1343" t="s">
        <v>870</v>
      </c>
      <c r="B1343" s="5">
        <v>45962</v>
      </c>
      <c r="C1343" t="s">
        <v>173</v>
      </c>
      <c r="D1343" t="s">
        <v>174</v>
      </c>
      <c r="E1343" t="s">
        <v>120</v>
      </c>
      <c r="F1343" t="s">
        <v>66</v>
      </c>
      <c r="G1343" t="s">
        <v>177</v>
      </c>
      <c r="H1343" s="6">
        <v>0</v>
      </c>
      <c r="I1343" s="6">
        <v>40137.12</v>
      </c>
      <c r="J1343" s="6">
        <v>-40137.12</v>
      </c>
    </row>
    <row r="1344" spans="1:10">
      <c r="A1344" t="s">
        <v>871</v>
      </c>
      <c r="B1344" s="5">
        <v>45962</v>
      </c>
      <c r="C1344" t="s">
        <v>185</v>
      </c>
      <c r="D1344" t="s">
        <v>186</v>
      </c>
      <c r="E1344" t="s">
        <v>150</v>
      </c>
      <c r="F1344" t="s">
        <v>154</v>
      </c>
      <c r="G1344" t="s">
        <v>187</v>
      </c>
      <c r="H1344" s="6">
        <v>24000</v>
      </c>
      <c r="I1344" s="6">
        <v>0</v>
      </c>
      <c r="J1344" s="6">
        <v>24000</v>
      </c>
    </row>
    <row r="1345" spans="1:10">
      <c r="A1345" t="s">
        <v>871</v>
      </c>
      <c r="B1345" s="5">
        <v>45962</v>
      </c>
      <c r="C1345" t="s">
        <v>188</v>
      </c>
      <c r="D1345" t="s">
        <v>189</v>
      </c>
      <c r="E1345" t="s">
        <v>120</v>
      </c>
      <c r="F1345" t="s">
        <v>154</v>
      </c>
      <c r="G1345" t="s">
        <v>187</v>
      </c>
      <c r="H1345" s="6">
        <v>0</v>
      </c>
      <c r="I1345" s="6">
        <v>24000</v>
      </c>
      <c r="J1345" s="6">
        <v>-24000</v>
      </c>
    </row>
    <row r="1346" spans="1:10">
      <c r="A1346" t="s">
        <v>872</v>
      </c>
      <c r="B1346" s="5">
        <v>45962</v>
      </c>
      <c r="C1346" t="s">
        <v>191</v>
      </c>
      <c r="D1346" t="s">
        <v>104</v>
      </c>
      <c r="E1346" t="s">
        <v>150</v>
      </c>
      <c r="F1346" t="s">
        <v>154</v>
      </c>
      <c r="G1346" t="s">
        <v>192</v>
      </c>
      <c r="H1346" s="6">
        <v>9048</v>
      </c>
      <c r="I1346" s="6">
        <v>0</v>
      </c>
      <c r="J1346" s="6">
        <v>9048</v>
      </c>
    </row>
    <row r="1347" spans="1:10">
      <c r="A1347" t="s">
        <v>872</v>
      </c>
      <c r="B1347" s="5">
        <v>45962</v>
      </c>
      <c r="C1347" t="s">
        <v>173</v>
      </c>
      <c r="D1347" t="s">
        <v>174</v>
      </c>
      <c r="E1347" t="s">
        <v>120</v>
      </c>
      <c r="F1347" t="s">
        <v>154</v>
      </c>
      <c r="G1347" t="s">
        <v>192</v>
      </c>
      <c r="H1347" s="6">
        <v>0</v>
      </c>
      <c r="I1347" s="6">
        <v>9048</v>
      </c>
      <c r="J1347" s="6">
        <v>-9048</v>
      </c>
    </row>
    <row r="1348" spans="1:10">
      <c r="A1348" t="s">
        <v>873</v>
      </c>
      <c r="B1348" s="5">
        <v>45962</v>
      </c>
      <c r="C1348" t="s">
        <v>194</v>
      </c>
      <c r="D1348" t="s">
        <v>195</v>
      </c>
      <c r="E1348" t="s">
        <v>150</v>
      </c>
      <c r="F1348" t="s">
        <v>154</v>
      </c>
      <c r="G1348" t="s">
        <v>196</v>
      </c>
      <c r="H1348" s="6">
        <v>39778.94559199997</v>
      </c>
      <c r="I1348" s="6">
        <v>0</v>
      </c>
      <c r="J1348" s="6">
        <v>39778.94559199997</v>
      </c>
    </row>
    <row r="1349" spans="1:10">
      <c r="A1349" t="s">
        <v>873</v>
      </c>
      <c r="B1349" s="5">
        <v>45962</v>
      </c>
      <c r="C1349" t="s">
        <v>197</v>
      </c>
      <c r="D1349" t="s">
        <v>198</v>
      </c>
      <c r="E1349" t="s">
        <v>121</v>
      </c>
      <c r="F1349" t="s">
        <v>154</v>
      </c>
      <c r="G1349" t="s">
        <v>196</v>
      </c>
      <c r="H1349" s="6">
        <v>0</v>
      </c>
      <c r="I1349" s="6">
        <v>39778.94559199997</v>
      </c>
      <c r="J1349" s="6">
        <v>-39778.94559199997</v>
      </c>
    </row>
    <row r="1350" spans="1:10">
      <c r="A1350" t="s">
        <v>874</v>
      </c>
      <c r="B1350" s="5">
        <v>45962</v>
      </c>
      <c r="C1350" t="s">
        <v>173</v>
      </c>
      <c r="D1350" t="s">
        <v>174</v>
      </c>
      <c r="E1350" t="s">
        <v>120</v>
      </c>
      <c r="F1350" t="s">
        <v>154</v>
      </c>
      <c r="G1350" t="s">
        <v>200</v>
      </c>
      <c r="H1350" s="6">
        <v>1403880.919666667</v>
      </c>
      <c r="I1350" s="6">
        <v>0</v>
      </c>
      <c r="J1350" s="6">
        <v>1403880.919666667</v>
      </c>
    </row>
    <row r="1351" spans="1:10">
      <c r="A1351" t="s">
        <v>874</v>
      </c>
      <c r="B1351" s="5">
        <v>45962</v>
      </c>
      <c r="C1351" t="s">
        <v>146</v>
      </c>
      <c r="D1351" t="s">
        <v>86</v>
      </c>
      <c r="E1351" t="s">
        <v>120</v>
      </c>
      <c r="F1351" t="s">
        <v>154</v>
      </c>
      <c r="G1351" t="s">
        <v>200</v>
      </c>
      <c r="H1351" s="6">
        <v>0</v>
      </c>
      <c r="I1351" s="6">
        <v>1403880.919666667</v>
      </c>
      <c r="J1351" s="6">
        <v>-1403880.919666667</v>
      </c>
    </row>
    <row r="1352" spans="1:10">
      <c r="A1352" t="s">
        <v>875</v>
      </c>
      <c r="B1352" s="5">
        <v>45962</v>
      </c>
      <c r="C1352" t="s">
        <v>162</v>
      </c>
      <c r="D1352" t="s">
        <v>88</v>
      </c>
      <c r="E1352" t="s">
        <v>121</v>
      </c>
      <c r="F1352" t="s">
        <v>154</v>
      </c>
      <c r="G1352" t="s">
        <v>202</v>
      </c>
      <c r="H1352" s="6">
        <v>1353621.994</v>
      </c>
      <c r="I1352" s="6">
        <v>0</v>
      </c>
      <c r="J1352" s="6">
        <v>1353621.994</v>
      </c>
    </row>
    <row r="1353" spans="1:10">
      <c r="A1353" t="s">
        <v>875</v>
      </c>
      <c r="B1353" s="5">
        <v>45962</v>
      </c>
      <c r="C1353" t="s">
        <v>173</v>
      </c>
      <c r="D1353" t="s">
        <v>174</v>
      </c>
      <c r="E1353" t="s">
        <v>120</v>
      </c>
      <c r="F1353" t="s">
        <v>154</v>
      </c>
      <c r="G1353" t="s">
        <v>202</v>
      </c>
      <c r="H1353" s="6">
        <v>0</v>
      </c>
      <c r="I1353" s="6">
        <v>1353621.994</v>
      </c>
      <c r="J1353" s="6">
        <v>-1353621.994</v>
      </c>
    </row>
    <row r="1354" spans="1:10">
      <c r="A1354" t="s">
        <v>876</v>
      </c>
      <c r="B1354" s="5">
        <v>45962</v>
      </c>
      <c r="C1354" t="s">
        <v>156</v>
      </c>
      <c r="D1354" t="s">
        <v>157</v>
      </c>
      <c r="E1354" t="s">
        <v>121</v>
      </c>
      <c r="F1354" t="s">
        <v>154</v>
      </c>
      <c r="G1354" t="s">
        <v>204</v>
      </c>
      <c r="H1354" s="6">
        <v>132259.05565</v>
      </c>
      <c r="I1354" s="6">
        <v>0</v>
      </c>
      <c r="J1354" s="6">
        <v>132259.05565</v>
      </c>
    </row>
    <row r="1355" spans="1:10">
      <c r="A1355" t="s">
        <v>876</v>
      </c>
      <c r="B1355" s="5">
        <v>45962</v>
      </c>
      <c r="C1355" t="s">
        <v>173</v>
      </c>
      <c r="D1355" t="s">
        <v>174</v>
      </c>
      <c r="E1355" t="s">
        <v>120</v>
      </c>
      <c r="F1355" t="s">
        <v>154</v>
      </c>
      <c r="G1355" t="s">
        <v>204</v>
      </c>
      <c r="H1355" s="6">
        <v>0</v>
      </c>
      <c r="I1355" s="6">
        <v>132259.05565</v>
      </c>
      <c r="J1355" s="6">
        <v>-132259.05565</v>
      </c>
    </row>
    <row r="1356" spans="1:10">
      <c r="A1356" t="s">
        <v>877</v>
      </c>
      <c r="B1356" s="5">
        <v>45962</v>
      </c>
      <c r="C1356" t="s">
        <v>197</v>
      </c>
      <c r="D1356" t="s">
        <v>198</v>
      </c>
      <c r="E1356" t="s">
        <v>121</v>
      </c>
      <c r="F1356" t="s">
        <v>154</v>
      </c>
      <c r="G1356" t="s">
        <v>206</v>
      </c>
      <c r="H1356" s="6">
        <v>24184.06887899994</v>
      </c>
      <c r="I1356" s="6">
        <v>0</v>
      </c>
      <c r="J1356" s="6">
        <v>24184.06887899994</v>
      </c>
    </row>
    <row r="1357" spans="1:10">
      <c r="A1357" t="s">
        <v>877</v>
      </c>
      <c r="B1357" s="5">
        <v>45962</v>
      </c>
      <c r="C1357" t="s">
        <v>173</v>
      </c>
      <c r="D1357" t="s">
        <v>174</v>
      </c>
      <c r="E1357" t="s">
        <v>120</v>
      </c>
      <c r="F1357" t="s">
        <v>154</v>
      </c>
      <c r="G1357" t="s">
        <v>206</v>
      </c>
      <c r="H1357" s="6">
        <v>0</v>
      </c>
      <c r="I1357" s="6">
        <v>24184.06887899994</v>
      </c>
      <c r="J1357" s="6">
        <v>-24184.06887899994</v>
      </c>
    </row>
    <row r="1358" spans="1:10">
      <c r="A1358" t="s">
        <v>878</v>
      </c>
      <c r="B1358" s="5">
        <v>45962</v>
      </c>
      <c r="C1358" t="s">
        <v>208</v>
      </c>
      <c r="D1358" t="s">
        <v>209</v>
      </c>
      <c r="E1358" t="s">
        <v>120</v>
      </c>
      <c r="F1358" t="s">
        <v>154</v>
      </c>
      <c r="G1358" t="s">
        <v>210</v>
      </c>
      <c r="H1358" s="6">
        <v>18000</v>
      </c>
      <c r="I1358" s="6">
        <v>0</v>
      </c>
      <c r="J1358" s="6">
        <v>18000</v>
      </c>
    </row>
    <row r="1359" spans="1:10">
      <c r="A1359" t="s">
        <v>878</v>
      </c>
      <c r="B1359" s="5">
        <v>45962</v>
      </c>
      <c r="C1359" t="s">
        <v>173</v>
      </c>
      <c r="D1359" t="s">
        <v>174</v>
      </c>
      <c r="E1359" t="s">
        <v>120</v>
      </c>
      <c r="F1359" t="s">
        <v>154</v>
      </c>
      <c r="G1359" t="s">
        <v>210</v>
      </c>
      <c r="H1359" s="6">
        <v>0</v>
      </c>
      <c r="I1359" s="6">
        <v>18000</v>
      </c>
      <c r="J1359" s="6">
        <v>-18000</v>
      </c>
    </row>
    <row r="1360" spans="1:10">
      <c r="A1360" t="s">
        <v>879</v>
      </c>
      <c r="B1360" s="5">
        <v>45962</v>
      </c>
      <c r="C1360" t="s">
        <v>212</v>
      </c>
      <c r="D1360" t="s">
        <v>213</v>
      </c>
      <c r="E1360" t="s">
        <v>121</v>
      </c>
      <c r="F1360" t="s">
        <v>154</v>
      </c>
      <c r="G1360" t="s">
        <v>214</v>
      </c>
      <c r="H1360" s="6">
        <v>18000</v>
      </c>
      <c r="I1360" s="6">
        <v>0</v>
      </c>
      <c r="J1360" s="6">
        <v>18000</v>
      </c>
    </row>
    <row r="1361" spans="1:10">
      <c r="A1361" t="s">
        <v>879</v>
      </c>
      <c r="B1361" s="5">
        <v>45962</v>
      </c>
      <c r="C1361" t="s">
        <v>173</v>
      </c>
      <c r="D1361" t="s">
        <v>174</v>
      </c>
      <c r="E1361" t="s">
        <v>120</v>
      </c>
      <c r="F1361" t="s">
        <v>154</v>
      </c>
      <c r="G1361" t="s">
        <v>214</v>
      </c>
      <c r="H1361" s="6">
        <v>0</v>
      </c>
      <c r="I1361" s="6">
        <v>18000</v>
      </c>
      <c r="J1361" s="6">
        <v>-18000</v>
      </c>
    </row>
    <row r="1362" spans="1:10">
      <c r="A1362" t="s">
        <v>880</v>
      </c>
      <c r="B1362" s="5">
        <v>45962</v>
      </c>
      <c r="C1362" t="s">
        <v>148</v>
      </c>
      <c r="D1362" t="s">
        <v>149</v>
      </c>
      <c r="E1362" t="s">
        <v>150</v>
      </c>
      <c r="F1362" t="s">
        <v>154</v>
      </c>
      <c r="G1362" t="s">
        <v>216</v>
      </c>
      <c r="H1362" s="6">
        <v>1824414.72</v>
      </c>
      <c r="I1362" s="6">
        <v>0</v>
      </c>
      <c r="J1362" s="6">
        <v>1824414.72</v>
      </c>
    </row>
    <row r="1363" spans="1:10">
      <c r="A1363" t="s">
        <v>880</v>
      </c>
      <c r="B1363" s="5">
        <v>45962</v>
      </c>
      <c r="C1363" t="s">
        <v>217</v>
      </c>
      <c r="D1363" t="s">
        <v>218</v>
      </c>
      <c r="E1363" t="s">
        <v>122</v>
      </c>
      <c r="F1363" t="s">
        <v>154</v>
      </c>
      <c r="G1363" t="s">
        <v>216</v>
      </c>
      <c r="H1363" s="6">
        <v>0</v>
      </c>
      <c r="I1363" s="6">
        <v>1824414.72</v>
      </c>
      <c r="J1363" s="6">
        <v>-1824414.72</v>
      </c>
    </row>
    <row r="1364" spans="1:10">
      <c r="A1364" t="s">
        <v>881</v>
      </c>
      <c r="B1364" s="5">
        <v>45962</v>
      </c>
      <c r="C1364" t="s">
        <v>217</v>
      </c>
      <c r="D1364" t="s">
        <v>218</v>
      </c>
      <c r="E1364" t="s">
        <v>122</v>
      </c>
      <c r="F1364" t="s">
        <v>154</v>
      </c>
      <c r="G1364" t="s">
        <v>216</v>
      </c>
      <c r="H1364" s="6">
        <v>155075.2512</v>
      </c>
      <c r="I1364" s="6">
        <v>0</v>
      </c>
      <c r="J1364" s="6">
        <v>155075.2512</v>
      </c>
    </row>
    <row r="1365" spans="1:10">
      <c r="A1365" t="s">
        <v>881</v>
      </c>
      <c r="B1365" s="5">
        <v>45962</v>
      </c>
      <c r="C1365" t="s">
        <v>152</v>
      </c>
      <c r="D1365" t="s">
        <v>153</v>
      </c>
      <c r="E1365" t="s">
        <v>150</v>
      </c>
      <c r="F1365" t="s">
        <v>154</v>
      </c>
      <c r="G1365" t="s">
        <v>216</v>
      </c>
      <c r="H1365" s="6">
        <v>0</v>
      </c>
      <c r="I1365" s="6">
        <v>155075.2512</v>
      </c>
      <c r="J1365" s="6">
        <v>-155075.2512</v>
      </c>
    </row>
    <row r="1366" spans="1:10">
      <c r="A1366" t="s">
        <v>882</v>
      </c>
      <c r="B1366" s="5">
        <v>45962</v>
      </c>
      <c r="C1366" t="s">
        <v>217</v>
      </c>
      <c r="D1366" t="s">
        <v>218</v>
      </c>
      <c r="E1366" t="s">
        <v>122</v>
      </c>
      <c r="F1366" t="s">
        <v>154</v>
      </c>
      <c r="G1366" t="s">
        <v>216</v>
      </c>
      <c r="H1366" s="6">
        <v>1249236.52</v>
      </c>
      <c r="I1366" s="6">
        <v>0</v>
      </c>
      <c r="J1366" s="6">
        <v>1249236.52</v>
      </c>
    </row>
    <row r="1367" spans="1:10">
      <c r="A1367" t="s">
        <v>882</v>
      </c>
      <c r="B1367" s="5">
        <v>45962</v>
      </c>
      <c r="C1367" t="s">
        <v>164</v>
      </c>
      <c r="D1367" t="s">
        <v>36</v>
      </c>
      <c r="E1367" t="s">
        <v>150</v>
      </c>
      <c r="F1367" t="s">
        <v>154</v>
      </c>
      <c r="G1367" t="s">
        <v>216</v>
      </c>
      <c r="H1367" s="6">
        <v>0</v>
      </c>
      <c r="I1367" s="6">
        <v>1249236.52</v>
      </c>
      <c r="J1367" s="6">
        <v>-1249236.52</v>
      </c>
    </row>
    <row r="1368" spans="1:10">
      <c r="A1368" t="s">
        <v>883</v>
      </c>
      <c r="B1368" s="5">
        <v>45962</v>
      </c>
      <c r="C1368" t="s">
        <v>217</v>
      </c>
      <c r="D1368" t="s">
        <v>218</v>
      </c>
      <c r="E1368" t="s">
        <v>122</v>
      </c>
      <c r="F1368" t="s">
        <v>154</v>
      </c>
      <c r="G1368" t="s">
        <v>216</v>
      </c>
      <c r="H1368" s="6">
        <v>110162</v>
      </c>
      <c r="I1368" s="6">
        <v>0</v>
      </c>
      <c r="J1368" s="6">
        <v>110162</v>
      </c>
    </row>
    <row r="1369" spans="1:10">
      <c r="A1369" t="s">
        <v>883</v>
      </c>
      <c r="B1369" s="5">
        <v>45962</v>
      </c>
      <c r="C1369" t="s">
        <v>167</v>
      </c>
      <c r="D1369" t="s">
        <v>51</v>
      </c>
      <c r="E1369" t="s">
        <v>150</v>
      </c>
      <c r="F1369" t="s">
        <v>154</v>
      </c>
      <c r="G1369" t="s">
        <v>216</v>
      </c>
      <c r="H1369" s="6">
        <v>0</v>
      </c>
      <c r="I1369" s="6">
        <v>110162</v>
      </c>
      <c r="J1369" s="6">
        <v>-110162</v>
      </c>
    </row>
    <row r="1370" spans="1:10">
      <c r="A1370" t="s">
        <v>884</v>
      </c>
      <c r="B1370" s="5">
        <v>45962</v>
      </c>
      <c r="C1370" t="s">
        <v>217</v>
      </c>
      <c r="D1370" t="s">
        <v>218</v>
      </c>
      <c r="E1370" t="s">
        <v>122</v>
      </c>
      <c r="F1370" t="s">
        <v>154</v>
      </c>
      <c r="G1370" t="s">
        <v>216</v>
      </c>
      <c r="H1370" s="6">
        <v>65678.92999999999</v>
      </c>
      <c r="I1370" s="6">
        <v>0</v>
      </c>
      <c r="J1370" s="6">
        <v>65678.92999999999</v>
      </c>
    </row>
    <row r="1371" spans="1:10">
      <c r="A1371" t="s">
        <v>884</v>
      </c>
      <c r="B1371" s="5">
        <v>45962</v>
      </c>
      <c r="C1371" t="s">
        <v>176</v>
      </c>
      <c r="D1371" t="s">
        <v>52</v>
      </c>
      <c r="E1371" t="s">
        <v>150</v>
      </c>
      <c r="F1371" t="s">
        <v>154</v>
      </c>
      <c r="G1371" t="s">
        <v>216</v>
      </c>
      <c r="H1371" s="6">
        <v>0</v>
      </c>
      <c r="I1371" s="6">
        <v>65678.92999999999</v>
      </c>
      <c r="J1371" s="6">
        <v>-65678.92999999999</v>
      </c>
    </row>
    <row r="1372" spans="1:10">
      <c r="A1372" t="s">
        <v>885</v>
      </c>
      <c r="B1372" s="5">
        <v>45962</v>
      </c>
      <c r="C1372" t="s">
        <v>217</v>
      </c>
      <c r="D1372" t="s">
        <v>218</v>
      </c>
      <c r="E1372" t="s">
        <v>122</v>
      </c>
      <c r="F1372" t="s">
        <v>154</v>
      </c>
      <c r="G1372" t="s">
        <v>216</v>
      </c>
      <c r="H1372" s="6">
        <v>33920</v>
      </c>
      <c r="I1372" s="6">
        <v>0</v>
      </c>
      <c r="J1372" s="6">
        <v>33920</v>
      </c>
    </row>
    <row r="1373" spans="1:10">
      <c r="A1373" t="s">
        <v>885</v>
      </c>
      <c r="B1373" s="5">
        <v>45962</v>
      </c>
      <c r="C1373" t="s">
        <v>179</v>
      </c>
      <c r="D1373" t="s">
        <v>54</v>
      </c>
      <c r="E1373" t="s">
        <v>150</v>
      </c>
      <c r="F1373" t="s">
        <v>154</v>
      </c>
      <c r="G1373" t="s">
        <v>216</v>
      </c>
      <c r="H1373" s="6">
        <v>0</v>
      </c>
      <c r="I1373" s="6">
        <v>33920</v>
      </c>
      <c r="J1373" s="6">
        <v>-33920</v>
      </c>
    </row>
    <row r="1374" spans="1:10">
      <c r="A1374" t="s">
        <v>886</v>
      </c>
      <c r="B1374" s="5">
        <v>45962</v>
      </c>
      <c r="C1374" t="s">
        <v>217</v>
      </c>
      <c r="D1374" t="s">
        <v>218</v>
      </c>
      <c r="E1374" t="s">
        <v>122</v>
      </c>
      <c r="F1374" t="s">
        <v>154</v>
      </c>
      <c r="G1374" t="s">
        <v>216</v>
      </c>
      <c r="H1374" s="6">
        <v>20160</v>
      </c>
      <c r="I1374" s="6">
        <v>0</v>
      </c>
      <c r="J1374" s="6">
        <v>20160</v>
      </c>
    </row>
    <row r="1375" spans="1:10">
      <c r="A1375" t="s">
        <v>886</v>
      </c>
      <c r="B1375" s="5">
        <v>45962</v>
      </c>
      <c r="C1375" t="s">
        <v>181</v>
      </c>
      <c r="D1375" t="s">
        <v>56</v>
      </c>
      <c r="E1375" t="s">
        <v>150</v>
      </c>
      <c r="F1375" t="s">
        <v>154</v>
      </c>
      <c r="G1375" t="s">
        <v>216</v>
      </c>
      <c r="H1375" s="6">
        <v>0</v>
      </c>
      <c r="I1375" s="6">
        <v>20160</v>
      </c>
      <c r="J1375" s="6">
        <v>-20160</v>
      </c>
    </row>
    <row r="1376" spans="1:10">
      <c r="A1376" t="s">
        <v>887</v>
      </c>
      <c r="B1376" s="5">
        <v>45962</v>
      </c>
      <c r="C1376" t="s">
        <v>217</v>
      </c>
      <c r="D1376" t="s">
        <v>218</v>
      </c>
      <c r="E1376" t="s">
        <v>122</v>
      </c>
      <c r="F1376" t="s">
        <v>154</v>
      </c>
      <c r="G1376" t="s">
        <v>216</v>
      </c>
      <c r="H1376" s="6">
        <v>40137.12</v>
      </c>
      <c r="I1376" s="6">
        <v>0</v>
      </c>
      <c r="J1376" s="6">
        <v>40137.12</v>
      </c>
    </row>
    <row r="1377" spans="1:10">
      <c r="A1377" t="s">
        <v>887</v>
      </c>
      <c r="B1377" s="5">
        <v>45962</v>
      </c>
      <c r="C1377" t="s">
        <v>183</v>
      </c>
      <c r="D1377" t="s">
        <v>59</v>
      </c>
      <c r="E1377" t="s">
        <v>150</v>
      </c>
      <c r="F1377" t="s">
        <v>154</v>
      </c>
      <c r="G1377" t="s">
        <v>216</v>
      </c>
      <c r="H1377" s="6">
        <v>0</v>
      </c>
      <c r="I1377" s="6">
        <v>40137.12</v>
      </c>
      <c r="J1377" s="6">
        <v>-40137.12</v>
      </c>
    </row>
    <row r="1378" spans="1:10">
      <c r="A1378" t="s">
        <v>888</v>
      </c>
      <c r="B1378" s="5">
        <v>45962</v>
      </c>
      <c r="C1378" t="s">
        <v>217</v>
      </c>
      <c r="D1378" t="s">
        <v>218</v>
      </c>
      <c r="E1378" t="s">
        <v>122</v>
      </c>
      <c r="F1378" t="s">
        <v>154</v>
      </c>
      <c r="G1378" t="s">
        <v>216</v>
      </c>
      <c r="H1378" s="6">
        <v>24000</v>
      </c>
      <c r="I1378" s="6">
        <v>0</v>
      </c>
      <c r="J1378" s="6">
        <v>24000</v>
      </c>
    </row>
    <row r="1379" spans="1:10">
      <c r="A1379" t="s">
        <v>888</v>
      </c>
      <c r="B1379" s="5">
        <v>45962</v>
      </c>
      <c r="C1379" t="s">
        <v>185</v>
      </c>
      <c r="D1379" t="s">
        <v>186</v>
      </c>
      <c r="E1379" t="s">
        <v>150</v>
      </c>
      <c r="F1379" t="s">
        <v>154</v>
      </c>
      <c r="G1379" t="s">
        <v>216</v>
      </c>
      <c r="H1379" s="6">
        <v>0</v>
      </c>
      <c r="I1379" s="6">
        <v>24000</v>
      </c>
      <c r="J1379" s="6">
        <v>-24000</v>
      </c>
    </row>
    <row r="1380" spans="1:10">
      <c r="A1380" t="s">
        <v>889</v>
      </c>
      <c r="B1380" s="5">
        <v>45962</v>
      </c>
      <c r="C1380" t="s">
        <v>217</v>
      </c>
      <c r="D1380" t="s">
        <v>218</v>
      </c>
      <c r="E1380" t="s">
        <v>122</v>
      </c>
      <c r="F1380" t="s">
        <v>154</v>
      </c>
      <c r="G1380" t="s">
        <v>216</v>
      </c>
      <c r="H1380" s="6">
        <v>9048</v>
      </c>
      <c r="I1380" s="6">
        <v>0</v>
      </c>
      <c r="J1380" s="6">
        <v>9048</v>
      </c>
    </row>
    <row r="1381" spans="1:10">
      <c r="A1381" t="s">
        <v>889</v>
      </c>
      <c r="B1381" s="5">
        <v>45962</v>
      </c>
      <c r="C1381" t="s">
        <v>191</v>
      </c>
      <c r="D1381" t="s">
        <v>104</v>
      </c>
      <c r="E1381" t="s">
        <v>150</v>
      </c>
      <c r="F1381" t="s">
        <v>154</v>
      </c>
      <c r="G1381" t="s">
        <v>216</v>
      </c>
      <c r="H1381" s="6">
        <v>0</v>
      </c>
      <c r="I1381" s="6">
        <v>9048</v>
      </c>
      <c r="J1381" s="6">
        <v>-9048</v>
      </c>
    </row>
    <row r="1382" spans="1:10">
      <c r="A1382" t="s">
        <v>890</v>
      </c>
      <c r="B1382" s="5">
        <v>45962</v>
      </c>
      <c r="C1382" t="s">
        <v>217</v>
      </c>
      <c r="D1382" t="s">
        <v>218</v>
      </c>
      <c r="E1382" t="s">
        <v>122</v>
      </c>
      <c r="F1382" t="s">
        <v>154</v>
      </c>
      <c r="G1382" t="s">
        <v>216</v>
      </c>
      <c r="H1382" s="6">
        <v>39778.94559199997</v>
      </c>
      <c r="I1382" s="6">
        <v>0</v>
      </c>
      <c r="J1382" s="6">
        <v>39778.94559199997</v>
      </c>
    </row>
    <row r="1383" spans="1:10">
      <c r="A1383" t="s">
        <v>890</v>
      </c>
      <c r="B1383" s="5">
        <v>45962</v>
      </c>
      <c r="C1383" t="s">
        <v>194</v>
      </c>
      <c r="D1383" t="s">
        <v>195</v>
      </c>
      <c r="E1383" t="s">
        <v>150</v>
      </c>
      <c r="F1383" t="s">
        <v>154</v>
      </c>
      <c r="G1383" t="s">
        <v>216</v>
      </c>
      <c r="H1383" s="6">
        <v>0</v>
      </c>
      <c r="I1383" s="6">
        <v>39778.94559199997</v>
      </c>
      <c r="J1383" s="6">
        <v>-39778.94559199997</v>
      </c>
    </row>
    <row r="1384" spans="1:10">
      <c r="A1384" t="s">
        <v>891</v>
      </c>
      <c r="B1384" s="5">
        <v>45992</v>
      </c>
      <c r="C1384" t="s">
        <v>146</v>
      </c>
      <c r="D1384" t="s">
        <v>86</v>
      </c>
      <c r="E1384" t="s">
        <v>120</v>
      </c>
      <c r="F1384" t="s">
        <v>52</v>
      </c>
      <c r="G1384" t="s">
        <v>147</v>
      </c>
      <c r="H1384" s="6">
        <v>1695124.08</v>
      </c>
      <c r="I1384" s="6">
        <v>0</v>
      </c>
      <c r="J1384" s="6">
        <v>1695124.08</v>
      </c>
    </row>
    <row r="1385" spans="1:10">
      <c r="A1385" t="s">
        <v>891</v>
      </c>
      <c r="B1385" s="5">
        <v>45992</v>
      </c>
      <c r="C1385" t="s">
        <v>148</v>
      </c>
      <c r="D1385" t="s">
        <v>149</v>
      </c>
      <c r="E1385" t="s">
        <v>150</v>
      </c>
      <c r="F1385" t="s">
        <v>52</v>
      </c>
      <c r="G1385" t="s">
        <v>147</v>
      </c>
      <c r="H1385" s="6">
        <v>0</v>
      </c>
      <c r="I1385" s="6">
        <v>1695124.08</v>
      </c>
      <c r="J1385" s="6">
        <v>-1695124.08</v>
      </c>
    </row>
    <row r="1386" spans="1:10">
      <c r="A1386" t="s">
        <v>892</v>
      </c>
      <c r="B1386" s="5">
        <v>45992</v>
      </c>
      <c r="C1386" t="s">
        <v>152</v>
      </c>
      <c r="D1386" t="s">
        <v>153</v>
      </c>
      <c r="E1386" t="s">
        <v>150</v>
      </c>
      <c r="F1386" t="s">
        <v>154</v>
      </c>
      <c r="G1386" t="s">
        <v>155</v>
      </c>
      <c r="H1386" s="6">
        <v>144085.5468</v>
      </c>
      <c r="I1386" s="6">
        <v>0</v>
      </c>
      <c r="J1386" s="6">
        <v>144085.5468</v>
      </c>
    </row>
    <row r="1387" spans="1:10">
      <c r="A1387" t="s">
        <v>892</v>
      </c>
      <c r="B1387" s="5">
        <v>45992</v>
      </c>
      <c r="C1387" t="s">
        <v>156</v>
      </c>
      <c r="D1387" t="s">
        <v>157</v>
      </c>
      <c r="E1387" t="s">
        <v>121</v>
      </c>
      <c r="F1387" t="s">
        <v>154</v>
      </c>
      <c r="G1387" t="s">
        <v>155</v>
      </c>
      <c r="H1387" s="6">
        <v>0</v>
      </c>
      <c r="I1387" s="6">
        <v>144085.5468</v>
      </c>
      <c r="J1387" s="6">
        <v>-144085.5468</v>
      </c>
    </row>
    <row r="1388" spans="1:10">
      <c r="A1388" t="s">
        <v>893</v>
      </c>
      <c r="B1388" s="5">
        <v>45992</v>
      </c>
      <c r="C1388" t="s">
        <v>159</v>
      </c>
      <c r="D1388" t="s">
        <v>160</v>
      </c>
      <c r="E1388" t="s">
        <v>120</v>
      </c>
      <c r="F1388" t="s">
        <v>58</v>
      </c>
      <c r="G1388" t="s">
        <v>161</v>
      </c>
      <c r="H1388" s="6">
        <v>1010539.002666666</v>
      </c>
      <c r="I1388" s="6">
        <v>0</v>
      </c>
      <c r="J1388" s="6">
        <v>1010539.002666666</v>
      </c>
    </row>
    <row r="1389" spans="1:10">
      <c r="A1389" t="s">
        <v>893</v>
      </c>
      <c r="B1389" s="5">
        <v>45992</v>
      </c>
      <c r="C1389" t="s">
        <v>162</v>
      </c>
      <c r="D1389" t="s">
        <v>88</v>
      </c>
      <c r="E1389" t="s">
        <v>121</v>
      </c>
      <c r="F1389" t="s">
        <v>58</v>
      </c>
      <c r="G1389" t="s">
        <v>161</v>
      </c>
      <c r="H1389" s="6">
        <v>0</v>
      </c>
      <c r="I1389" s="6">
        <v>1010539.002666666</v>
      </c>
      <c r="J1389" s="6">
        <v>-1010539.002666666</v>
      </c>
    </row>
    <row r="1390" spans="1:10">
      <c r="A1390" t="s">
        <v>894</v>
      </c>
      <c r="B1390" s="5">
        <v>45992</v>
      </c>
      <c r="C1390" t="s">
        <v>164</v>
      </c>
      <c r="D1390" t="s">
        <v>36</v>
      </c>
      <c r="E1390" t="s">
        <v>150</v>
      </c>
      <c r="F1390" t="s">
        <v>58</v>
      </c>
      <c r="G1390" t="s">
        <v>165</v>
      </c>
      <c r="H1390" s="6">
        <v>1161908.16</v>
      </c>
      <c r="I1390" s="6">
        <v>0</v>
      </c>
      <c r="J1390" s="6">
        <v>1161908.16</v>
      </c>
    </row>
    <row r="1391" spans="1:10">
      <c r="A1391" t="s">
        <v>894</v>
      </c>
      <c r="B1391" s="5">
        <v>45992</v>
      </c>
      <c r="C1391" t="s">
        <v>159</v>
      </c>
      <c r="D1391" t="s">
        <v>160</v>
      </c>
      <c r="E1391" t="s">
        <v>120</v>
      </c>
      <c r="F1391" t="s">
        <v>58</v>
      </c>
      <c r="G1391" t="s">
        <v>165</v>
      </c>
      <c r="H1391" s="6">
        <v>0</v>
      </c>
      <c r="I1391" s="6">
        <v>1161908.16</v>
      </c>
      <c r="J1391" s="6">
        <v>-1161908.16</v>
      </c>
    </row>
    <row r="1392" spans="1:10">
      <c r="A1392" t="s">
        <v>895</v>
      </c>
      <c r="B1392" s="5">
        <v>45992</v>
      </c>
      <c r="C1392" t="s">
        <v>167</v>
      </c>
      <c r="D1392" t="s">
        <v>51</v>
      </c>
      <c r="E1392" t="s">
        <v>150</v>
      </c>
      <c r="F1392" t="s">
        <v>51</v>
      </c>
      <c r="G1392" t="s">
        <v>168</v>
      </c>
      <c r="H1392" s="6">
        <v>110162</v>
      </c>
      <c r="I1392" s="6">
        <v>0</v>
      </c>
      <c r="J1392" s="6">
        <v>110162</v>
      </c>
    </row>
    <row r="1393" spans="1:10">
      <c r="A1393" t="s">
        <v>895</v>
      </c>
      <c r="B1393" s="5">
        <v>45992</v>
      </c>
      <c r="C1393" t="s">
        <v>169</v>
      </c>
      <c r="D1393" t="s">
        <v>170</v>
      </c>
      <c r="E1393" t="s">
        <v>121</v>
      </c>
      <c r="F1393" t="s">
        <v>51</v>
      </c>
      <c r="G1393" t="s">
        <v>168</v>
      </c>
      <c r="H1393" s="6">
        <v>0</v>
      </c>
      <c r="I1393" s="6">
        <v>110162</v>
      </c>
      <c r="J1393" s="6">
        <v>-110162</v>
      </c>
    </row>
    <row r="1394" spans="1:10">
      <c r="A1394" t="s">
        <v>896</v>
      </c>
      <c r="B1394" s="5">
        <v>45992</v>
      </c>
      <c r="C1394" t="s">
        <v>169</v>
      </c>
      <c r="D1394" t="s">
        <v>170</v>
      </c>
      <c r="E1394" t="s">
        <v>121</v>
      </c>
      <c r="F1394" t="s">
        <v>51</v>
      </c>
      <c r="G1394" t="s">
        <v>172</v>
      </c>
      <c r="H1394" s="6">
        <v>110162</v>
      </c>
      <c r="I1394" s="6">
        <v>0</v>
      </c>
      <c r="J1394" s="6">
        <v>110162</v>
      </c>
    </row>
    <row r="1395" spans="1:10">
      <c r="A1395" t="s">
        <v>896</v>
      </c>
      <c r="B1395" s="5">
        <v>45992</v>
      </c>
      <c r="C1395" t="s">
        <v>173</v>
      </c>
      <c r="D1395" t="s">
        <v>174</v>
      </c>
      <c r="E1395" t="s">
        <v>120</v>
      </c>
      <c r="F1395" t="s">
        <v>51</v>
      </c>
      <c r="G1395" t="s">
        <v>172</v>
      </c>
      <c r="H1395" s="6">
        <v>0</v>
      </c>
      <c r="I1395" s="6">
        <v>110162</v>
      </c>
      <c r="J1395" s="6">
        <v>-110162</v>
      </c>
    </row>
    <row r="1396" spans="1:10">
      <c r="A1396" t="s">
        <v>897</v>
      </c>
      <c r="B1396" s="5">
        <v>45992</v>
      </c>
      <c r="C1396" t="s">
        <v>176</v>
      </c>
      <c r="D1396" t="s">
        <v>52</v>
      </c>
      <c r="E1396" t="s">
        <v>150</v>
      </c>
      <c r="F1396" t="s">
        <v>52</v>
      </c>
      <c r="G1396" t="s">
        <v>177</v>
      </c>
      <c r="H1396" s="6">
        <v>61024.47</v>
      </c>
      <c r="I1396" s="6">
        <v>0</v>
      </c>
      <c r="J1396" s="6">
        <v>61024.47</v>
      </c>
    </row>
    <row r="1397" spans="1:10">
      <c r="A1397" t="s">
        <v>897</v>
      </c>
      <c r="B1397" s="5">
        <v>45992</v>
      </c>
      <c r="C1397" t="s">
        <v>173</v>
      </c>
      <c r="D1397" t="s">
        <v>174</v>
      </c>
      <c r="E1397" t="s">
        <v>120</v>
      </c>
      <c r="F1397" t="s">
        <v>52</v>
      </c>
      <c r="G1397" t="s">
        <v>177</v>
      </c>
      <c r="H1397" s="6">
        <v>0</v>
      </c>
      <c r="I1397" s="6">
        <v>61024.47</v>
      </c>
      <c r="J1397" s="6">
        <v>-61024.47</v>
      </c>
    </row>
    <row r="1398" spans="1:10">
      <c r="A1398" t="s">
        <v>898</v>
      </c>
      <c r="B1398" s="5">
        <v>45992</v>
      </c>
      <c r="C1398" t="s">
        <v>179</v>
      </c>
      <c r="D1398" t="s">
        <v>54</v>
      </c>
      <c r="E1398" t="s">
        <v>150</v>
      </c>
      <c r="F1398" t="s">
        <v>54</v>
      </c>
      <c r="G1398" t="s">
        <v>177</v>
      </c>
      <c r="H1398" s="6">
        <v>33920</v>
      </c>
      <c r="I1398" s="6">
        <v>0</v>
      </c>
      <c r="J1398" s="6">
        <v>33920</v>
      </c>
    </row>
    <row r="1399" spans="1:10">
      <c r="A1399" t="s">
        <v>898</v>
      </c>
      <c r="B1399" s="5">
        <v>45992</v>
      </c>
      <c r="C1399" t="s">
        <v>173</v>
      </c>
      <c r="D1399" t="s">
        <v>174</v>
      </c>
      <c r="E1399" t="s">
        <v>120</v>
      </c>
      <c r="F1399" t="s">
        <v>54</v>
      </c>
      <c r="G1399" t="s">
        <v>177</v>
      </c>
      <c r="H1399" s="6">
        <v>0</v>
      </c>
      <c r="I1399" s="6">
        <v>33920</v>
      </c>
      <c r="J1399" s="6">
        <v>-33920</v>
      </c>
    </row>
    <row r="1400" spans="1:10">
      <c r="A1400" t="s">
        <v>899</v>
      </c>
      <c r="B1400" s="5">
        <v>45992</v>
      </c>
      <c r="C1400" t="s">
        <v>181</v>
      </c>
      <c r="D1400" t="s">
        <v>56</v>
      </c>
      <c r="E1400" t="s">
        <v>150</v>
      </c>
      <c r="F1400" t="s">
        <v>56</v>
      </c>
      <c r="G1400" t="s">
        <v>177</v>
      </c>
      <c r="H1400" s="6">
        <v>20160</v>
      </c>
      <c r="I1400" s="6">
        <v>0</v>
      </c>
      <c r="J1400" s="6">
        <v>20160</v>
      </c>
    </row>
    <row r="1401" spans="1:10">
      <c r="A1401" t="s">
        <v>899</v>
      </c>
      <c r="B1401" s="5">
        <v>45992</v>
      </c>
      <c r="C1401" t="s">
        <v>173</v>
      </c>
      <c r="D1401" t="s">
        <v>174</v>
      </c>
      <c r="E1401" t="s">
        <v>120</v>
      </c>
      <c r="F1401" t="s">
        <v>56</v>
      </c>
      <c r="G1401" t="s">
        <v>177</v>
      </c>
      <c r="H1401" s="6">
        <v>0</v>
      </c>
      <c r="I1401" s="6">
        <v>20160</v>
      </c>
      <c r="J1401" s="6">
        <v>-20160</v>
      </c>
    </row>
    <row r="1402" spans="1:10">
      <c r="A1402" t="s">
        <v>900</v>
      </c>
      <c r="B1402" s="5">
        <v>45992</v>
      </c>
      <c r="C1402" t="s">
        <v>183</v>
      </c>
      <c r="D1402" t="s">
        <v>59</v>
      </c>
      <c r="E1402" t="s">
        <v>150</v>
      </c>
      <c r="F1402" t="s">
        <v>66</v>
      </c>
      <c r="G1402" t="s">
        <v>177</v>
      </c>
      <c r="H1402" s="6">
        <v>37292.73</v>
      </c>
      <c r="I1402" s="6">
        <v>0</v>
      </c>
      <c r="J1402" s="6">
        <v>37292.73</v>
      </c>
    </row>
    <row r="1403" spans="1:10">
      <c r="A1403" t="s">
        <v>900</v>
      </c>
      <c r="B1403" s="5">
        <v>45992</v>
      </c>
      <c r="C1403" t="s">
        <v>173</v>
      </c>
      <c r="D1403" t="s">
        <v>174</v>
      </c>
      <c r="E1403" t="s">
        <v>120</v>
      </c>
      <c r="F1403" t="s">
        <v>66</v>
      </c>
      <c r="G1403" t="s">
        <v>177</v>
      </c>
      <c r="H1403" s="6">
        <v>0</v>
      </c>
      <c r="I1403" s="6">
        <v>37292.73</v>
      </c>
      <c r="J1403" s="6">
        <v>-37292.73</v>
      </c>
    </row>
    <row r="1404" spans="1:10">
      <c r="A1404" t="s">
        <v>901</v>
      </c>
      <c r="B1404" s="5">
        <v>45992</v>
      </c>
      <c r="C1404" t="s">
        <v>185</v>
      </c>
      <c r="D1404" t="s">
        <v>186</v>
      </c>
      <c r="E1404" t="s">
        <v>150</v>
      </c>
      <c r="F1404" t="s">
        <v>154</v>
      </c>
      <c r="G1404" t="s">
        <v>187</v>
      </c>
      <c r="H1404" s="6">
        <v>24180</v>
      </c>
      <c r="I1404" s="6">
        <v>0</v>
      </c>
      <c r="J1404" s="6">
        <v>24180</v>
      </c>
    </row>
    <row r="1405" spans="1:10">
      <c r="A1405" t="s">
        <v>901</v>
      </c>
      <c r="B1405" s="5">
        <v>45992</v>
      </c>
      <c r="C1405" t="s">
        <v>188</v>
      </c>
      <c r="D1405" t="s">
        <v>189</v>
      </c>
      <c r="E1405" t="s">
        <v>120</v>
      </c>
      <c r="F1405" t="s">
        <v>154</v>
      </c>
      <c r="G1405" t="s">
        <v>187</v>
      </c>
      <c r="H1405" s="6">
        <v>0</v>
      </c>
      <c r="I1405" s="6">
        <v>24180</v>
      </c>
      <c r="J1405" s="6">
        <v>-24180</v>
      </c>
    </row>
    <row r="1406" spans="1:10">
      <c r="A1406" t="s">
        <v>902</v>
      </c>
      <c r="B1406" s="5">
        <v>45992</v>
      </c>
      <c r="C1406" t="s">
        <v>191</v>
      </c>
      <c r="D1406" t="s">
        <v>104</v>
      </c>
      <c r="E1406" t="s">
        <v>150</v>
      </c>
      <c r="F1406" t="s">
        <v>154</v>
      </c>
      <c r="G1406" t="s">
        <v>192</v>
      </c>
      <c r="H1406" s="6">
        <v>8832</v>
      </c>
      <c r="I1406" s="6">
        <v>0</v>
      </c>
      <c r="J1406" s="6">
        <v>8832</v>
      </c>
    </row>
    <row r="1407" spans="1:10">
      <c r="A1407" t="s">
        <v>902</v>
      </c>
      <c r="B1407" s="5">
        <v>45992</v>
      </c>
      <c r="C1407" t="s">
        <v>173</v>
      </c>
      <c r="D1407" t="s">
        <v>174</v>
      </c>
      <c r="E1407" t="s">
        <v>120</v>
      </c>
      <c r="F1407" t="s">
        <v>154</v>
      </c>
      <c r="G1407" t="s">
        <v>192</v>
      </c>
      <c r="H1407" s="6">
        <v>0</v>
      </c>
      <c r="I1407" s="6">
        <v>8832</v>
      </c>
      <c r="J1407" s="6">
        <v>-8832</v>
      </c>
    </row>
    <row r="1408" spans="1:10">
      <c r="A1408" t="s">
        <v>903</v>
      </c>
      <c r="B1408" s="5">
        <v>45992</v>
      </c>
      <c r="C1408" t="s">
        <v>194</v>
      </c>
      <c r="D1408" t="s">
        <v>195</v>
      </c>
      <c r="E1408" t="s">
        <v>150</v>
      </c>
      <c r="F1408" t="s">
        <v>154</v>
      </c>
      <c r="G1408" t="s">
        <v>196</v>
      </c>
      <c r="H1408" s="6">
        <v>31810.11888800001</v>
      </c>
      <c r="I1408" s="6">
        <v>0</v>
      </c>
      <c r="J1408" s="6">
        <v>31810.11888800001</v>
      </c>
    </row>
    <row r="1409" spans="1:10">
      <c r="A1409" t="s">
        <v>903</v>
      </c>
      <c r="B1409" s="5">
        <v>45992</v>
      </c>
      <c r="C1409" t="s">
        <v>197</v>
      </c>
      <c r="D1409" t="s">
        <v>198</v>
      </c>
      <c r="E1409" t="s">
        <v>121</v>
      </c>
      <c r="F1409" t="s">
        <v>154</v>
      </c>
      <c r="G1409" t="s">
        <v>196</v>
      </c>
      <c r="H1409" s="6">
        <v>0</v>
      </c>
      <c r="I1409" s="6">
        <v>31810.11888800001</v>
      </c>
      <c r="J1409" s="6">
        <v>-31810.11888800001</v>
      </c>
    </row>
    <row r="1410" spans="1:10">
      <c r="A1410" t="s">
        <v>904</v>
      </c>
      <c r="B1410" s="5">
        <v>45992</v>
      </c>
      <c r="C1410" t="s">
        <v>173</v>
      </c>
      <c r="D1410" t="s">
        <v>174</v>
      </c>
      <c r="E1410" t="s">
        <v>120</v>
      </c>
      <c r="F1410" t="s">
        <v>154</v>
      </c>
      <c r="G1410" t="s">
        <v>200</v>
      </c>
      <c r="H1410" s="6">
        <v>1897679.416</v>
      </c>
      <c r="I1410" s="6">
        <v>0</v>
      </c>
      <c r="J1410" s="6">
        <v>1897679.416</v>
      </c>
    </row>
    <row r="1411" spans="1:10">
      <c r="A1411" t="s">
        <v>904</v>
      </c>
      <c r="B1411" s="5">
        <v>45992</v>
      </c>
      <c r="C1411" t="s">
        <v>146</v>
      </c>
      <c r="D1411" t="s">
        <v>86</v>
      </c>
      <c r="E1411" t="s">
        <v>120</v>
      </c>
      <c r="F1411" t="s">
        <v>154</v>
      </c>
      <c r="G1411" t="s">
        <v>200</v>
      </c>
      <c r="H1411" s="6">
        <v>0</v>
      </c>
      <c r="I1411" s="6">
        <v>1897679.416</v>
      </c>
      <c r="J1411" s="6">
        <v>-1897679.416</v>
      </c>
    </row>
    <row r="1412" spans="1:10">
      <c r="A1412" t="s">
        <v>905</v>
      </c>
      <c r="B1412" s="5">
        <v>45992</v>
      </c>
      <c r="C1412" t="s">
        <v>162</v>
      </c>
      <c r="D1412" t="s">
        <v>88</v>
      </c>
      <c r="E1412" t="s">
        <v>121</v>
      </c>
      <c r="F1412" t="s">
        <v>154</v>
      </c>
      <c r="G1412" t="s">
        <v>202</v>
      </c>
      <c r="H1412" s="6">
        <v>1112422.089333333</v>
      </c>
      <c r="I1412" s="6">
        <v>0</v>
      </c>
      <c r="J1412" s="6">
        <v>1112422.089333333</v>
      </c>
    </row>
    <row r="1413" spans="1:10">
      <c r="A1413" t="s">
        <v>905</v>
      </c>
      <c r="B1413" s="5">
        <v>45992</v>
      </c>
      <c r="C1413" t="s">
        <v>173</v>
      </c>
      <c r="D1413" t="s">
        <v>174</v>
      </c>
      <c r="E1413" t="s">
        <v>120</v>
      </c>
      <c r="F1413" t="s">
        <v>154</v>
      </c>
      <c r="G1413" t="s">
        <v>202</v>
      </c>
      <c r="H1413" s="6">
        <v>0</v>
      </c>
      <c r="I1413" s="6">
        <v>1112422.089333333</v>
      </c>
      <c r="J1413" s="6">
        <v>-1112422.089333333</v>
      </c>
    </row>
    <row r="1414" spans="1:10">
      <c r="A1414" t="s">
        <v>906</v>
      </c>
      <c r="B1414" s="5">
        <v>45992</v>
      </c>
      <c r="C1414" t="s">
        <v>156</v>
      </c>
      <c r="D1414" t="s">
        <v>157</v>
      </c>
      <c r="E1414" t="s">
        <v>121</v>
      </c>
      <c r="F1414" t="s">
        <v>154</v>
      </c>
      <c r="G1414" t="s">
        <v>204</v>
      </c>
      <c r="H1414" s="6">
        <v>155075.2512</v>
      </c>
      <c r="I1414" s="6">
        <v>0</v>
      </c>
      <c r="J1414" s="6">
        <v>155075.2512</v>
      </c>
    </row>
    <row r="1415" spans="1:10">
      <c r="A1415" t="s">
        <v>906</v>
      </c>
      <c r="B1415" s="5">
        <v>45992</v>
      </c>
      <c r="C1415" t="s">
        <v>173</v>
      </c>
      <c r="D1415" t="s">
        <v>174</v>
      </c>
      <c r="E1415" t="s">
        <v>120</v>
      </c>
      <c r="F1415" t="s">
        <v>154</v>
      </c>
      <c r="G1415" t="s">
        <v>204</v>
      </c>
      <c r="H1415" s="6">
        <v>0</v>
      </c>
      <c r="I1415" s="6">
        <v>155075.2512</v>
      </c>
      <c r="J1415" s="6">
        <v>-155075.2512</v>
      </c>
    </row>
    <row r="1416" spans="1:10">
      <c r="A1416" t="s">
        <v>907</v>
      </c>
      <c r="B1416" s="5">
        <v>45992</v>
      </c>
      <c r="C1416" t="s">
        <v>197</v>
      </c>
      <c r="D1416" t="s">
        <v>198</v>
      </c>
      <c r="E1416" t="s">
        <v>121</v>
      </c>
      <c r="F1416" t="s">
        <v>154</v>
      </c>
      <c r="G1416" t="s">
        <v>206</v>
      </c>
      <c r="H1416" s="6">
        <v>39778.94559199997</v>
      </c>
      <c r="I1416" s="6">
        <v>0</v>
      </c>
      <c r="J1416" s="6">
        <v>39778.94559199997</v>
      </c>
    </row>
    <row r="1417" spans="1:10">
      <c r="A1417" t="s">
        <v>907</v>
      </c>
      <c r="B1417" s="5">
        <v>45992</v>
      </c>
      <c r="C1417" t="s">
        <v>173</v>
      </c>
      <c r="D1417" t="s">
        <v>174</v>
      </c>
      <c r="E1417" t="s">
        <v>120</v>
      </c>
      <c r="F1417" t="s">
        <v>154</v>
      </c>
      <c r="G1417" t="s">
        <v>206</v>
      </c>
      <c r="H1417" s="6">
        <v>0</v>
      </c>
      <c r="I1417" s="6">
        <v>39778.94559199997</v>
      </c>
      <c r="J1417" s="6">
        <v>-39778.94559199997</v>
      </c>
    </row>
    <row r="1418" spans="1:10">
      <c r="A1418" t="s">
        <v>908</v>
      </c>
      <c r="B1418" s="5">
        <v>45992</v>
      </c>
      <c r="C1418" t="s">
        <v>208</v>
      </c>
      <c r="D1418" t="s">
        <v>209</v>
      </c>
      <c r="E1418" t="s">
        <v>120</v>
      </c>
      <c r="F1418" t="s">
        <v>154</v>
      </c>
      <c r="G1418" t="s">
        <v>210</v>
      </c>
      <c r="H1418" s="6">
        <v>90000</v>
      </c>
      <c r="I1418" s="6">
        <v>0</v>
      </c>
      <c r="J1418" s="6">
        <v>90000</v>
      </c>
    </row>
    <row r="1419" spans="1:10">
      <c r="A1419" t="s">
        <v>908</v>
      </c>
      <c r="B1419" s="5">
        <v>45992</v>
      </c>
      <c r="C1419" t="s">
        <v>173</v>
      </c>
      <c r="D1419" t="s">
        <v>174</v>
      </c>
      <c r="E1419" t="s">
        <v>120</v>
      </c>
      <c r="F1419" t="s">
        <v>154</v>
      </c>
      <c r="G1419" t="s">
        <v>210</v>
      </c>
      <c r="H1419" s="6">
        <v>0</v>
      </c>
      <c r="I1419" s="6">
        <v>90000</v>
      </c>
      <c r="J1419" s="6">
        <v>-90000</v>
      </c>
    </row>
    <row r="1420" spans="1:10">
      <c r="A1420" t="s">
        <v>909</v>
      </c>
      <c r="B1420" s="5">
        <v>45992</v>
      </c>
      <c r="C1420" t="s">
        <v>212</v>
      </c>
      <c r="D1420" t="s">
        <v>213</v>
      </c>
      <c r="E1420" t="s">
        <v>121</v>
      </c>
      <c r="F1420" t="s">
        <v>154</v>
      </c>
      <c r="G1420" t="s">
        <v>214</v>
      </c>
      <c r="H1420" s="6">
        <v>18000</v>
      </c>
      <c r="I1420" s="6">
        <v>0</v>
      </c>
      <c r="J1420" s="6">
        <v>18000</v>
      </c>
    </row>
    <row r="1421" spans="1:10">
      <c r="A1421" t="s">
        <v>909</v>
      </c>
      <c r="B1421" s="5">
        <v>45992</v>
      </c>
      <c r="C1421" t="s">
        <v>173</v>
      </c>
      <c r="D1421" t="s">
        <v>174</v>
      </c>
      <c r="E1421" t="s">
        <v>120</v>
      </c>
      <c r="F1421" t="s">
        <v>154</v>
      </c>
      <c r="G1421" t="s">
        <v>214</v>
      </c>
      <c r="H1421" s="6">
        <v>0</v>
      </c>
      <c r="I1421" s="6">
        <v>18000</v>
      </c>
      <c r="J1421" s="6">
        <v>-18000</v>
      </c>
    </row>
    <row r="1422" spans="1:10">
      <c r="A1422" t="s">
        <v>910</v>
      </c>
      <c r="B1422" s="5">
        <v>45992</v>
      </c>
      <c r="C1422" t="s">
        <v>148</v>
      </c>
      <c r="D1422" t="s">
        <v>149</v>
      </c>
      <c r="E1422" t="s">
        <v>150</v>
      </c>
      <c r="F1422" t="s">
        <v>154</v>
      </c>
      <c r="G1422" t="s">
        <v>216</v>
      </c>
      <c r="H1422" s="6">
        <v>1695124.08</v>
      </c>
      <c r="I1422" s="6">
        <v>0</v>
      </c>
      <c r="J1422" s="6">
        <v>1695124.08</v>
      </c>
    </row>
    <row r="1423" spans="1:10">
      <c r="A1423" t="s">
        <v>910</v>
      </c>
      <c r="B1423" s="5">
        <v>45992</v>
      </c>
      <c r="C1423" t="s">
        <v>217</v>
      </c>
      <c r="D1423" t="s">
        <v>218</v>
      </c>
      <c r="E1423" t="s">
        <v>122</v>
      </c>
      <c r="F1423" t="s">
        <v>154</v>
      </c>
      <c r="G1423" t="s">
        <v>216</v>
      </c>
      <c r="H1423" s="6">
        <v>0</v>
      </c>
      <c r="I1423" s="6">
        <v>1695124.08</v>
      </c>
      <c r="J1423" s="6">
        <v>-1695124.08</v>
      </c>
    </row>
    <row r="1424" spans="1:10">
      <c r="A1424" t="s">
        <v>911</v>
      </c>
      <c r="B1424" s="5">
        <v>45992</v>
      </c>
      <c r="C1424" t="s">
        <v>217</v>
      </c>
      <c r="D1424" t="s">
        <v>218</v>
      </c>
      <c r="E1424" t="s">
        <v>122</v>
      </c>
      <c r="F1424" t="s">
        <v>154</v>
      </c>
      <c r="G1424" t="s">
        <v>216</v>
      </c>
      <c r="H1424" s="6">
        <v>144085.5468</v>
      </c>
      <c r="I1424" s="6">
        <v>0</v>
      </c>
      <c r="J1424" s="6">
        <v>144085.5468</v>
      </c>
    </row>
    <row r="1425" spans="1:10">
      <c r="A1425" t="s">
        <v>911</v>
      </c>
      <c r="B1425" s="5">
        <v>45992</v>
      </c>
      <c r="C1425" t="s">
        <v>152</v>
      </c>
      <c r="D1425" t="s">
        <v>153</v>
      </c>
      <c r="E1425" t="s">
        <v>150</v>
      </c>
      <c r="F1425" t="s">
        <v>154</v>
      </c>
      <c r="G1425" t="s">
        <v>216</v>
      </c>
      <c r="H1425" s="6">
        <v>0</v>
      </c>
      <c r="I1425" s="6">
        <v>144085.5468</v>
      </c>
      <c r="J1425" s="6">
        <v>-144085.5468</v>
      </c>
    </row>
    <row r="1426" spans="1:10">
      <c r="A1426" t="s">
        <v>912</v>
      </c>
      <c r="B1426" s="5">
        <v>45992</v>
      </c>
      <c r="C1426" t="s">
        <v>217</v>
      </c>
      <c r="D1426" t="s">
        <v>218</v>
      </c>
      <c r="E1426" t="s">
        <v>122</v>
      </c>
      <c r="F1426" t="s">
        <v>154</v>
      </c>
      <c r="G1426" t="s">
        <v>216</v>
      </c>
      <c r="H1426" s="6">
        <v>1161908.16</v>
      </c>
      <c r="I1426" s="6">
        <v>0</v>
      </c>
      <c r="J1426" s="6">
        <v>1161908.16</v>
      </c>
    </row>
    <row r="1427" spans="1:10">
      <c r="A1427" t="s">
        <v>912</v>
      </c>
      <c r="B1427" s="5">
        <v>45992</v>
      </c>
      <c r="C1427" t="s">
        <v>164</v>
      </c>
      <c r="D1427" t="s">
        <v>36</v>
      </c>
      <c r="E1427" t="s">
        <v>150</v>
      </c>
      <c r="F1427" t="s">
        <v>154</v>
      </c>
      <c r="G1427" t="s">
        <v>216</v>
      </c>
      <c r="H1427" s="6">
        <v>0</v>
      </c>
      <c r="I1427" s="6">
        <v>1161908.16</v>
      </c>
      <c r="J1427" s="6">
        <v>-1161908.16</v>
      </c>
    </row>
    <row r="1428" spans="1:10">
      <c r="A1428" t="s">
        <v>913</v>
      </c>
      <c r="B1428" s="5">
        <v>45992</v>
      </c>
      <c r="C1428" t="s">
        <v>217</v>
      </c>
      <c r="D1428" t="s">
        <v>218</v>
      </c>
      <c r="E1428" t="s">
        <v>122</v>
      </c>
      <c r="F1428" t="s">
        <v>154</v>
      </c>
      <c r="G1428" t="s">
        <v>216</v>
      </c>
      <c r="H1428" s="6">
        <v>110162</v>
      </c>
      <c r="I1428" s="6">
        <v>0</v>
      </c>
      <c r="J1428" s="6">
        <v>110162</v>
      </c>
    </row>
    <row r="1429" spans="1:10">
      <c r="A1429" t="s">
        <v>913</v>
      </c>
      <c r="B1429" s="5">
        <v>45992</v>
      </c>
      <c r="C1429" t="s">
        <v>167</v>
      </c>
      <c r="D1429" t="s">
        <v>51</v>
      </c>
      <c r="E1429" t="s">
        <v>150</v>
      </c>
      <c r="F1429" t="s">
        <v>154</v>
      </c>
      <c r="G1429" t="s">
        <v>216</v>
      </c>
      <c r="H1429" s="6">
        <v>0</v>
      </c>
      <c r="I1429" s="6">
        <v>110162</v>
      </c>
      <c r="J1429" s="6">
        <v>-110162</v>
      </c>
    </row>
    <row r="1430" spans="1:10">
      <c r="A1430" t="s">
        <v>914</v>
      </c>
      <c r="B1430" s="5">
        <v>45992</v>
      </c>
      <c r="C1430" t="s">
        <v>217</v>
      </c>
      <c r="D1430" t="s">
        <v>218</v>
      </c>
      <c r="E1430" t="s">
        <v>122</v>
      </c>
      <c r="F1430" t="s">
        <v>154</v>
      </c>
      <c r="G1430" t="s">
        <v>216</v>
      </c>
      <c r="H1430" s="6">
        <v>61024.47</v>
      </c>
      <c r="I1430" s="6">
        <v>0</v>
      </c>
      <c r="J1430" s="6">
        <v>61024.47</v>
      </c>
    </row>
    <row r="1431" spans="1:10">
      <c r="A1431" t="s">
        <v>914</v>
      </c>
      <c r="B1431" s="5">
        <v>45992</v>
      </c>
      <c r="C1431" t="s">
        <v>176</v>
      </c>
      <c r="D1431" t="s">
        <v>52</v>
      </c>
      <c r="E1431" t="s">
        <v>150</v>
      </c>
      <c r="F1431" t="s">
        <v>154</v>
      </c>
      <c r="G1431" t="s">
        <v>216</v>
      </c>
      <c r="H1431" s="6">
        <v>0</v>
      </c>
      <c r="I1431" s="6">
        <v>61024.47</v>
      </c>
      <c r="J1431" s="6">
        <v>-61024.47</v>
      </c>
    </row>
    <row r="1432" spans="1:10">
      <c r="A1432" t="s">
        <v>915</v>
      </c>
      <c r="B1432" s="5">
        <v>45992</v>
      </c>
      <c r="C1432" t="s">
        <v>217</v>
      </c>
      <c r="D1432" t="s">
        <v>218</v>
      </c>
      <c r="E1432" t="s">
        <v>122</v>
      </c>
      <c r="F1432" t="s">
        <v>154</v>
      </c>
      <c r="G1432" t="s">
        <v>216</v>
      </c>
      <c r="H1432" s="6">
        <v>33920</v>
      </c>
      <c r="I1432" s="6">
        <v>0</v>
      </c>
      <c r="J1432" s="6">
        <v>33920</v>
      </c>
    </row>
    <row r="1433" spans="1:10">
      <c r="A1433" t="s">
        <v>915</v>
      </c>
      <c r="B1433" s="5">
        <v>45992</v>
      </c>
      <c r="C1433" t="s">
        <v>179</v>
      </c>
      <c r="D1433" t="s">
        <v>54</v>
      </c>
      <c r="E1433" t="s">
        <v>150</v>
      </c>
      <c r="F1433" t="s">
        <v>154</v>
      </c>
      <c r="G1433" t="s">
        <v>216</v>
      </c>
      <c r="H1433" s="6">
        <v>0</v>
      </c>
      <c r="I1433" s="6">
        <v>33920</v>
      </c>
      <c r="J1433" s="6">
        <v>-33920</v>
      </c>
    </row>
    <row r="1434" spans="1:10">
      <c r="A1434" t="s">
        <v>916</v>
      </c>
      <c r="B1434" s="5">
        <v>45992</v>
      </c>
      <c r="C1434" t="s">
        <v>217</v>
      </c>
      <c r="D1434" t="s">
        <v>218</v>
      </c>
      <c r="E1434" t="s">
        <v>122</v>
      </c>
      <c r="F1434" t="s">
        <v>154</v>
      </c>
      <c r="G1434" t="s">
        <v>216</v>
      </c>
      <c r="H1434" s="6">
        <v>20160</v>
      </c>
      <c r="I1434" s="6">
        <v>0</v>
      </c>
      <c r="J1434" s="6">
        <v>20160</v>
      </c>
    </row>
    <row r="1435" spans="1:10">
      <c r="A1435" t="s">
        <v>916</v>
      </c>
      <c r="B1435" s="5">
        <v>45992</v>
      </c>
      <c r="C1435" t="s">
        <v>181</v>
      </c>
      <c r="D1435" t="s">
        <v>56</v>
      </c>
      <c r="E1435" t="s">
        <v>150</v>
      </c>
      <c r="F1435" t="s">
        <v>154</v>
      </c>
      <c r="G1435" t="s">
        <v>216</v>
      </c>
      <c r="H1435" s="6">
        <v>0</v>
      </c>
      <c r="I1435" s="6">
        <v>20160</v>
      </c>
      <c r="J1435" s="6">
        <v>-20160</v>
      </c>
    </row>
    <row r="1436" spans="1:10">
      <c r="A1436" t="s">
        <v>917</v>
      </c>
      <c r="B1436" s="5">
        <v>45992</v>
      </c>
      <c r="C1436" t="s">
        <v>217</v>
      </c>
      <c r="D1436" t="s">
        <v>218</v>
      </c>
      <c r="E1436" t="s">
        <v>122</v>
      </c>
      <c r="F1436" t="s">
        <v>154</v>
      </c>
      <c r="G1436" t="s">
        <v>216</v>
      </c>
      <c r="H1436" s="6">
        <v>37292.73</v>
      </c>
      <c r="I1436" s="6">
        <v>0</v>
      </c>
      <c r="J1436" s="6">
        <v>37292.73</v>
      </c>
    </row>
    <row r="1437" spans="1:10">
      <c r="A1437" t="s">
        <v>917</v>
      </c>
      <c r="B1437" s="5">
        <v>45992</v>
      </c>
      <c r="C1437" t="s">
        <v>183</v>
      </c>
      <c r="D1437" t="s">
        <v>59</v>
      </c>
      <c r="E1437" t="s">
        <v>150</v>
      </c>
      <c r="F1437" t="s">
        <v>154</v>
      </c>
      <c r="G1437" t="s">
        <v>216</v>
      </c>
      <c r="H1437" s="6">
        <v>0</v>
      </c>
      <c r="I1437" s="6">
        <v>37292.73</v>
      </c>
      <c r="J1437" s="6">
        <v>-37292.73</v>
      </c>
    </row>
    <row r="1438" spans="1:10">
      <c r="A1438" t="s">
        <v>918</v>
      </c>
      <c r="B1438" s="5">
        <v>45992</v>
      </c>
      <c r="C1438" t="s">
        <v>217</v>
      </c>
      <c r="D1438" t="s">
        <v>218</v>
      </c>
      <c r="E1438" t="s">
        <v>122</v>
      </c>
      <c r="F1438" t="s">
        <v>154</v>
      </c>
      <c r="G1438" t="s">
        <v>216</v>
      </c>
      <c r="H1438" s="6">
        <v>24180</v>
      </c>
      <c r="I1438" s="6">
        <v>0</v>
      </c>
      <c r="J1438" s="6">
        <v>24180</v>
      </c>
    </row>
    <row r="1439" spans="1:10">
      <c r="A1439" t="s">
        <v>918</v>
      </c>
      <c r="B1439" s="5">
        <v>45992</v>
      </c>
      <c r="C1439" t="s">
        <v>185</v>
      </c>
      <c r="D1439" t="s">
        <v>186</v>
      </c>
      <c r="E1439" t="s">
        <v>150</v>
      </c>
      <c r="F1439" t="s">
        <v>154</v>
      </c>
      <c r="G1439" t="s">
        <v>216</v>
      </c>
      <c r="H1439" s="6">
        <v>0</v>
      </c>
      <c r="I1439" s="6">
        <v>24180</v>
      </c>
      <c r="J1439" s="6">
        <v>-24180</v>
      </c>
    </row>
    <row r="1440" spans="1:10">
      <c r="A1440" t="s">
        <v>919</v>
      </c>
      <c r="B1440" s="5">
        <v>45992</v>
      </c>
      <c r="C1440" t="s">
        <v>217</v>
      </c>
      <c r="D1440" t="s">
        <v>218</v>
      </c>
      <c r="E1440" t="s">
        <v>122</v>
      </c>
      <c r="F1440" t="s">
        <v>154</v>
      </c>
      <c r="G1440" t="s">
        <v>216</v>
      </c>
      <c r="H1440" s="6">
        <v>8832</v>
      </c>
      <c r="I1440" s="6">
        <v>0</v>
      </c>
      <c r="J1440" s="6">
        <v>8832</v>
      </c>
    </row>
    <row r="1441" spans="1:10">
      <c r="A1441" t="s">
        <v>919</v>
      </c>
      <c r="B1441" s="5">
        <v>45992</v>
      </c>
      <c r="C1441" t="s">
        <v>191</v>
      </c>
      <c r="D1441" t="s">
        <v>104</v>
      </c>
      <c r="E1441" t="s">
        <v>150</v>
      </c>
      <c r="F1441" t="s">
        <v>154</v>
      </c>
      <c r="G1441" t="s">
        <v>216</v>
      </c>
      <c r="H1441" s="6">
        <v>0</v>
      </c>
      <c r="I1441" s="6">
        <v>8832</v>
      </c>
      <c r="J1441" s="6">
        <v>-8832</v>
      </c>
    </row>
    <row r="1442" spans="1:10">
      <c r="A1442" t="s">
        <v>920</v>
      </c>
      <c r="B1442" s="5">
        <v>45992</v>
      </c>
      <c r="C1442" t="s">
        <v>217</v>
      </c>
      <c r="D1442" t="s">
        <v>218</v>
      </c>
      <c r="E1442" t="s">
        <v>122</v>
      </c>
      <c r="F1442" t="s">
        <v>154</v>
      </c>
      <c r="G1442" t="s">
        <v>216</v>
      </c>
      <c r="H1442" s="6">
        <v>31810.11888800001</v>
      </c>
      <c r="I1442" s="6">
        <v>0</v>
      </c>
      <c r="J1442" s="6">
        <v>31810.11888800001</v>
      </c>
    </row>
    <row r="1443" spans="1:10">
      <c r="A1443" t="s">
        <v>920</v>
      </c>
      <c r="B1443" s="5">
        <v>45992</v>
      </c>
      <c r="C1443" t="s">
        <v>194</v>
      </c>
      <c r="D1443" t="s">
        <v>195</v>
      </c>
      <c r="E1443" t="s">
        <v>150</v>
      </c>
      <c r="F1443" t="s">
        <v>154</v>
      </c>
      <c r="G1443" t="s">
        <v>216</v>
      </c>
      <c r="H1443" s="6">
        <v>0</v>
      </c>
      <c r="I1443" s="6">
        <v>31810.11888800001</v>
      </c>
      <c r="J1443" s="6">
        <v>-31810.11888800001</v>
      </c>
    </row>
  </sheetData>
  <autoFilter ref="A1:J144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A899"/>
  </sheetPr>
  <dimension ref="A1:E2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5" width="18.7109375" customWidth="1"/>
  </cols>
  <sheetData>
    <row r="1" spans="1:5" ht="34" customHeight="1">
      <c r="A1" s="4" t="s">
        <v>139</v>
      </c>
      <c r="B1" s="4" t="s">
        <v>49</v>
      </c>
      <c r="C1" s="4" t="s">
        <v>140</v>
      </c>
      <c r="D1" s="4" t="s">
        <v>921</v>
      </c>
      <c r="E1" s="4" t="s">
        <v>922</v>
      </c>
    </row>
    <row r="2" spans="1:5">
      <c r="A2" t="s">
        <v>173</v>
      </c>
      <c r="B2" t="s">
        <v>174</v>
      </c>
      <c r="C2" t="s">
        <v>120</v>
      </c>
      <c r="D2" t="s">
        <v>923</v>
      </c>
      <c r="E2" t="s">
        <v>85</v>
      </c>
    </row>
    <row r="3" spans="1:5">
      <c r="A3" t="s">
        <v>146</v>
      </c>
      <c r="B3" t="s">
        <v>86</v>
      </c>
      <c r="C3" t="s">
        <v>120</v>
      </c>
      <c r="D3" t="s">
        <v>923</v>
      </c>
      <c r="E3" t="s">
        <v>86</v>
      </c>
    </row>
    <row r="4" spans="1:5">
      <c r="A4" t="s">
        <v>159</v>
      </c>
      <c r="B4" t="s">
        <v>160</v>
      </c>
      <c r="C4" t="s">
        <v>120</v>
      </c>
      <c r="D4" t="s">
        <v>923</v>
      </c>
      <c r="E4" t="s">
        <v>87</v>
      </c>
    </row>
    <row r="5" spans="1:5">
      <c r="A5" t="s">
        <v>208</v>
      </c>
      <c r="B5" t="s">
        <v>209</v>
      </c>
      <c r="C5" t="s">
        <v>120</v>
      </c>
      <c r="D5" t="s">
        <v>923</v>
      </c>
      <c r="E5" t="s">
        <v>92</v>
      </c>
    </row>
    <row r="6" spans="1:5">
      <c r="A6" t="s">
        <v>188</v>
      </c>
      <c r="B6" t="s">
        <v>189</v>
      </c>
      <c r="C6" t="s">
        <v>120</v>
      </c>
      <c r="D6" t="s">
        <v>924</v>
      </c>
      <c r="E6" t="s">
        <v>93</v>
      </c>
    </row>
    <row r="7" spans="1:5">
      <c r="A7" t="s">
        <v>162</v>
      </c>
      <c r="B7" t="s">
        <v>88</v>
      </c>
      <c r="C7" t="s">
        <v>121</v>
      </c>
      <c r="D7" t="s">
        <v>924</v>
      </c>
      <c r="E7" t="s">
        <v>88</v>
      </c>
    </row>
    <row r="8" spans="1:5">
      <c r="A8" t="s">
        <v>169</v>
      </c>
      <c r="B8" t="s">
        <v>170</v>
      </c>
      <c r="C8" t="s">
        <v>121</v>
      </c>
      <c r="D8" t="s">
        <v>924</v>
      </c>
      <c r="E8" t="s">
        <v>89</v>
      </c>
    </row>
    <row r="9" spans="1:5">
      <c r="A9" t="s">
        <v>156</v>
      </c>
      <c r="B9" t="s">
        <v>157</v>
      </c>
      <c r="C9" t="s">
        <v>121</v>
      </c>
      <c r="D9" t="s">
        <v>924</v>
      </c>
      <c r="E9" t="s">
        <v>90</v>
      </c>
    </row>
    <row r="10" spans="1:5">
      <c r="A10" t="s">
        <v>197</v>
      </c>
      <c r="B10" t="s">
        <v>198</v>
      </c>
      <c r="C10" t="s">
        <v>121</v>
      </c>
      <c r="D10" t="s">
        <v>924</v>
      </c>
      <c r="E10" t="s">
        <v>91</v>
      </c>
    </row>
    <row r="11" spans="1:5">
      <c r="A11" t="s">
        <v>212</v>
      </c>
      <c r="B11" t="s">
        <v>213</v>
      </c>
      <c r="C11" t="s">
        <v>121</v>
      </c>
      <c r="D11" t="s">
        <v>924</v>
      </c>
      <c r="E11" t="s">
        <v>94</v>
      </c>
    </row>
    <row r="12" spans="1:5">
      <c r="A12" t="s">
        <v>925</v>
      </c>
      <c r="B12" t="s">
        <v>95</v>
      </c>
      <c r="C12" t="s">
        <v>122</v>
      </c>
      <c r="D12" t="s">
        <v>924</v>
      </c>
      <c r="E12" t="s">
        <v>95</v>
      </c>
    </row>
    <row r="13" spans="1:5">
      <c r="A13" t="s">
        <v>217</v>
      </c>
      <c r="B13" t="s">
        <v>218</v>
      </c>
      <c r="C13" t="s">
        <v>122</v>
      </c>
      <c r="D13" t="s">
        <v>924</v>
      </c>
      <c r="E13" t="s">
        <v>96</v>
      </c>
    </row>
    <row r="14" spans="1:5">
      <c r="A14" t="s">
        <v>148</v>
      </c>
      <c r="B14" t="s">
        <v>149</v>
      </c>
      <c r="C14" t="s">
        <v>150</v>
      </c>
      <c r="D14" t="s">
        <v>924</v>
      </c>
      <c r="E14" t="s">
        <v>35</v>
      </c>
    </row>
    <row r="15" spans="1:5">
      <c r="A15" t="s">
        <v>152</v>
      </c>
      <c r="B15" t="s">
        <v>153</v>
      </c>
      <c r="C15" t="s">
        <v>150</v>
      </c>
      <c r="D15" t="s">
        <v>923</v>
      </c>
      <c r="E15" t="s">
        <v>97</v>
      </c>
    </row>
    <row r="16" spans="1:5">
      <c r="A16" t="s">
        <v>164</v>
      </c>
      <c r="B16" t="s">
        <v>36</v>
      </c>
      <c r="C16" t="s">
        <v>150</v>
      </c>
      <c r="D16" t="s">
        <v>923</v>
      </c>
      <c r="E16" t="s">
        <v>36</v>
      </c>
    </row>
    <row r="17" spans="1:5">
      <c r="A17" t="s">
        <v>167</v>
      </c>
      <c r="B17" t="s">
        <v>51</v>
      </c>
      <c r="C17" t="s">
        <v>150</v>
      </c>
      <c r="D17" t="s">
        <v>923</v>
      </c>
      <c r="E17" t="s">
        <v>51</v>
      </c>
    </row>
    <row r="18" spans="1:5">
      <c r="A18" t="s">
        <v>176</v>
      </c>
      <c r="B18" t="s">
        <v>52</v>
      </c>
      <c r="C18" t="s">
        <v>150</v>
      </c>
      <c r="D18" t="s">
        <v>923</v>
      </c>
      <c r="E18" t="s">
        <v>52</v>
      </c>
    </row>
    <row r="19" spans="1:5">
      <c r="A19" t="s">
        <v>179</v>
      </c>
      <c r="B19" t="s">
        <v>54</v>
      </c>
      <c r="C19" t="s">
        <v>150</v>
      </c>
      <c r="D19" t="s">
        <v>923</v>
      </c>
      <c r="E19" t="s">
        <v>54</v>
      </c>
    </row>
    <row r="20" spans="1:5">
      <c r="A20" t="s">
        <v>181</v>
      </c>
      <c r="B20" t="s">
        <v>56</v>
      </c>
      <c r="C20" t="s">
        <v>150</v>
      </c>
      <c r="D20" t="s">
        <v>923</v>
      </c>
      <c r="E20" t="s">
        <v>56</v>
      </c>
    </row>
    <row r="21" spans="1:5">
      <c r="A21" t="s">
        <v>183</v>
      </c>
      <c r="B21" t="s">
        <v>59</v>
      </c>
      <c r="C21" t="s">
        <v>150</v>
      </c>
      <c r="D21" t="s">
        <v>923</v>
      </c>
      <c r="E21" t="s">
        <v>66</v>
      </c>
    </row>
    <row r="22" spans="1:5">
      <c r="A22" t="s">
        <v>185</v>
      </c>
      <c r="B22" t="s">
        <v>186</v>
      </c>
      <c r="C22" t="s">
        <v>150</v>
      </c>
      <c r="D22" t="s">
        <v>923</v>
      </c>
      <c r="E22" t="s">
        <v>102</v>
      </c>
    </row>
    <row r="23" spans="1:5">
      <c r="A23" t="s">
        <v>191</v>
      </c>
      <c r="B23" t="s">
        <v>104</v>
      </c>
      <c r="C23" t="s">
        <v>150</v>
      </c>
      <c r="D23" t="s">
        <v>923</v>
      </c>
      <c r="E23" t="s">
        <v>104</v>
      </c>
    </row>
    <row r="24" spans="1:5">
      <c r="A24" t="s">
        <v>194</v>
      </c>
      <c r="B24" t="s">
        <v>195</v>
      </c>
      <c r="C24" t="s">
        <v>150</v>
      </c>
      <c r="D24" t="s">
        <v>923</v>
      </c>
      <c r="E24" t="s">
        <v>106</v>
      </c>
    </row>
  </sheetData>
  <autoFilter ref="A1:E2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A899"/>
  </sheetPr>
  <dimension ref="A1:F289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6" width="21.7109375" customWidth="1"/>
  </cols>
  <sheetData>
    <row r="1" spans="1:6">
      <c r="A1" s="4" t="s">
        <v>27</v>
      </c>
      <c r="B1" s="4" t="s">
        <v>139</v>
      </c>
      <c r="C1" s="4" t="s">
        <v>926</v>
      </c>
      <c r="D1" s="4" t="s">
        <v>927</v>
      </c>
      <c r="E1" s="4" t="s">
        <v>928</v>
      </c>
      <c r="F1" s="4" t="s">
        <v>929</v>
      </c>
    </row>
    <row r="2" spans="1:6">
      <c r="A2" s="5">
        <v>45292</v>
      </c>
      <c r="B2" t="s">
        <v>173</v>
      </c>
      <c r="C2" t="s">
        <v>85</v>
      </c>
      <c r="D2" s="6">
        <f>(3000000+SUMIFS('13_DIARIO'!J$2:J$1443,'13_DIARIO'!C$2:C$1443,B2,'13_DIARIO'!B$2:B$1443,"&lt;="&amp;A2))*1</f>
        <v>2503481.813333334</v>
      </c>
      <c r="E2" s="6">
        <f>'12_MODELO'!AV2</f>
        <v>2503481.8133333335</v>
      </c>
      <c r="F2" s="6">
        <f>D2-E2</f>
        <v>4.656612873077393e-10</v>
      </c>
    </row>
    <row r="3" spans="1:6">
      <c r="A3" s="5">
        <v>45292</v>
      </c>
      <c r="B3" t="s">
        <v>146</v>
      </c>
      <c r="C3" t="s">
        <v>86</v>
      </c>
      <c r="D3" s="6">
        <f>(900000+SUMIFS('13_DIARIO'!J$2:J$1443,'13_DIARIO'!C$2:C$1443,B3,'13_DIARIO'!B$2:B$1443,"&lt;="&amp;A3))*1</f>
        <v>1240139.1733333333</v>
      </c>
      <c r="E3" s="6">
        <f>'12_MODELO'!U2</f>
        <v>1240139.1733333333</v>
      </c>
      <c r="F3" s="6">
        <f>D3-E3</f>
        <v>0.0</v>
      </c>
    </row>
    <row r="4" spans="1:6">
      <c r="A4" s="5">
        <v>45292</v>
      </c>
      <c r="B4" t="s">
        <v>159</v>
      </c>
      <c r="C4" t="s">
        <v>87</v>
      </c>
      <c r="D4" s="6">
        <f>(700000+SUMIFS('13_DIARIO'!J$2:J$1443,'13_DIARIO'!C$2:C$1443,B4,'13_DIARIO'!B$2:B$1443,"&lt;="&amp;A4))*1</f>
        <v>943490.6666666665</v>
      </c>
      <c r="E4" s="6">
        <f>'12_MODELO'!V2</f>
        <v>943490.6666666666</v>
      </c>
      <c r="F4" s="6">
        <f>D4-E4</f>
        <v>-1.1641532182693481e-10</v>
      </c>
    </row>
    <row r="5" spans="1:6">
      <c r="A5" s="5">
        <v>45292</v>
      </c>
      <c r="B5" t="s">
        <v>208</v>
      </c>
      <c r="C5" t="s">
        <v>92</v>
      </c>
      <c r="D5" s="6">
        <f>(1500000+SUMIFS('13_DIARIO'!J$2:J$1443,'13_DIARIO'!C$2:C$1443,B5,'13_DIARIO'!B$2:B$1443,"&lt;="&amp;A5))*1</f>
        <v>1518000.0</v>
      </c>
      <c r="E5" s="6">
        <f>'12_MODELO'!AC2</f>
        <v>1518000.0</v>
      </c>
      <c r="F5" s="6">
        <f>D5-E5</f>
        <v>0.0</v>
      </c>
    </row>
    <row r="6" spans="1:6">
      <c r="A6" s="5">
        <v>45292</v>
      </c>
      <c r="B6" t="s">
        <v>188</v>
      </c>
      <c r="C6" t="s">
        <v>93</v>
      </c>
      <c r="D6" s="6">
        <f>(-300000+SUMIFS('13_DIARIO'!J$2:J$1443,'13_DIARIO'!C$2:C$1443,B6,'13_DIARIO'!B$2:B$1443,"&lt;="&amp;A6))*-1</f>
        <v>315000.0</v>
      </c>
      <c r="E6" s="6">
        <f>'12_MODELO'!AD2</f>
        <v>315000.0</v>
      </c>
      <c r="F6" s="6">
        <f>D6-E6</f>
        <v>0.0</v>
      </c>
    </row>
    <row r="7" spans="1:6">
      <c r="A7" s="5">
        <v>45292</v>
      </c>
      <c r="B7" t="s">
        <v>162</v>
      </c>
      <c r="C7" t="s">
        <v>88</v>
      </c>
      <c r="D7" s="6">
        <f>(-550000+SUMIFS('13_DIARIO'!J$2:J$1443,'13_DIARIO'!C$2:C$1443,B7,'13_DIARIO'!B$2:B$1443,"&lt;="&amp;A7))*-1</f>
        <v>717873.3333333334</v>
      </c>
      <c r="E7" s="6">
        <f>'12_MODELO'!X2</f>
        <v>717873.3333333334</v>
      </c>
      <c r="F7" s="6">
        <f>D7-E7</f>
        <v>0.0</v>
      </c>
    </row>
    <row r="8" spans="1:6">
      <c r="A8" s="5">
        <v>45292</v>
      </c>
      <c r="B8" t="s">
        <v>169</v>
      </c>
      <c r="C8" t="s">
        <v>89</v>
      </c>
      <c r="D8" s="6">
        <f>(-40000+SUMIFS('13_DIARIO'!J$2:J$1443,'13_DIARIO'!C$2:C$1443,B8,'13_DIARIO'!B$2:B$1443,"&lt;="&amp;A8))*-1</f>
        <v>19000.0</v>
      </c>
      <c r="E8" s="6">
        <f>'12_MODELO'!Y2</f>
        <v>19000.0</v>
      </c>
      <c r="F8" s="6">
        <f>D8-E8</f>
        <v>0.0</v>
      </c>
    </row>
    <row r="9" spans="1:6">
      <c r="A9" s="5">
        <v>45292</v>
      </c>
      <c r="B9" t="s">
        <v>156</v>
      </c>
      <c r="C9" t="s">
        <v>90</v>
      </c>
      <c r="D9" s="6">
        <f>(-80000+SUMIFS('13_DIARIO'!J$2:J$1443,'13_DIARIO'!C$2:C$1443,B9,'13_DIARIO'!B$2:B$1443,"&lt;="&amp;A9))*-1</f>
        <v>79058.8723</v>
      </c>
      <c r="E9" s="6">
        <f>'12_MODELO'!Z2</f>
        <v>79058.8723</v>
      </c>
      <c r="F9" s="6">
        <f>D9-E9</f>
        <v>0.0</v>
      </c>
    </row>
    <row r="10" spans="1:6">
      <c r="A10" s="5">
        <v>45292</v>
      </c>
      <c r="B10" t="s">
        <v>197</v>
      </c>
      <c r="C10" t="s">
        <v>91</v>
      </c>
      <c r="D10" s="6">
        <f>(-50000+SUMIFS('13_DIARIO'!J$2:J$1443,'13_DIARIO'!C$2:C$1443,B10,'13_DIARIO'!B$2:B$1443,"&lt;="&amp;A10))*-1</f>
        <v>4141.012217999989</v>
      </c>
      <c r="E10" s="6">
        <f>'12_MODELO'!AA2</f>
        <v>4141.012217999987</v>
      </c>
      <c r="F10" s="6">
        <f>D10-E10</f>
        <v>1.8189894035458565e-12</v>
      </c>
    </row>
    <row r="11" spans="1:6">
      <c r="A11" s="5">
        <v>45292</v>
      </c>
      <c r="B11" t="s">
        <v>212</v>
      </c>
      <c r="C11" t="s">
        <v>94</v>
      </c>
      <c r="D11" s="6">
        <f>(-800000+SUMIFS('13_DIARIO'!J$2:J$1443,'13_DIARIO'!C$2:C$1443,B11,'13_DIARIO'!B$2:B$1443,"&lt;="&amp;A11))*-1</f>
        <v>782000.0</v>
      </c>
      <c r="E11" s="6">
        <f>'12_MODELO'!AG2</f>
        <v>782000.0</v>
      </c>
      <c r="F11" s="6">
        <f>D11-E11</f>
        <v>0.0</v>
      </c>
    </row>
    <row r="12" spans="1:6">
      <c r="A12" s="5">
        <v>45292</v>
      </c>
      <c r="B12" t="s">
        <v>925</v>
      </c>
      <c r="C12" t="s">
        <v>95</v>
      </c>
      <c r="D12" s="6">
        <f>(-3900000+SUMIFS('13_DIARIO'!J$2:J$1443,'13_DIARIO'!C$2:C$1443,B12,'13_DIARIO'!B$2:B$1443,"&lt;="&amp;A12))*-1</f>
        <v>3900000</v>
      </c>
      <c r="E12" s="6">
        <f>'12_MODELO'!AI2</f>
        <v>3900000.0</v>
      </c>
      <c r="F12" s="6">
        <f>D12-E12</f>
        <v>0.0</v>
      </c>
    </row>
    <row r="13" spans="1:6">
      <c r="A13" s="5">
        <v>45292</v>
      </c>
      <c r="B13" t="s">
        <v>217</v>
      </c>
      <c r="C13" t="s">
        <v>96</v>
      </c>
      <c r="D13" s="6">
        <f>(-380000+SUMIFS('13_DIARIO'!J$2:J$1443,'13_DIARIO'!C$2:C$1443,B13,'13_DIARIO'!B$2:B$1443,"&lt;="&amp;A13))*-1</f>
        <v>388038.435482</v>
      </c>
      <c r="E13" s="6">
        <f>'12_MODELO'!AJ2</f>
        <v>388038.435482</v>
      </c>
      <c r="F13" s="6">
        <f>D13-E13</f>
        <v>0.0</v>
      </c>
    </row>
    <row r="14" spans="1:6">
      <c r="A14" s="5">
        <v>45323</v>
      </c>
      <c r="B14" t="s">
        <v>173</v>
      </c>
      <c r="C14" t="s">
        <v>85</v>
      </c>
      <c r="D14" s="6">
        <f>(3000000+SUMIFS('13_DIARIO'!J$2:J$1443,'13_DIARIO'!C$2:C$1443,B14,'13_DIARIO'!B$2:B$1443,"&lt;="&amp;A14))*1</f>
        <v>2435948.0054820008</v>
      </c>
      <c r="E14" s="6">
        <f>'12_MODELO'!AV3</f>
        <v>2435948.005482</v>
      </c>
      <c r="F14" s="6">
        <f>D14-E14</f>
        <v>9.313225746154785e-10</v>
      </c>
    </row>
    <row r="15" spans="1:6">
      <c r="A15" s="5">
        <v>45323</v>
      </c>
      <c r="B15" t="s">
        <v>146</v>
      </c>
      <c r="C15" t="s">
        <v>86</v>
      </c>
      <c r="D15" s="6">
        <f>(900000+SUMIFS('13_DIARIO'!J$2:J$1443,'13_DIARIO'!C$2:C$1443,B15,'13_DIARIO'!B$2:B$1443,"&lt;="&amp;A15))*1</f>
        <v>1297408.6400000001</v>
      </c>
      <c r="E15" s="6">
        <f>'12_MODELO'!U3</f>
        <v>1297408.6400000001</v>
      </c>
      <c r="F15" s="6">
        <f>D15-E15</f>
        <v>0.0</v>
      </c>
    </row>
    <row r="16" spans="1:6">
      <c r="A16" s="5">
        <v>45323</v>
      </c>
      <c r="B16" t="s">
        <v>159</v>
      </c>
      <c r="C16" t="s">
        <v>87</v>
      </c>
      <c r="D16" s="6">
        <f>(700000+SUMIFS('13_DIARIO'!J$2:J$1443,'13_DIARIO'!C$2:C$1443,B16,'13_DIARIO'!B$2:B$1443,"&lt;="&amp;A16))*1</f>
        <v>986102.0</v>
      </c>
      <c r="E16" s="6">
        <f>'12_MODELO'!V3</f>
        <v>986102.0</v>
      </c>
      <c r="F16" s="6">
        <f>D16-E16</f>
        <v>0.0</v>
      </c>
    </row>
    <row r="17" spans="1:6">
      <c r="A17" s="5">
        <v>45323</v>
      </c>
      <c r="B17" t="s">
        <v>208</v>
      </c>
      <c r="C17" t="s">
        <v>92</v>
      </c>
      <c r="D17" s="6">
        <f>(1500000+SUMIFS('13_DIARIO'!J$2:J$1443,'13_DIARIO'!C$2:C$1443,B17,'13_DIARIO'!B$2:B$1443,"&lt;="&amp;A17))*1</f>
        <v>1536000.0</v>
      </c>
      <c r="E17" s="6">
        <f>'12_MODELO'!AC3</f>
        <v>1536000.0</v>
      </c>
      <c r="F17" s="6">
        <f>D17-E17</f>
        <v>0.0</v>
      </c>
    </row>
    <row r="18" spans="1:6">
      <c r="A18" s="5">
        <v>45323</v>
      </c>
      <c r="B18" t="s">
        <v>188</v>
      </c>
      <c r="C18" t="s">
        <v>93</v>
      </c>
      <c r="D18" s="6">
        <f>(-300000+SUMIFS('13_DIARIO'!J$2:J$1443,'13_DIARIO'!C$2:C$1443,B18,'13_DIARIO'!B$2:B$1443,"&lt;="&amp;A18))*-1</f>
        <v>330180.0</v>
      </c>
      <c r="E18" s="6">
        <f>'12_MODELO'!AD3</f>
        <v>330180.0</v>
      </c>
      <c r="F18" s="6">
        <f>D18-E18</f>
        <v>0.0</v>
      </c>
    </row>
    <row r="19" spans="1:6">
      <c r="A19" s="5">
        <v>45323</v>
      </c>
      <c r="B19" t="s">
        <v>162</v>
      </c>
      <c r="C19" t="s">
        <v>88</v>
      </c>
      <c r="D19" s="6">
        <f>(-550000+SUMIFS('13_DIARIO'!J$2:J$1443,'13_DIARIO'!C$2:C$1443,B19,'13_DIARIO'!B$2:B$1443,"&lt;="&amp;A19))*-1</f>
        <v>750295.0</v>
      </c>
      <c r="E19" s="6">
        <f>'12_MODELO'!X3</f>
        <v>750295.0</v>
      </c>
      <c r="F19" s="6">
        <f>D19-E19</f>
        <v>0.0</v>
      </c>
    </row>
    <row r="20" spans="1:6">
      <c r="A20" s="5">
        <v>45323</v>
      </c>
      <c r="B20" t="s">
        <v>169</v>
      </c>
      <c r="C20" t="s">
        <v>89</v>
      </c>
      <c r="D20" s="6">
        <f>(-40000+SUMIFS('13_DIARIO'!J$2:J$1443,'13_DIARIO'!C$2:C$1443,B20,'13_DIARIO'!B$2:B$1443,"&lt;="&amp;A20))*-1</f>
        <v>19000.0</v>
      </c>
      <c r="E20" s="6">
        <f>'12_MODELO'!Y3</f>
        <v>19000.0</v>
      </c>
      <c r="F20" s="6">
        <f>D20-E20</f>
        <v>0.0</v>
      </c>
    </row>
    <row r="21" spans="1:6">
      <c r="A21" s="5">
        <v>45323</v>
      </c>
      <c r="B21" t="s">
        <v>156</v>
      </c>
      <c r="C21" t="s">
        <v>90</v>
      </c>
      <c r="D21" s="6">
        <f>(-80000+SUMIFS('13_DIARIO'!J$2:J$1443,'13_DIARIO'!C$2:C$1443,B21,'13_DIARIO'!B$2:B$1443,"&lt;="&amp;A21))*-1</f>
        <v>82709.8008</v>
      </c>
      <c r="E21" s="6">
        <f>'12_MODELO'!Z3</f>
        <v>82709.8008</v>
      </c>
      <c r="F21" s="6">
        <f>D21-E21</f>
        <v>0.0</v>
      </c>
    </row>
    <row r="22" spans="1:6">
      <c r="A22" s="5">
        <v>45323</v>
      </c>
      <c r="B22" t="s">
        <v>197</v>
      </c>
      <c r="C22" t="s">
        <v>91</v>
      </c>
      <c r="D22" s="6">
        <f>(-50000+SUMIFS('13_DIARIO'!J$2:J$1443,'13_DIARIO'!C$2:C$1443,B22,'13_DIARIO'!B$2:B$1443,"&lt;="&amp;A22))*-1</f>
        <v>7220.0391280000085</v>
      </c>
      <c r="E22" s="6">
        <f>'12_MODELO'!AA3</f>
        <v>7220.0391280000085</v>
      </c>
      <c r="F22" s="6">
        <f>D22-E22</f>
        <v>0.0</v>
      </c>
    </row>
    <row r="23" spans="1:6">
      <c r="A23" s="5">
        <v>45323</v>
      </c>
      <c r="B23" t="s">
        <v>212</v>
      </c>
      <c r="C23" t="s">
        <v>94</v>
      </c>
      <c r="D23" s="6">
        <f>(-800000+SUMIFS('13_DIARIO'!J$2:J$1443,'13_DIARIO'!C$2:C$1443,B23,'13_DIARIO'!B$2:B$1443,"&lt;="&amp;A23))*-1</f>
        <v>764000.0</v>
      </c>
      <c r="E23" s="6">
        <f>'12_MODELO'!AG3</f>
        <v>764000.0</v>
      </c>
      <c r="F23" s="6">
        <f>D23-E23</f>
        <v>0.0</v>
      </c>
    </row>
    <row r="24" spans="1:6">
      <c r="A24" s="5">
        <v>45323</v>
      </c>
      <c r="B24" t="s">
        <v>925</v>
      </c>
      <c r="C24" t="s">
        <v>95</v>
      </c>
      <c r="D24" s="6">
        <f>(-3900000+SUMIFS('13_DIARIO'!J$2:J$1443,'13_DIARIO'!C$2:C$1443,B24,'13_DIARIO'!B$2:B$1443,"&lt;="&amp;A24))*-1</f>
        <v>3900000</v>
      </c>
      <c r="E24" s="6">
        <f>'12_MODELO'!AI3</f>
        <v>3900000.0</v>
      </c>
      <c r="F24" s="6">
        <f>D24-E24</f>
        <v>0.0</v>
      </c>
    </row>
    <row r="25" spans="1:6">
      <c r="A25" s="5">
        <v>45323</v>
      </c>
      <c r="B25" t="s">
        <v>217</v>
      </c>
      <c r="C25" t="s">
        <v>96</v>
      </c>
      <c r="D25" s="6">
        <f>(-380000+SUMIFS('13_DIARIO'!J$2:J$1443,'13_DIARIO'!C$2:C$1443,B25,'13_DIARIO'!B$2:B$1443,"&lt;="&amp;A25))*-1</f>
        <v>402053.80555399985</v>
      </c>
      <c r="E25" s="6">
        <f>'12_MODELO'!AJ3</f>
        <v>402053.805554</v>
      </c>
      <c r="F25" s="6">
        <f>D25-E25</f>
        <v>-1.7462298274040222e-10</v>
      </c>
    </row>
    <row r="26" spans="1:6">
      <c r="A26" s="5">
        <v>45352</v>
      </c>
      <c r="B26" t="s">
        <v>173</v>
      </c>
      <c r="C26" t="s">
        <v>85</v>
      </c>
      <c r="D26" s="6">
        <f>(3000000+SUMIFS('13_DIARIO'!J$2:J$1443,'13_DIARIO'!C$2:C$1443,B26,'13_DIARIO'!B$2:B$1443,"&lt;="&amp;A26))*1</f>
        <v>2142410.168887335</v>
      </c>
      <c r="E26" s="6">
        <f>'12_MODELO'!AV4</f>
        <v>2142410.1688873335</v>
      </c>
      <c r="F26" s="6">
        <f>D26-E26</f>
        <v>1.3969838619232178e-09</v>
      </c>
    </row>
    <row r="27" spans="1:6">
      <c r="A27" s="5">
        <v>45352</v>
      </c>
      <c r="B27" t="s">
        <v>146</v>
      </c>
      <c r="C27" t="s">
        <v>86</v>
      </c>
      <c r="D27" s="6">
        <f>(900000+SUMIFS('13_DIARIO'!J$2:J$1443,'13_DIARIO'!C$2:C$1443,B27,'13_DIARIO'!B$2:B$1443,"&lt;="&amp;A27))*1</f>
        <v>1518868.72</v>
      </c>
      <c r="E27" s="6">
        <f>'12_MODELO'!U4</f>
        <v>1518868.72</v>
      </c>
      <c r="F27" s="6">
        <f>D27-E27</f>
        <v>0.0</v>
      </c>
    </row>
    <row r="28" spans="1:6">
      <c r="A28" s="5">
        <v>45352</v>
      </c>
      <c r="B28" t="s">
        <v>159</v>
      </c>
      <c r="C28" t="s">
        <v>87</v>
      </c>
      <c r="D28" s="6">
        <f>(700000+SUMIFS('13_DIARIO'!J$2:J$1443,'13_DIARIO'!C$2:C$1443,B28,'13_DIARIO'!B$2:B$1443,"&lt;="&amp;A28))*1</f>
        <v>1154339.3333333333</v>
      </c>
      <c r="E28" s="6">
        <f>'12_MODELO'!V4</f>
        <v>1154339.3333333333</v>
      </c>
      <c r="F28" s="6">
        <f>D28-E28</f>
        <v>0.0</v>
      </c>
    </row>
    <row r="29" spans="1:6">
      <c r="A29" s="5">
        <v>45352</v>
      </c>
      <c r="B29" t="s">
        <v>208</v>
      </c>
      <c r="C29" t="s">
        <v>92</v>
      </c>
      <c r="D29" s="6">
        <f>(1500000+SUMIFS('13_DIARIO'!J$2:J$1443,'13_DIARIO'!C$2:C$1443,B29,'13_DIARIO'!B$2:B$1443,"&lt;="&amp;A29))*1</f>
        <v>1626000.0</v>
      </c>
      <c r="E29" s="6">
        <f>'12_MODELO'!AC4</f>
        <v>1626000.0</v>
      </c>
      <c r="F29" s="6">
        <f>D29-E29</f>
        <v>0.0</v>
      </c>
    </row>
    <row r="30" spans="1:6">
      <c r="A30" s="5">
        <v>45352</v>
      </c>
      <c r="B30" t="s">
        <v>188</v>
      </c>
      <c r="C30" t="s">
        <v>93</v>
      </c>
      <c r="D30" s="6">
        <f>(-300000+SUMIFS('13_DIARIO'!J$2:J$1443,'13_DIARIO'!C$2:C$1443,B30,'13_DIARIO'!B$2:B$1443,"&lt;="&amp;A30))*-1</f>
        <v>345540.0</v>
      </c>
      <c r="E30" s="6">
        <f>'12_MODELO'!AD4</f>
        <v>345540.0</v>
      </c>
      <c r="F30" s="6">
        <f>D30-E30</f>
        <v>0.0</v>
      </c>
    </row>
    <row r="31" spans="1:6">
      <c r="A31" s="5">
        <v>45352</v>
      </c>
      <c r="B31" t="s">
        <v>162</v>
      </c>
      <c r="C31" t="s">
        <v>88</v>
      </c>
      <c r="D31" s="6">
        <f>(-550000+SUMIFS('13_DIARIO'!J$2:J$1443,'13_DIARIO'!C$2:C$1443,B31,'13_DIARIO'!B$2:B$1443,"&lt;="&amp;A31))*-1</f>
        <v>878301.6666666666</v>
      </c>
      <c r="E31" s="6">
        <f>'12_MODELO'!X4</f>
        <v>878301.6666666666</v>
      </c>
      <c r="F31" s="6">
        <f>D31-E31</f>
        <v>0.0</v>
      </c>
    </row>
    <row r="32" spans="1:6">
      <c r="A32" s="5">
        <v>45352</v>
      </c>
      <c r="B32" t="s">
        <v>169</v>
      </c>
      <c r="C32" t="s">
        <v>89</v>
      </c>
      <c r="D32" s="6">
        <f>(-40000+SUMIFS('13_DIARIO'!J$2:J$1443,'13_DIARIO'!C$2:C$1443,B32,'13_DIARIO'!B$2:B$1443,"&lt;="&amp;A32))*-1</f>
        <v>19000.0</v>
      </c>
      <c r="E32" s="6">
        <f>'12_MODELO'!Y4</f>
        <v>19000.0</v>
      </c>
      <c r="F32" s="6">
        <f>D32-E32</f>
        <v>0.0</v>
      </c>
    </row>
    <row r="33" spans="1:6">
      <c r="A33" s="5">
        <v>45352</v>
      </c>
      <c r="B33" t="s">
        <v>156</v>
      </c>
      <c r="C33" t="s">
        <v>90</v>
      </c>
      <c r="D33" s="6">
        <f>(-80000+SUMIFS('13_DIARIO'!J$2:J$1443,'13_DIARIO'!C$2:C$1443,B33,'13_DIARIO'!B$2:B$1443,"&lt;="&amp;A33))*-1</f>
        <v>96827.8809</v>
      </c>
      <c r="E33" s="6">
        <f>'12_MODELO'!Z4</f>
        <v>96827.8809</v>
      </c>
      <c r="F33" s="6">
        <f>D33-E33</f>
        <v>0.0</v>
      </c>
    </row>
    <row r="34" spans="1:6">
      <c r="A34" s="5">
        <v>45352</v>
      </c>
      <c r="B34" t="s">
        <v>197</v>
      </c>
      <c r="C34" t="s">
        <v>91</v>
      </c>
      <c r="D34" s="6">
        <f>(-50000+SUMIFS('13_DIARIO'!J$2:J$1443,'13_DIARIO'!C$2:C$1443,B34,'13_DIARIO'!B$2:B$1443,"&lt;="&amp;A34))*-1</f>
        <v>18324.255494000015</v>
      </c>
      <c r="E34" s="6">
        <f>'12_MODELO'!AA4</f>
        <v>18324.255494000015</v>
      </c>
      <c r="F34" s="6">
        <f>D34-E34</f>
        <v>0.0</v>
      </c>
    </row>
    <row r="35" spans="1:6">
      <c r="A35" s="5">
        <v>45352</v>
      </c>
      <c r="B35" t="s">
        <v>212</v>
      </c>
      <c r="C35" t="s">
        <v>94</v>
      </c>
      <c r="D35" s="6">
        <f>(-800000+SUMIFS('13_DIARIO'!J$2:J$1443,'13_DIARIO'!C$2:C$1443,B35,'13_DIARIO'!B$2:B$1443,"&lt;="&amp;A35))*-1</f>
        <v>746000.0</v>
      </c>
      <c r="E35" s="6">
        <f>'12_MODELO'!AG4</f>
        <v>746000.0</v>
      </c>
      <c r="F35" s="6">
        <f>D35-E35</f>
        <v>0.0</v>
      </c>
    </row>
    <row r="36" spans="1:6">
      <c r="A36" s="5">
        <v>45352</v>
      </c>
      <c r="B36" t="s">
        <v>925</v>
      </c>
      <c r="C36" t="s">
        <v>95</v>
      </c>
      <c r="D36" s="6">
        <f>(-3900000+SUMIFS('13_DIARIO'!J$2:J$1443,'13_DIARIO'!C$2:C$1443,B36,'13_DIARIO'!B$2:B$1443,"&lt;="&amp;A36))*-1</f>
        <v>3900000</v>
      </c>
      <c r="E36" s="6">
        <f>'12_MODELO'!AI4</f>
        <v>3900000.0</v>
      </c>
      <c r="F36" s="6">
        <f>D36-E36</f>
        <v>0.0</v>
      </c>
    </row>
    <row r="37" spans="1:6">
      <c r="A37" s="5">
        <v>45352</v>
      </c>
      <c r="B37" t="s">
        <v>217</v>
      </c>
      <c r="C37" t="s">
        <v>96</v>
      </c>
      <c r="D37" s="6">
        <f>(-380000+SUMIFS('13_DIARIO'!J$2:J$1443,'13_DIARIO'!C$2:C$1443,B37,'13_DIARIO'!B$2:B$1443,"&lt;="&amp;A37))*-1</f>
        <v>437624.41915999976</v>
      </c>
      <c r="E37" s="6">
        <f>'12_MODELO'!AJ4</f>
        <v>437624.41916000005</v>
      </c>
      <c r="F37" s="6">
        <f>D37-E37</f>
        <v>-2.9103830456733704e-10</v>
      </c>
    </row>
    <row r="38" spans="1:6">
      <c r="A38" s="5">
        <v>45383</v>
      </c>
      <c r="B38" t="s">
        <v>173</v>
      </c>
      <c r="C38" t="s">
        <v>85</v>
      </c>
      <c r="D38" s="6">
        <f>(3000000+SUMIFS('13_DIARIO'!J$2:J$1443,'13_DIARIO'!C$2:C$1443,B38,'13_DIARIO'!B$2:B$1443,"&lt;="&amp;A38))*1</f>
        <v>2155778.6258266675</v>
      </c>
      <c r="E38" s="6">
        <f>'12_MODELO'!AV5</f>
        <v>2155778.6258266666</v>
      </c>
      <c r="F38" s="6">
        <f>D38-E38</f>
        <v>9.313225746154785e-10</v>
      </c>
    </row>
    <row r="39" spans="1:6">
      <c r="A39" s="5">
        <v>45383</v>
      </c>
      <c r="B39" t="s">
        <v>146</v>
      </c>
      <c r="C39" t="s">
        <v>86</v>
      </c>
      <c r="D39" s="6">
        <f>(900000+SUMIFS('13_DIARIO'!J$2:J$1443,'13_DIARIO'!C$2:C$1443,B39,'13_DIARIO'!B$2:B$1443,"&lt;="&amp;A39))*1</f>
        <v>1519758.5066666666</v>
      </c>
      <c r="E39" s="6">
        <f>'12_MODELO'!U5</f>
        <v>1519758.5066666666</v>
      </c>
      <c r="F39" s="6">
        <f>D39-E39</f>
        <v>0.0</v>
      </c>
    </row>
    <row r="40" spans="1:6">
      <c r="A40" s="5">
        <v>45383</v>
      </c>
      <c r="B40" t="s">
        <v>159</v>
      </c>
      <c r="C40" t="s">
        <v>87</v>
      </c>
      <c r="D40" s="6">
        <f>(700000+SUMIFS('13_DIARIO'!J$2:J$1443,'13_DIARIO'!C$2:C$1443,B40,'13_DIARIO'!B$2:B$1443,"&lt;="&amp;A40))*1</f>
        <v>1156041.3333333333</v>
      </c>
      <c r="E40" s="6">
        <f>'12_MODELO'!V5</f>
        <v>1156041.3333333333</v>
      </c>
      <c r="F40" s="6">
        <f>D40-E40</f>
        <v>0.0</v>
      </c>
    </row>
    <row r="41" spans="1:6">
      <c r="A41" s="5">
        <v>45383</v>
      </c>
      <c r="B41" t="s">
        <v>208</v>
      </c>
      <c r="C41" t="s">
        <v>92</v>
      </c>
      <c r="D41" s="6">
        <f>(1500000+SUMIFS('13_DIARIO'!J$2:J$1443,'13_DIARIO'!C$2:C$1443,B41,'13_DIARIO'!B$2:B$1443,"&lt;="&amp;A41))*1</f>
        <v>1644000.0</v>
      </c>
      <c r="E41" s="6">
        <f>'12_MODELO'!AC5</f>
        <v>1644000.0</v>
      </c>
      <c r="F41" s="6">
        <f>D41-E41</f>
        <v>0.0</v>
      </c>
    </row>
    <row r="42" spans="1:6">
      <c r="A42" s="5">
        <v>45383</v>
      </c>
      <c r="B42" t="s">
        <v>188</v>
      </c>
      <c r="C42" t="s">
        <v>93</v>
      </c>
      <c r="D42" s="6">
        <f>(-300000+SUMIFS('13_DIARIO'!J$2:J$1443,'13_DIARIO'!C$2:C$1443,B42,'13_DIARIO'!B$2:B$1443,"&lt;="&amp;A42))*-1</f>
        <v>361800.0</v>
      </c>
      <c r="E42" s="6">
        <f>'12_MODELO'!AD5</f>
        <v>361800.0</v>
      </c>
      <c r="F42" s="6">
        <f>D42-E42</f>
        <v>0.0</v>
      </c>
    </row>
    <row r="43" spans="1:6">
      <c r="A43" s="5">
        <v>45383</v>
      </c>
      <c r="B43" t="s">
        <v>162</v>
      </c>
      <c r="C43" t="s">
        <v>88</v>
      </c>
      <c r="D43" s="6">
        <f>(-550000+SUMIFS('13_DIARIO'!J$2:J$1443,'13_DIARIO'!C$2:C$1443,B43,'13_DIARIO'!B$2:B$1443,"&lt;="&amp;A43))*-1</f>
        <v>879596.6666666666</v>
      </c>
      <c r="E43" s="6">
        <f>'12_MODELO'!X5</f>
        <v>879596.6666666666</v>
      </c>
      <c r="F43" s="6">
        <f>D43-E43</f>
        <v>0.0</v>
      </c>
    </row>
    <row r="44" spans="1:6">
      <c r="A44" s="5">
        <v>45383</v>
      </c>
      <c r="B44" t="s">
        <v>169</v>
      </c>
      <c r="C44" t="s">
        <v>89</v>
      </c>
      <c r="D44" s="6">
        <f>(-40000+SUMIFS('13_DIARIO'!J$2:J$1443,'13_DIARIO'!C$2:C$1443,B44,'13_DIARIO'!B$2:B$1443,"&lt;="&amp;A44))*-1</f>
        <v>19000.0</v>
      </c>
      <c r="E44" s="6">
        <f>'12_MODELO'!Y5</f>
        <v>19000.0</v>
      </c>
      <c r="F44" s="6">
        <f>D44-E44</f>
        <v>0.0</v>
      </c>
    </row>
    <row r="45" spans="1:6">
      <c r="A45" s="5">
        <v>45383</v>
      </c>
      <c r="B45" t="s">
        <v>156</v>
      </c>
      <c r="C45" t="s">
        <v>90</v>
      </c>
      <c r="D45" s="6">
        <f>(-80000+SUMIFS('13_DIARIO'!J$2:J$1443,'13_DIARIO'!C$2:C$1443,B45,'13_DIARIO'!B$2:B$1443,"&lt;="&amp;A45))*-1</f>
        <v>96884.6048</v>
      </c>
      <c r="E45" s="6">
        <f>'12_MODELO'!Z5</f>
        <v>96884.6048</v>
      </c>
      <c r="F45" s="6">
        <f>D45-E45</f>
        <v>0.0</v>
      </c>
    </row>
    <row r="46" spans="1:6">
      <c r="A46" s="5">
        <v>45383</v>
      </c>
      <c r="B46" t="s">
        <v>197</v>
      </c>
      <c r="C46" t="s">
        <v>91</v>
      </c>
      <c r="D46" s="6">
        <f>(-50000+SUMIFS('13_DIARIO'!J$2:J$1443,'13_DIARIO'!C$2:C$1443,B46,'13_DIARIO'!B$2:B$1443,"&lt;="&amp;A46))*-1</f>
        <v>17908.743567999973</v>
      </c>
      <c r="E46" s="6">
        <f>'12_MODELO'!AA5</f>
        <v>17908.743567999973</v>
      </c>
      <c r="F46" s="6">
        <f>D46-E46</f>
        <v>0.0</v>
      </c>
    </row>
    <row r="47" spans="1:6">
      <c r="A47" s="5">
        <v>45383</v>
      </c>
      <c r="B47" t="s">
        <v>212</v>
      </c>
      <c r="C47" t="s">
        <v>94</v>
      </c>
      <c r="D47" s="6">
        <f>(-800000+SUMIFS('13_DIARIO'!J$2:J$1443,'13_DIARIO'!C$2:C$1443,B47,'13_DIARIO'!B$2:B$1443,"&lt;="&amp;A47))*-1</f>
        <v>728000.0</v>
      </c>
      <c r="E47" s="6">
        <f>'12_MODELO'!AG5</f>
        <v>728000.0</v>
      </c>
      <c r="F47" s="6">
        <f>D47-E47</f>
        <v>0.0</v>
      </c>
    </row>
    <row r="48" spans="1:6">
      <c r="A48" s="5">
        <v>45383</v>
      </c>
      <c r="B48" t="s">
        <v>925</v>
      </c>
      <c r="C48" t="s">
        <v>95</v>
      </c>
      <c r="D48" s="6">
        <f>(-3900000+SUMIFS('13_DIARIO'!J$2:J$1443,'13_DIARIO'!C$2:C$1443,B48,'13_DIARIO'!B$2:B$1443,"&lt;="&amp;A48))*-1</f>
        <v>3900000</v>
      </c>
      <c r="E48" s="6">
        <f>'12_MODELO'!AI5</f>
        <v>3900000.0</v>
      </c>
      <c r="F48" s="6">
        <f>D48-E48</f>
        <v>0.0</v>
      </c>
    </row>
    <row r="49" spans="1:6">
      <c r="A49" s="5">
        <v>45383</v>
      </c>
      <c r="B49" t="s">
        <v>217</v>
      </c>
      <c r="C49" t="s">
        <v>96</v>
      </c>
      <c r="D49" s="6">
        <f>(-380000+SUMIFS('13_DIARIO'!J$2:J$1443,'13_DIARIO'!C$2:C$1443,B49,'13_DIARIO'!B$2:B$1443,"&lt;="&amp;A49))*-1</f>
        <v>472388.45079199964</v>
      </c>
      <c r="E49" s="6">
        <f>'12_MODELO'!AJ5</f>
        <v>472388.450792</v>
      </c>
      <c r="F49" s="6">
        <f>D49-E49</f>
        <v>-3.4924596548080444e-10</v>
      </c>
    </row>
    <row r="50" spans="1:6">
      <c r="A50" s="5">
        <v>45413</v>
      </c>
      <c r="B50" t="s">
        <v>173</v>
      </c>
      <c r="C50" t="s">
        <v>85</v>
      </c>
      <c r="D50" s="6">
        <f>(3000000+SUMIFS('13_DIARIO'!J$2:J$1443,'13_DIARIO'!C$2:C$1443,B50,'13_DIARIO'!B$2:B$1443,"&lt;="&amp;A50))*1</f>
        <v>2110181.437458668</v>
      </c>
      <c r="E50" s="6">
        <f>'12_MODELO'!AV6</f>
        <v>2110181.4374586665</v>
      </c>
      <c r="F50" s="6">
        <f>D50-E50</f>
        <v>1.3969838619232178e-09</v>
      </c>
    </row>
    <row r="51" spans="1:6">
      <c r="A51" s="5">
        <v>45413</v>
      </c>
      <c r="B51" t="s">
        <v>146</v>
      </c>
      <c r="C51" t="s">
        <v>86</v>
      </c>
      <c r="D51" s="6">
        <f>(900000+SUMIFS('13_DIARIO'!J$2:J$1443,'13_DIARIO'!C$2:C$1443,B51,'13_DIARIO'!B$2:B$1443,"&lt;="&amp;A51))*1</f>
        <v>1581386.7733333334</v>
      </c>
      <c r="E51" s="6">
        <f>'12_MODELO'!U6</f>
        <v>1581386.7733333334</v>
      </c>
      <c r="F51" s="6">
        <f>D51-E51</f>
        <v>0.0</v>
      </c>
    </row>
    <row r="52" spans="1:6">
      <c r="A52" s="5">
        <v>45413</v>
      </c>
      <c r="B52" t="s">
        <v>159</v>
      </c>
      <c r="C52" t="s">
        <v>87</v>
      </c>
      <c r="D52" s="6">
        <f>(700000+SUMIFS('13_DIARIO'!J$2:J$1443,'13_DIARIO'!C$2:C$1443,B52,'13_DIARIO'!B$2:B$1443,"&lt;="&amp;A52))*1</f>
        <v>1204004.0</v>
      </c>
      <c r="E52" s="6">
        <f>'12_MODELO'!V6</f>
        <v>1204004.0</v>
      </c>
      <c r="F52" s="6">
        <f>D52-E52</f>
        <v>0.0</v>
      </c>
    </row>
    <row r="53" spans="1:6">
      <c r="A53" s="5">
        <v>45413</v>
      </c>
      <c r="B53" t="s">
        <v>208</v>
      </c>
      <c r="C53" t="s">
        <v>92</v>
      </c>
      <c r="D53" s="6">
        <f>(1500000+SUMIFS('13_DIARIO'!J$2:J$1443,'13_DIARIO'!C$2:C$1443,B53,'13_DIARIO'!B$2:B$1443,"&lt;="&amp;A53))*1</f>
        <v>1662000.0</v>
      </c>
      <c r="E53" s="6">
        <f>'12_MODELO'!AC6</f>
        <v>1662000.0</v>
      </c>
      <c r="F53" s="6">
        <f>D53-E53</f>
        <v>0.0</v>
      </c>
    </row>
    <row r="54" spans="1:6">
      <c r="A54" s="5">
        <v>45413</v>
      </c>
      <c r="B54" t="s">
        <v>188</v>
      </c>
      <c r="C54" t="s">
        <v>93</v>
      </c>
      <c r="D54" s="6">
        <f>(-300000+SUMIFS('13_DIARIO'!J$2:J$1443,'13_DIARIO'!C$2:C$1443,B54,'13_DIARIO'!B$2:B$1443,"&lt;="&amp;A54))*-1</f>
        <v>378240.0</v>
      </c>
      <c r="E54" s="6">
        <f>'12_MODELO'!AD6</f>
        <v>378240.0</v>
      </c>
      <c r="F54" s="6">
        <f>D54-E54</f>
        <v>0.0</v>
      </c>
    </row>
    <row r="55" spans="1:6">
      <c r="A55" s="5">
        <v>45413</v>
      </c>
      <c r="B55" t="s">
        <v>162</v>
      </c>
      <c r="C55" t="s">
        <v>88</v>
      </c>
      <c r="D55" s="6">
        <f>(-550000+SUMIFS('13_DIARIO'!J$2:J$1443,'13_DIARIO'!C$2:C$1443,B55,'13_DIARIO'!B$2:B$1443,"&lt;="&amp;A55))*-1</f>
        <v>916090.0</v>
      </c>
      <c r="E55" s="6">
        <f>'12_MODELO'!X6</f>
        <v>916090.0</v>
      </c>
      <c r="F55" s="6">
        <f>D55-E55</f>
        <v>0.0</v>
      </c>
    </row>
    <row r="56" spans="1:6">
      <c r="A56" s="5">
        <v>45413</v>
      </c>
      <c r="B56" t="s">
        <v>169</v>
      </c>
      <c r="C56" t="s">
        <v>89</v>
      </c>
      <c r="D56" s="6">
        <f>(-40000+SUMIFS('13_DIARIO'!J$2:J$1443,'13_DIARIO'!C$2:C$1443,B56,'13_DIARIO'!B$2:B$1443,"&lt;="&amp;A56))*-1</f>
        <v>19000.0</v>
      </c>
      <c r="E56" s="6">
        <f>'12_MODELO'!Y6</f>
        <v>19000.0</v>
      </c>
      <c r="F56" s="6">
        <f>D56-E56</f>
        <v>0.0</v>
      </c>
    </row>
    <row r="57" spans="1:6">
      <c r="A57" s="5">
        <v>45413</v>
      </c>
      <c r="B57" t="s">
        <v>156</v>
      </c>
      <c r="C57" t="s">
        <v>90</v>
      </c>
      <c r="D57" s="6">
        <f>(-80000+SUMIFS('13_DIARIO'!J$2:J$1443,'13_DIARIO'!C$2:C$1443,B57,'13_DIARIO'!B$2:B$1443,"&lt;="&amp;A57))*-1</f>
        <v>100813.40680000001</v>
      </c>
      <c r="E57" s="6">
        <f>'12_MODELO'!Z6</f>
        <v>100813.40680000001</v>
      </c>
      <c r="F57" s="6">
        <f>D57-E57</f>
        <v>0.0</v>
      </c>
    </row>
    <row r="58" spans="1:6">
      <c r="A58" s="5">
        <v>45413</v>
      </c>
      <c r="B58" t="s">
        <v>197</v>
      </c>
      <c r="C58" t="s">
        <v>91</v>
      </c>
      <c r="D58" s="6">
        <f>(-50000+SUMIFS('13_DIARIO'!J$2:J$1443,'13_DIARIO'!C$2:C$1443,B58,'13_DIARIO'!B$2:B$1443,"&lt;="&amp;A58))*-1</f>
        <v>20753.720088000024</v>
      </c>
      <c r="E58" s="6">
        <f>'12_MODELO'!AA6</f>
        <v>20753.720088000024</v>
      </c>
      <c r="F58" s="6">
        <f>D58-E58</f>
        <v>0.0</v>
      </c>
    </row>
    <row r="59" spans="1:6">
      <c r="A59" s="5">
        <v>45413</v>
      </c>
      <c r="B59" t="s">
        <v>212</v>
      </c>
      <c r="C59" t="s">
        <v>94</v>
      </c>
      <c r="D59" s="6">
        <f>(-800000+SUMIFS('13_DIARIO'!J$2:J$1443,'13_DIARIO'!C$2:C$1443,B59,'13_DIARIO'!B$2:B$1443,"&lt;="&amp;A59))*-1</f>
        <v>710000.0</v>
      </c>
      <c r="E59" s="6">
        <f>'12_MODELO'!AG6</f>
        <v>710000.0</v>
      </c>
      <c r="F59" s="6">
        <f>D59-E59</f>
        <v>0.0</v>
      </c>
    </row>
    <row r="60" spans="1:6">
      <c r="A60" s="5">
        <v>45413</v>
      </c>
      <c r="B60" t="s">
        <v>925</v>
      </c>
      <c r="C60" t="s">
        <v>95</v>
      </c>
      <c r="D60" s="6">
        <f>(-3900000+SUMIFS('13_DIARIO'!J$2:J$1443,'13_DIARIO'!C$2:C$1443,B60,'13_DIARIO'!B$2:B$1443,"&lt;="&amp;A60))*-1</f>
        <v>3900000</v>
      </c>
      <c r="E60" s="6">
        <f>'12_MODELO'!AI6</f>
        <v>3900000.0</v>
      </c>
      <c r="F60" s="6">
        <f>D60-E60</f>
        <v>0.0</v>
      </c>
    </row>
    <row r="61" spans="1:6">
      <c r="A61" s="5">
        <v>45413</v>
      </c>
      <c r="B61" t="s">
        <v>217</v>
      </c>
      <c r="C61" t="s">
        <v>96</v>
      </c>
      <c r="D61" s="6">
        <f>(-380000+SUMIFS('13_DIARIO'!J$2:J$1443,'13_DIARIO'!C$2:C$1443,B61,'13_DIARIO'!B$2:B$1443,"&lt;="&amp;A61))*-1</f>
        <v>512675.0839039998</v>
      </c>
      <c r="E61" s="6">
        <f>'12_MODELO'!AJ6</f>
        <v>512675.08390400006</v>
      </c>
      <c r="F61" s="6">
        <f>D61-E61</f>
        <v>-2.3283064365386963e-10</v>
      </c>
    </row>
    <row r="62" spans="1:6">
      <c r="A62" s="5">
        <v>45444</v>
      </c>
      <c r="B62" t="s">
        <v>173</v>
      </c>
      <c r="C62" t="s">
        <v>85</v>
      </c>
      <c r="D62" s="6">
        <f>(3000000+SUMIFS('13_DIARIO'!J$2:J$1443,'13_DIARIO'!C$2:C$1443,B62,'13_DIARIO'!B$2:B$1443,"&lt;="&amp;A62))*1</f>
        <v>2004745.167237335</v>
      </c>
      <c r="E62" s="6">
        <f>'12_MODELO'!AV7</f>
        <v>2004745.1672373333</v>
      </c>
      <c r="F62" s="6">
        <f>D62-E62</f>
        <v>1.6298145055770874e-09</v>
      </c>
    </row>
    <row r="63" spans="1:6">
      <c r="A63" s="5">
        <v>45444</v>
      </c>
      <c r="B63" t="s">
        <v>146</v>
      </c>
      <c r="C63" t="s">
        <v>86</v>
      </c>
      <c r="D63" s="6">
        <f>(900000+SUMIFS('13_DIARIO'!J$2:J$1443,'13_DIARIO'!C$2:C$1443,B63,'13_DIARIO'!B$2:B$1443,"&lt;="&amp;A63))*1</f>
        <v>1637587.4666666666</v>
      </c>
      <c r="E63" s="6">
        <f>'12_MODELO'!U7</f>
        <v>1637587.4666666666</v>
      </c>
      <c r="F63" s="6">
        <f>D63-E63</f>
        <v>0.0</v>
      </c>
    </row>
    <row r="64" spans="1:6">
      <c r="A64" s="5">
        <v>45444</v>
      </c>
      <c r="B64" t="s">
        <v>159</v>
      </c>
      <c r="C64" t="s">
        <v>87</v>
      </c>
      <c r="D64" s="6">
        <f>(700000+SUMIFS('13_DIARIO'!J$2:J$1443,'13_DIARIO'!C$2:C$1443,B64,'13_DIARIO'!B$2:B$1443,"&lt;="&amp;A64))*1</f>
        <v>1246508.0</v>
      </c>
      <c r="E64" s="6">
        <f>'12_MODELO'!V7</f>
        <v>1246508.0</v>
      </c>
      <c r="F64" s="6">
        <f>D64-E64</f>
        <v>0.0</v>
      </c>
    </row>
    <row r="65" spans="1:6">
      <c r="A65" s="5">
        <v>45444</v>
      </c>
      <c r="B65" t="s">
        <v>208</v>
      </c>
      <c r="C65" t="s">
        <v>92</v>
      </c>
      <c r="D65" s="6">
        <f>(1500000+SUMIFS('13_DIARIO'!J$2:J$1443,'13_DIARIO'!C$2:C$1443,B65,'13_DIARIO'!B$2:B$1443,"&lt;="&amp;A65))*1</f>
        <v>1752000.0</v>
      </c>
      <c r="E65" s="6">
        <f>'12_MODELO'!AC7</f>
        <v>1752000.0</v>
      </c>
      <c r="F65" s="6">
        <f>D65-E65</f>
        <v>0.0</v>
      </c>
    </row>
    <row r="66" spans="1:6">
      <c r="A66" s="5">
        <v>45444</v>
      </c>
      <c r="B66" t="s">
        <v>188</v>
      </c>
      <c r="C66" t="s">
        <v>93</v>
      </c>
      <c r="D66" s="6">
        <f>(-300000+SUMIFS('13_DIARIO'!J$2:J$1443,'13_DIARIO'!C$2:C$1443,B66,'13_DIARIO'!B$2:B$1443,"&lt;="&amp;A66))*-1</f>
        <v>394860.0</v>
      </c>
      <c r="E66" s="6">
        <f>'12_MODELO'!AD7</f>
        <v>394860.0</v>
      </c>
      <c r="F66" s="6">
        <f>D66-E66</f>
        <v>0.0</v>
      </c>
    </row>
    <row r="67" spans="1:6">
      <c r="A67" s="5">
        <v>45444</v>
      </c>
      <c r="B67" t="s">
        <v>162</v>
      </c>
      <c r="C67" t="s">
        <v>88</v>
      </c>
      <c r="D67" s="6">
        <f>(-550000+SUMIFS('13_DIARIO'!J$2:J$1443,'13_DIARIO'!C$2:C$1443,B67,'13_DIARIO'!B$2:B$1443,"&lt;="&amp;A67))*-1</f>
        <v>948430.0</v>
      </c>
      <c r="E67" s="6">
        <f>'12_MODELO'!X7</f>
        <v>948430.0</v>
      </c>
      <c r="F67" s="6">
        <f>D67-E67</f>
        <v>0.0</v>
      </c>
    </row>
    <row r="68" spans="1:6">
      <c r="A68" s="5">
        <v>45444</v>
      </c>
      <c r="B68" t="s">
        <v>169</v>
      </c>
      <c r="C68" t="s">
        <v>89</v>
      </c>
      <c r="D68" s="6">
        <f>(-40000+SUMIFS('13_DIARIO'!J$2:J$1443,'13_DIARIO'!C$2:C$1443,B68,'13_DIARIO'!B$2:B$1443,"&lt;="&amp;A68))*-1</f>
        <v>19000.0</v>
      </c>
      <c r="E68" s="6">
        <f>'12_MODELO'!Y7</f>
        <v>19000.0</v>
      </c>
      <c r="F68" s="6">
        <f>D68-E68</f>
        <v>0.0</v>
      </c>
    </row>
    <row r="69" spans="1:6">
      <c r="A69" s="5">
        <v>45444</v>
      </c>
      <c r="B69" t="s">
        <v>156</v>
      </c>
      <c r="C69" t="s">
        <v>90</v>
      </c>
      <c r="D69" s="6">
        <f>(-80000+SUMIFS('13_DIARIO'!J$2:J$1443,'13_DIARIO'!C$2:C$1443,B69,'13_DIARIO'!B$2:B$1443,"&lt;="&amp;A69))*-1</f>
        <v>104396.20100000002</v>
      </c>
      <c r="E69" s="6">
        <f>'12_MODELO'!Z7</f>
        <v>104396.20100000002</v>
      </c>
      <c r="F69" s="6">
        <f>D69-E69</f>
        <v>0.0</v>
      </c>
    </row>
    <row r="70" spans="1:6">
      <c r="A70" s="5">
        <v>45444</v>
      </c>
      <c r="B70" t="s">
        <v>197</v>
      </c>
      <c r="C70" t="s">
        <v>91</v>
      </c>
      <c r="D70" s="6">
        <f>(-50000+SUMIFS('13_DIARIO'!J$2:J$1443,'13_DIARIO'!C$2:C$1443,B70,'13_DIARIO'!B$2:B$1443,"&lt;="&amp;A70))*-1</f>
        <v>23622.978659999997</v>
      </c>
      <c r="E70" s="6">
        <f>'12_MODELO'!AA7</f>
        <v>23622.978659999997</v>
      </c>
      <c r="F70" s="6">
        <f>D70-E70</f>
        <v>0.0</v>
      </c>
    </row>
    <row r="71" spans="1:6">
      <c r="A71" s="5">
        <v>45444</v>
      </c>
      <c r="B71" t="s">
        <v>212</v>
      </c>
      <c r="C71" t="s">
        <v>94</v>
      </c>
      <c r="D71" s="6">
        <f>(-800000+SUMIFS('13_DIARIO'!J$2:J$1443,'13_DIARIO'!C$2:C$1443,B71,'13_DIARIO'!B$2:B$1443,"&lt;="&amp;A71))*-1</f>
        <v>692000.0</v>
      </c>
      <c r="E71" s="6">
        <f>'12_MODELO'!AG7</f>
        <v>692000.0</v>
      </c>
      <c r="F71" s="6">
        <f>D71-E71</f>
        <v>0.0</v>
      </c>
    </row>
    <row r="72" spans="1:6">
      <c r="A72" s="5">
        <v>45444</v>
      </c>
      <c r="B72" t="s">
        <v>925</v>
      </c>
      <c r="C72" t="s">
        <v>95</v>
      </c>
      <c r="D72" s="6">
        <f>(-3900000+SUMIFS('13_DIARIO'!J$2:J$1443,'13_DIARIO'!C$2:C$1443,B72,'13_DIARIO'!B$2:B$1443,"&lt;="&amp;A72))*-1</f>
        <v>3900000</v>
      </c>
      <c r="E72" s="6">
        <f>'12_MODELO'!AI7</f>
        <v>3900000.0</v>
      </c>
      <c r="F72" s="6">
        <f>D72-E72</f>
        <v>0.0</v>
      </c>
    </row>
    <row r="73" spans="1:6">
      <c r="A73" s="5">
        <v>45444</v>
      </c>
      <c r="B73" t="s">
        <v>217</v>
      </c>
      <c r="C73" t="s">
        <v>96</v>
      </c>
      <c r="D73" s="6">
        <f>(-380000+SUMIFS('13_DIARIO'!J$2:J$1443,'13_DIARIO'!C$2:C$1443,B73,'13_DIARIO'!B$2:B$1443,"&lt;="&amp;A73))*-1</f>
        <v>558531.4542439998</v>
      </c>
      <c r="E73" s="6">
        <f>'12_MODELO'!AJ7</f>
        <v>558531.454244</v>
      </c>
      <c r="F73" s="6">
        <f>D73-E73</f>
        <v>-2.3283064365386963e-10</v>
      </c>
    </row>
    <row r="74" spans="1:6">
      <c r="A74" s="5">
        <v>45474</v>
      </c>
      <c r="B74" t="s">
        <v>173</v>
      </c>
      <c r="C74" t="s">
        <v>85</v>
      </c>
      <c r="D74" s="6">
        <f>(3000000+SUMIFS('13_DIARIO'!J$2:J$1443,'13_DIARIO'!C$2:C$1443,B74,'13_DIARIO'!B$2:B$1443,"&lt;="&amp;A74))*1</f>
        <v>2214304.2109106686</v>
      </c>
      <c r="E74" s="6">
        <f>'12_MODELO'!AV8</f>
        <v>2214304.2109106667</v>
      </c>
      <c r="F74" s="6">
        <f>D74-E74</f>
        <v>1.862645149230957e-09</v>
      </c>
    </row>
    <row r="75" spans="1:6">
      <c r="A75" s="5">
        <v>45474</v>
      </c>
      <c r="B75" t="s">
        <v>146</v>
      </c>
      <c r="C75" t="s">
        <v>86</v>
      </c>
      <c r="D75" s="6">
        <f>(900000+SUMIFS('13_DIARIO'!J$2:J$1443,'13_DIARIO'!C$2:C$1443,B75,'13_DIARIO'!B$2:B$1443,"&lt;="&amp;A75))*1</f>
        <v>1445139.9466666665</v>
      </c>
      <c r="E75" s="6">
        <f>'12_MODELO'!U8</f>
        <v>1445139.9466666665</v>
      </c>
      <c r="F75" s="6">
        <f>D75-E75</f>
        <v>0.0</v>
      </c>
    </row>
    <row r="76" spans="1:6">
      <c r="A76" s="5">
        <v>45474</v>
      </c>
      <c r="B76" t="s">
        <v>159</v>
      </c>
      <c r="C76" t="s">
        <v>87</v>
      </c>
      <c r="D76" s="6">
        <f>(700000+SUMIFS('13_DIARIO'!J$2:J$1443,'13_DIARIO'!C$2:C$1443,B76,'13_DIARIO'!B$2:B$1443,"&lt;="&amp;A76))*1</f>
        <v>1101301.3333333333</v>
      </c>
      <c r="E76" s="6">
        <f>'12_MODELO'!V8</f>
        <v>1101301.3333333333</v>
      </c>
      <c r="F76" s="6">
        <f>D76-E76</f>
        <v>0.0</v>
      </c>
    </row>
    <row r="77" spans="1:6">
      <c r="A77" s="5">
        <v>45474</v>
      </c>
      <c r="B77" t="s">
        <v>208</v>
      </c>
      <c r="C77" t="s">
        <v>92</v>
      </c>
      <c r="D77" s="6">
        <f>(1500000+SUMIFS('13_DIARIO'!J$2:J$1443,'13_DIARIO'!C$2:C$1443,B77,'13_DIARIO'!B$2:B$1443,"&lt;="&amp;A77))*1</f>
        <v>1770000.0</v>
      </c>
      <c r="E77" s="6">
        <f>'12_MODELO'!AC8</f>
        <v>1770000.0</v>
      </c>
      <c r="F77" s="6">
        <f>D77-E77</f>
        <v>0.0</v>
      </c>
    </row>
    <row r="78" spans="1:6">
      <c r="A78" s="5">
        <v>45474</v>
      </c>
      <c r="B78" t="s">
        <v>188</v>
      </c>
      <c r="C78" t="s">
        <v>93</v>
      </c>
      <c r="D78" s="6">
        <f>(-300000+SUMIFS('13_DIARIO'!J$2:J$1443,'13_DIARIO'!C$2:C$1443,B78,'13_DIARIO'!B$2:B$1443,"&lt;="&amp;A78))*-1</f>
        <v>412380.0</v>
      </c>
      <c r="E78" s="6">
        <f>'12_MODELO'!AD8</f>
        <v>412380.0</v>
      </c>
      <c r="F78" s="6">
        <f>D78-E78</f>
        <v>0.0</v>
      </c>
    </row>
    <row r="79" spans="1:6">
      <c r="A79" s="5">
        <v>45474</v>
      </c>
      <c r="B79" t="s">
        <v>162</v>
      </c>
      <c r="C79" t="s">
        <v>88</v>
      </c>
      <c r="D79" s="6">
        <f>(-550000+SUMIFS('13_DIARIO'!J$2:J$1443,'13_DIARIO'!C$2:C$1443,B79,'13_DIARIO'!B$2:B$1443,"&lt;="&amp;A79))*-1</f>
        <v>837946.6666666666</v>
      </c>
      <c r="E79" s="6">
        <f>'12_MODELO'!X8</f>
        <v>837946.6666666666</v>
      </c>
      <c r="F79" s="6">
        <f>D79-E79</f>
        <v>0.0</v>
      </c>
    </row>
    <row r="80" spans="1:6">
      <c r="A80" s="5">
        <v>45474</v>
      </c>
      <c r="B80" t="s">
        <v>169</v>
      </c>
      <c r="C80" t="s">
        <v>89</v>
      </c>
      <c r="D80" s="6">
        <f>(-40000+SUMIFS('13_DIARIO'!J$2:J$1443,'13_DIARIO'!C$2:C$1443,B80,'13_DIARIO'!B$2:B$1443,"&lt;="&amp;A80))*-1</f>
        <v>19760.0</v>
      </c>
      <c r="E80" s="6">
        <f>'12_MODELO'!Y8</f>
        <v>19760.0</v>
      </c>
      <c r="F80" s="6">
        <f>D80-E80</f>
        <v>0.0</v>
      </c>
    </row>
    <row r="81" spans="1:6">
      <c r="A81" s="5">
        <v>45474</v>
      </c>
      <c r="B81" t="s">
        <v>156</v>
      </c>
      <c r="C81" t="s">
        <v>90</v>
      </c>
      <c r="D81" s="6">
        <f>(-80000+SUMIFS('13_DIARIO'!J$2:J$1443,'13_DIARIO'!C$2:C$1443,B81,'13_DIARIO'!B$2:B$1443,"&lt;="&amp;A81))*-1</f>
        <v>92127.6716</v>
      </c>
      <c r="E81" s="6">
        <f>'12_MODELO'!Z8</f>
        <v>92127.6716</v>
      </c>
      <c r="F81" s="6">
        <f>D81-E81</f>
        <v>0.0</v>
      </c>
    </row>
    <row r="82" spans="1:6">
      <c r="A82" s="5">
        <v>45474</v>
      </c>
      <c r="B82" t="s">
        <v>197</v>
      </c>
      <c r="C82" t="s">
        <v>91</v>
      </c>
      <c r="D82" s="6">
        <f>(-50000+SUMIFS('13_DIARIO'!J$2:J$1443,'13_DIARIO'!C$2:C$1443,B82,'13_DIARIO'!B$2:B$1443,"&lt;="&amp;A82))*-1</f>
        <v>12239.897455999992</v>
      </c>
      <c r="E82" s="6">
        <f>'12_MODELO'!AA8</f>
        <v>12239.89745599999</v>
      </c>
      <c r="F82" s="6">
        <f>D82-E82</f>
        <v>1.8189894035458565e-12</v>
      </c>
    </row>
    <row r="83" spans="1:6">
      <c r="A83" s="5">
        <v>45474</v>
      </c>
      <c r="B83" t="s">
        <v>212</v>
      </c>
      <c r="C83" t="s">
        <v>94</v>
      </c>
      <c r="D83" s="6">
        <f>(-800000+SUMIFS('13_DIARIO'!J$2:J$1443,'13_DIARIO'!C$2:C$1443,B83,'13_DIARIO'!B$2:B$1443,"&lt;="&amp;A83))*-1</f>
        <v>674000.0</v>
      </c>
      <c r="E83" s="6">
        <f>'12_MODELO'!AG8</f>
        <v>674000.0</v>
      </c>
      <c r="F83" s="6">
        <f>D83-E83</f>
        <v>0.0</v>
      </c>
    </row>
    <row r="84" spans="1:6">
      <c r="A84" s="5">
        <v>45474</v>
      </c>
      <c r="B84" t="s">
        <v>925</v>
      </c>
      <c r="C84" t="s">
        <v>95</v>
      </c>
      <c r="D84" s="6">
        <f>(-3900000+SUMIFS('13_DIARIO'!J$2:J$1443,'13_DIARIO'!C$2:C$1443,B84,'13_DIARIO'!B$2:B$1443,"&lt;="&amp;A84))*-1</f>
        <v>3900000</v>
      </c>
      <c r="E84" s="6">
        <f>'12_MODELO'!AI8</f>
        <v>3900000.0</v>
      </c>
      <c r="F84" s="6">
        <f>D84-E84</f>
        <v>0.0</v>
      </c>
    </row>
    <row r="85" spans="1:6">
      <c r="A85" s="5">
        <v>45474</v>
      </c>
      <c r="B85" t="s">
        <v>217</v>
      </c>
      <c r="C85" t="s">
        <v>96</v>
      </c>
      <c r="D85" s="6">
        <f>(-380000+SUMIFS('13_DIARIO'!J$2:J$1443,'13_DIARIO'!C$2:C$1443,B85,'13_DIARIO'!B$2:B$1443,"&lt;="&amp;A85))*-1</f>
        <v>582291.2551879998</v>
      </c>
      <c r="E85" s="6">
        <f>'12_MODELO'!AJ8</f>
        <v>582291.255188</v>
      </c>
      <c r="F85" s="6">
        <f>D85-E85</f>
        <v>-2.3283064365386963e-10</v>
      </c>
    </row>
    <row r="86" spans="1:6">
      <c r="A86" s="5">
        <v>45505</v>
      </c>
      <c r="B86" t="s">
        <v>173</v>
      </c>
      <c r="C86" t="s">
        <v>85</v>
      </c>
      <c r="D86" s="6">
        <f>(3000000+SUMIFS('13_DIARIO'!J$2:J$1443,'13_DIARIO'!C$2:C$1443,B86,'13_DIARIO'!B$2:B$1443,"&lt;="&amp;A86))*1</f>
        <v>2105324.4918546686</v>
      </c>
      <c r="E86" s="6">
        <f>'12_MODELO'!AV9</f>
        <v>2105324.4918546667</v>
      </c>
      <c r="F86" s="6">
        <f>D86-E86</f>
        <v>1.862645149230957e-09</v>
      </c>
    </row>
    <row r="87" spans="1:6">
      <c r="A87" s="5">
        <v>45505</v>
      </c>
      <c r="B87" t="s">
        <v>146</v>
      </c>
      <c r="C87" t="s">
        <v>86</v>
      </c>
      <c r="D87" s="6">
        <f>(900000+SUMIFS('13_DIARIO'!J$2:J$1443,'13_DIARIO'!C$2:C$1443,B87,'13_DIARIO'!B$2:B$1443,"&lt;="&amp;A87))*1</f>
        <v>1564589.7866666666</v>
      </c>
      <c r="E87" s="6">
        <f>'12_MODELO'!U9</f>
        <v>1564589.7866666666</v>
      </c>
      <c r="F87" s="6">
        <f>D87-E87</f>
        <v>0.0</v>
      </c>
    </row>
    <row r="88" spans="1:6">
      <c r="A88" s="5">
        <v>45505</v>
      </c>
      <c r="B88" t="s">
        <v>159</v>
      </c>
      <c r="C88" t="s">
        <v>87</v>
      </c>
      <c r="D88" s="6">
        <f>(700000+SUMIFS('13_DIARIO'!J$2:J$1443,'13_DIARIO'!C$2:C$1443,B88,'13_DIARIO'!B$2:B$1443,"&lt;="&amp;A88))*1</f>
        <v>1190403.3333333333</v>
      </c>
      <c r="E88" s="6">
        <f>'12_MODELO'!V9</f>
        <v>1190403.3333333333</v>
      </c>
      <c r="F88" s="6">
        <f>D88-E88</f>
        <v>0.0</v>
      </c>
    </row>
    <row r="89" spans="1:6">
      <c r="A89" s="5">
        <v>45505</v>
      </c>
      <c r="B89" t="s">
        <v>208</v>
      </c>
      <c r="C89" t="s">
        <v>92</v>
      </c>
      <c r="D89" s="6">
        <f>(1500000+SUMIFS('13_DIARIO'!J$2:J$1443,'13_DIARIO'!C$2:C$1443,B89,'13_DIARIO'!B$2:B$1443,"&lt;="&amp;A89))*1</f>
        <v>1788000.0</v>
      </c>
      <c r="E89" s="6">
        <f>'12_MODELO'!AC9</f>
        <v>1788000.0</v>
      </c>
      <c r="F89" s="6">
        <f>D89-E89</f>
        <v>0.0</v>
      </c>
    </row>
    <row r="90" spans="1:6">
      <c r="A90" s="5">
        <v>45505</v>
      </c>
      <c r="B90" t="s">
        <v>188</v>
      </c>
      <c r="C90" t="s">
        <v>93</v>
      </c>
      <c r="D90" s="6">
        <f>(-300000+SUMIFS('13_DIARIO'!J$2:J$1443,'13_DIARIO'!C$2:C$1443,B90,'13_DIARIO'!B$2:B$1443,"&lt;="&amp;A90))*-1</f>
        <v>430080.0</v>
      </c>
      <c r="E90" s="6">
        <f>'12_MODELO'!AD9</f>
        <v>430080.0</v>
      </c>
      <c r="F90" s="6">
        <f>D90-E90</f>
        <v>0.0</v>
      </c>
    </row>
    <row r="91" spans="1:6">
      <c r="A91" s="5">
        <v>45505</v>
      </c>
      <c r="B91" t="s">
        <v>162</v>
      </c>
      <c r="C91" t="s">
        <v>88</v>
      </c>
      <c r="D91" s="6">
        <f>(-550000+SUMIFS('13_DIARIO'!J$2:J$1443,'13_DIARIO'!C$2:C$1443,B91,'13_DIARIO'!B$2:B$1443,"&lt;="&amp;A91))*-1</f>
        <v>905741.6666666666</v>
      </c>
      <c r="E91" s="6">
        <f>'12_MODELO'!X9</f>
        <v>905741.6666666666</v>
      </c>
      <c r="F91" s="6">
        <f>D91-E91</f>
        <v>0.0</v>
      </c>
    </row>
    <row r="92" spans="1:6">
      <c r="A92" s="5">
        <v>45505</v>
      </c>
      <c r="B92" t="s">
        <v>169</v>
      </c>
      <c r="C92" t="s">
        <v>89</v>
      </c>
      <c r="D92" s="6">
        <f>(-40000+SUMIFS('13_DIARIO'!J$2:J$1443,'13_DIARIO'!C$2:C$1443,B92,'13_DIARIO'!B$2:B$1443,"&lt;="&amp;A92))*-1</f>
        <v>19760.0</v>
      </c>
      <c r="E92" s="6">
        <f>'12_MODELO'!Y9</f>
        <v>19760.0</v>
      </c>
      <c r="F92" s="6">
        <f>D92-E92</f>
        <v>0.0</v>
      </c>
    </row>
    <row r="93" spans="1:6">
      <c r="A93" s="5">
        <v>45505</v>
      </c>
      <c r="B93" t="s">
        <v>156</v>
      </c>
      <c r="C93" t="s">
        <v>90</v>
      </c>
      <c r="D93" s="6">
        <f>(-80000+SUMIFS('13_DIARIO'!J$2:J$1443,'13_DIARIO'!C$2:C$1443,B93,'13_DIARIO'!B$2:B$1443,"&lt;="&amp;A93))*-1</f>
        <v>99742.59890000001</v>
      </c>
      <c r="E93" s="6">
        <f>'12_MODELO'!Z9</f>
        <v>99742.59890000001</v>
      </c>
      <c r="F93" s="6">
        <f>D93-E93</f>
        <v>0.0</v>
      </c>
    </row>
    <row r="94" spans="1:6">
      <c r="A94" s="5">
        <v>45505</v>
      </c>
      <c r="B94" t="s">
        <v>197</v>
      </c>
      <c r="C94" t="s">
        <v>91</v>
      </c>
      <c r="D94" s="6">
        <f>(-50000+SUMIFS('13_DIARIO'!J$2:J$1443,'13_DIARIO'!C$2:C$1443,B94,'13_DIARIO'!B$2:B$1443,"&lt;="&amp;A94))*-1</f>
        <v>18598.710974</v>
      </c>
      <c r="E94" s="6">
        <f>'12_MODELO'!AA9</f>
        <v>18598.710973999998</v>
      </c>
      <c r="F94" s="6">
        <f>D94-E94</f>
        <v>3.637978807091713e-12</v>
      </c>
    </row>
    <row r="95" spans="1:6">
      <c r="A95" s="5">
        <v>45505</v>
      </c>
      <c r="B95" t="s">
        <v>212</v>
      </c>
      <c r="C95" t="s">
        <v>94</v>
      </c>
      <c r="D95" s="6">
        <f>(-800000+SUMIFS('13_DIARIO'!J$2:J$1443,'13_DIARIO'!C$2:C$1443,B95,'13_DIARIO'!B$2:B$1443,"&lt;="&amp;A95))*-1</f>
        <v>656000.0</v>
      </c>
      <c r="E95" s="6">
        <f>'12_MODELO'!AG9</f>
        <v>656000.0</v>
      </c>
      <c r="F95" s="6">
        <f>D95-E95</f>
        <v>0.0</v>
      </c>
    </row>
    <row r="96" spans="1:6">
      <c r="A96" s="5">
        <v>45505</v>
      </c>
      <c r="B96" t="s">
        <v>925</v>
      </c>
      <c r="C96" t="s">
        <v>95</v>
      </c>
      <c r="D96" s="6">
        <f>(-3900000+SUMIFS('13_DIARIO'!J$2:J$1443,'13_DIARIO'!C$2:C$1443,B96,'13_DIARIO'!B$2:B$1443,"&lt;="&amp;A96))*-1</f>
        <v>3900000</v>
      </c>
      <c r="E96" s="6">
        <f>'12_MODELO'!AI9</f>
        <v>3900000.0</v>
      </c>
      <c r="F96" s="6">
        <f>D96-E96</f>
        <v>0.0</v>
      </c>
    </row>
    <row r="97" spans="1:6">
      <c r="A97" s="5">
        <v>45505</v>
      </c>
      <c r="B97" t="s">
        <v>217</v>
      </c>
      <c r="C97" t="s">
        <v>96</v>
      </c>
      <c r="D97" s="6">
        <f>(-380000+SUMIFS('13_DIARIO'!J$2:J$1443,'13_DIARIO'!C$2:C$1443,B97,'13_DIARIO'!B$2:B$1443,"&lt;="&amp;A97))*-1</f>
        <v>618394.6353139996</v>
      </c>
      <c r="E97" s="6">
        <f>'12_MODELO'!AJ9</f>
        <v>618394.6353140001</v>
      </c>
      <c r="F97" s="6">
        <f>D97-E97</f>
        <v>-4.656612873077393e-10</v>
      </c>
    </row>
    <row r="98" spans="1:6">
      <c r="A98" s="5">
        <v>45536</v>
      </c>
      <c r="B98" t="s">
        <v>173</v>
      </c>
      <c r="C98" t="s">
        <v>85</v>
      </c>
      <c r="D98" s="6">
        <f>(3000000+SUMIFS('13_DIARIO'!J$2:J$1443,'13_DIARIO'!C$2:C$1443,B98,'13_DIARIO'!B$2:B$1443,"&lt;="&amp;A98))*1</f>
        <v>1993655.3386473358</v>
      </c>
      <c r="E98" s="6">
        <f>'12_MODELO'!AV10</f>
        <v>1993655.3386473334</v>
      </c>
      <c r="F98" s="6">
        <f>D98-E98</f>
        <v>2.3283064365386963e-09</v>
      </c>
    </row>
    <row r="99" spans="1:6">
      <c r="A99" s="5">
        <v>45536</v>
      </c>
      <c r="B99" t="s">
        <v>146</v>
      </c>
      <c r="C99" t="s">
        <v>86</v>
      </c>
      <c r="D99" s="6">
        <f>(900000+SUMIFS('13_DIARIO'!J$2:J$1443,'13_DIARIO'!C$2:C$1443,B99,'13_DIARIO'!B$2:B$1443,"&lt;="&amp;A99))*1</f>
        <v>1625315.0133333332</v>
      </c>
      <c r="E99" s="6">
        <f>'12_MODELO'!U10</f>
        <v>1625315.0133333332</v>
      </c>
      <c r="F99" s="6">
        <f>D99-E99</f>
        <v>0.0</v>
      </c>
    </row>
    <row r="100" spans="1:6">
      <c r="A100" s="5">
        <v>45536</v>
      </c>
      <c r="B100" t="s">
        <v>159</v>
      </c>
      <c r="C100" t="s">
        <v>87</v>
      </c>
      <c r="D100" s="6">
        <f>(700000+SUMIFS('13_DIARIO'!J$2:J$1443,'13_DIARIO'!C$2:C$1443,B100,'13_DIARIO'!B$2:B$1443,"&lt;="&amp;A100))*1</f>
        <v>1235130.6666666667</v>
      </c>
      <c r="E100" s="6">
        <f>'12_MODELO'!V10</f>
        <v>1235130.6666666667</v>
      </c>
      <c r="F100" s="6">
        <f>D100-E100</f>
        <v>0.0</v>
      </c>
    </row>
    <row r="101" spans="1:6">
      <c r="A101" s="5">
        <v>45536</v>
      </c>
      <c r="B101" t="s">
        <v>208</v>
      </c>
      <c r="C101" t="s">
        <v>92</v>
      </c>
      <c r="D101" s="6">
        <f>(1500000+SUMIFS('13_DIARIO'!J$2:J$1443,'13_DIARIO'!C$2:C$1443,B101,'13_DIARIO'!B$2:B$1443,"&lt;="&amp;A101))*1</f>
        <v>1878000.0</v>
      </c>
      <c r="E101" s="6">
        <f>'12_MODELO'!AC10</f>
        <v>1878000.0</v>
      </c>
      <c r="F101" s="6">
        <f>D101-E101</f>
        <v>0.0</v>
      </c>
    </row>
    <row r="102" spans="1:6">
      <c r="A102" s="5">
        <v>45536</v>
      </c>
      <c r="B102" t="s">
        <v>188</v>
      </c>
      <c r="C102" t="s">
        <v>93</v>
      </c>
      <c r="D102" s="6">
        <f>(-300000+SUMIFS('13_DIARIO'!J$2:J$1443,'13_DIARIO'!C$2:C$1443,B102,'13_DIARIO'!B$2:B$1443,"&lt;="&amp;A102))*-1</f>
        <v>447960.0</v>
      </c>
      <c r="E102" s="6">
        <f>'12_MODELO'!AD10</f>
        <v>447960.0</v>
      </c>
      <c r="F102" s="6">
        <f>D102-E102</f>
        <v>0.0</v>
      </c>
    </row>
    <row r="103" spans="1:6">
      <c r="A103" s="5">
        <v>45536</v>
      </c>
      <c r="B103" t="s">
        <v>162</v>
      </c>
      <c r="C103" t="s">
        <v>88</v>
      </c>
      <c r="D103" s="6">
        <f>(-550000+SUMIFS('13_DIARIO'!J$2:J$1443,'13_DIARIO'!C$2:C$1443,B103,'13_DIARIO'!B$2:B$1443,"&lt;="&amp;A103))*-1</f>
        <v>939773.3333333334</v>
      </c>
      <c r="E103" s="6">
        <f>'12_MODELO'!X10</f>
        <v>939773.3333333334</v>
      </c>
      <c r="F103" s="6">
        <f>D103-E103</f>
        <v>0.0</v>
      </c>
    </row>
    <row r="104" spans="1:6">
      <c r="A104" s="5">
        <v>45536</v>
      </c>
      <c r="B104" t="s">
        <v>169</v>
      </c>
      <c r="C104" t="s">
        <v>89</v>
      </c>
      <c r="D104" s="6">
        <f>(-40000+SUMIFS('13_DIARIO'!J$2:J$1443,'13_DIARIO'!C$2:C$1443,B104,'13_DIARIO'!B$2:B$1443,"&lt;="&amp;A104))*-1</f>
        <v>19760.0</v>
      </c>
      <c r="E104" s="6">
        <f>'12_MODELO'!Y10</f>
        <v>19760.0</v>
      </c>
      <c r="F104" s="6">
        <f>D104-E104</f>
        <v>0.0</v>
      </c>
    </row>
    <row r="105" spans="1:6">
      <c r="A105" s="5">
        <v>45536</v>
      </c>
      <c r="B105" t="s">
        <v>156</v>
      </c>
      <c r="C105" t="s">
        <v>90</v>
      </c>
      <c r="D105" s="6">
        <f>(-80000+SUMIFS('13_DIARIO'!J$2:J$1443,'13_DIARIO'!C$2:C$1443,B105,'13_DIARIO'!B$2:B$1443,"&lt;="&amp;A105))*-1</f>
        <v>103613.83210000001</v>
      </c>
      <c r="E105" s="6">
        <f>'12_MODELO'!Z10</f>
        <v>103613.83210000001</v>
      </c>
      <c r="F105" s="6">
        <f>D105-E105</f>
        <v>0.0</v>
      </c>
    </row>
    <row r="106" spans="1:6">
      <c r="A106" s="5">
        <v>45536</v>
      </c>
      <c r="B106" t="s">
        <v>197</v>
      </c>
      <c r="C106" t="s">
        <v>91</v>
      </c>
      <c r="D106" s="6">
        <f>(-50000+SUMIFS('13_DIARIO'!J$2:J$1443,'13_DIARIO'!C$2:C$1443,B106,'13_DIARIO'!B$2:B$1443,"&lt;="&amp;A106))*-1</f>
        <v>21963.734086000015</v>
      </c>
      <c r="E106" s="6">
        <f>'12_MODELO'!AA10</f>
        <v>21963.734086000008</v>
      </c>
      <c r="F106" s="6">
        <f>D106-E106</f>
        <v>7.275957614183426e-12</v>
      </c>
    </row>
    <row r="107" spans="1:6">
      <c r="A107" s="5">
        <v>45536</v>
      </c>
      <c r="B107" t="s">
        <v>212</v>
      </c>
      <c r="C107" t="s">
        <v>94</v>
      </c>
      <c r="D107" s="6">
        <f>(-800000+SUMIFS('13_DIARIO'!J$2:J$1443,'13_DIARIO'!C$2:C$1443,B107,'13_DIARIO'!B$2:B$1443,"&lt;="&amp;A107))*-1</f>
        <v>638000.0</v>
      </c>
      <c r="E107" s="6">
        <f>'12_MODELO'!AG10</f>
        <v>638000.0</v>
      </c>
      <c r="F107" s="6">
        <f>D107-E107</f>
        <v>0.0</v>
      </c>
    </row>
    <row r="108" spans="1:6">
      <c r="A108" s="5">
        <v>45536</v>
      </c>
      <c r="B108" t="s">
        <v>925</v>
      </c>
      <c r="C108" t="s">
        <v>95</v>
      </c>
      <c r="D108" s="6">
        <f>(-3900000+SUMIFS('13_DIARIO'!J$2:J$1443,'13_DIARIO'!C$2:C$1443,B108,'13_DIARIO'!B$2:B$1443,"&lt;="&amp;A108))*-1</f>
        <v>3900000</v>
      </c>
      <c r="E108" s="6">
        <f>'12_MODELO'!AI10</f>
        <v>3900000.0</v>
      </c>
      <c r="F108" s="6">
        <f>D108-E108</f>
        <v>0.0</v>
      </c>
    </row>
    <row r="109" spans="1:6">
      <c r="A109" s="5">
        <v>45536</v>
      </c>
      <c r="B109" t="s">
        <v>217</v>
      </c>
      <c r="C109" t="s">
        <v>96</v>
      </c>
      <c r="D109" s="6">
        <f>(-380000+SUMIFS('13_DIARIO'!J$2:J$1443,'13_DIARIO'!C$2:C$1443,B109,'13_DIARIO'!B$2:B$1443,"&lt;="&amp;A109))*-1</f>
        <v>661030.1191279996</v>
      </c>
      <c r="E109" s="6">
        <f>'12_MODELO'!AJ10</f>
        <v>661030.1191280001</v>
      </c>
      <c r="F109" s="6">
        <f>D109-E109</f>
        <v>-4.656612873077393e-10</v>
      </c>
    </row>
    <row r="110" spans="1:6">
      <c r="A110" s="5">
        <v>45566</v>
      </c>
      <c r="B110" t="s">
        <v>173</v>
      </c>
      <c r="C110" t="s">
        <v>85</v>
      </c>
      <c r="D110" s="6">
        <f>(3000000+SUMIFS('13_DIARIO'!J$2:J$1443,'13_DIARIO'!C$2:C$1443,B110,'13_DIARIO'!B$2:B$1443,"&lt;="&amp;A110))*1</f>
        <v>1863198.582461336</v>
      </c>
      <c r="E110" s="6">
        <f>'12_MODELO'!AV11</f>
        <v>1863198.5824613336</v>
      </c>
      <c r="F110" s="6">
        <f>D110-E110</f>
        <v>2.3283064365386963e-09</v>
      </c>
    </row>
    <row r="111" spans="1:6">
      <c r="A111" s="5">
        <v>45566</v>
      </c>
      <c r="B111" t="s">
        <v>146</v>
      </c>
      <c r="C111" t="s">
        <v>86</v>
      </c>
      <c r="D111" s="6">
        <f>(900000+SUMIFS('13_DIARIO'!J$2:J$1443,'13_DIARIO'!C$2:C$1443,B111,'13_DIARIO'!B$2:B$1443,"&lt;="&amp;A111))*1</f>
        <v>1781968.88</v>
      </c>
      <c r="E111" s="6">
        <f>'12_MODELO'!U11</f>
        <v>1781968.88</v>
      </c>
      <c r="F111" s="6">
        <f>D111-E111</f>
        <v>0.0</v>
      </c>
    </row>
    <row r="112" spans="1:6">
      <c r="A112" s="5">
        <v>45566</v>
      </c>
      <c r="B112" t="s">
        <v>159</v>
      </c>
      <c r="C112" t="s">
        <v>87</v>
      </c>
      <c r="D112" s="6">
        <f>(700000+SUMIFS('13_DIARIO'!J$2:J$1443,'13_DIARIO'!C$2:C$1443,B112,'13_DIARIO'!B$2:B$1443,"&lt;="&amp;A112))*1</f>
        <v>1357659.333333333</v>
      </c>
      <c r="E112" s="6">
        <f>'12_MODELO'!V11</f>
        <v>1357659.3333333333</v>
      </c>
      <c r="F112" s="6">
        <f>D112-E112</f>
        <v>-2.3283064365386963e-10</v>
      </c>
    </row>
    <row r="113" spans="1:6">
      <c r="A113" s="5">
        <v>45566</v>
      </c>
      <c r="B113" t="s">
        <v>208</v>
      </c>
      <c r="C113" t="s">
        <v>92</v>
      </c>
      <c r="D113" s="6">
        <f>(1500000+SUMIFS('13_DIARIO'!J$2:J$1443,'13_DIARIO'!C$2:C$1443,B113,'13_DIARIO'!B$2:B$1443,"&lt;="&amp;A113))*1</f>
        <v>1896000.0</v>
      </c>
      <c r="E113" s="6">
        <f>'12_MODELO'!AC11</f>
        <v>1896000.0</v>
      </c>
      <c r="F113" s="6">
        <f>D113-E113</f>
        <v>0.0</v>
      </c>
    </row>
    <row r="114" spans="1:6">
      <c r="A114" s="5">
        <v>45566</v>
      </c>
      <c r="B114" t="s">
        <v>188</v>
      </c>
      <c r="C114" t="s">
        <v>93</v>
      </c>
      <c r="D114" s="6">
        <f>(-300000+SUMIFS('13_DIARIO'!J$2:J$1443,'13_DIARIO'!C$2:C$1443,B114,'13_DIARIO'!B$2:B$1443,"&lt;="&amp;A114))*-1</f>
        <v>466740.0</v>
      </c>
      <c r="E114" s="6">
        <f>'12_MODELO'!AD11</f>
        <v>466740.0</v>
      </c>
      <c r="F114" s="6">
        <f>D114-E114</f>
        <v>0.0</v>
      </c>
    </row>
    <row r="115" spans="1:6">
      <c r="A115" s="5">
        <v>45566</v>
      </c>
      <c r="B115" t="s">
        <v>162</v>
      </c>
      <c r="C115" t="s">
        <v>88</v>
      </c>
      <c r="D115" s="6">
        <f>(-550000+SUMIFS('13_DIARIO'!J$2:J$1443,'13_DIARIO'!C$2:C$1443,B115,'13_DIARIO'!B$2:B$1443,"&lt;="&amp;A115))*-1</f>
        <v>1033001.6666666666</v>
      </c>
      <c r="E115" s="6">
        <f>'12_MODELO'!X11</f>
        <v>1033001.6666666666</v>
      </c>
      <c r="F115" s="6">
        <f>D115-E115</f>
        <v>0.0</v>
      </c>
    </row>
    <row r="116" spans="1:6">
      <c r="A116" s="5">
        <v>45566</v>
      </c>
      <c r="B116" t="s">
        <v>169</v>
      </c>
      <c r="C116" t="s">
        <v>89</v>
      </c>
      <c r="D116" s="6">
        <f>(-40000+SUMIFS('13_DIARIO'!J$2:J$1443,'13_DIARIO'!C$2:C$1443,B116,'13_DIARIO'!B$2:B$1443,"&lt;="&amp;A116))*-1</f>
        <v>19760.0</v>
      </c>
      <c r="E116" s="6">
        <f>'12_MODELO'!Y11</f>
        <v>19760.0</v>
      </c>
      <c r="F116" s="6">
        <f>D116-E116</f>
        <v>0.0</v>
      </c>
    </row>
    <row r="117" spans="1:6">
      <c r="A117" s="5">
        <v>45566</v>
      </c>
      <c r="B117" t="s">
        <v>156</v>
      </c>
      <c r="C117" t="s">
        <v>90</v>
      </c>
      <c r="D117" s="6">
        <f>(-80000+SUMIFS('13_DIARIO'!J$2:J$1443,'13_DIARIO'!C$2:C$1443,B117,'13_DIARIO'!B$2:B$1443,"&lt;="&amp;A117))*-1</f>
        <v>113600.51610000001</v>
      </c>
      <c r="E117" s="6">
        <f>'12_MODELO'!Z11</f>
        <v>113600.51610000001</v>
      </c>
      <c r="F117" s="6">
        <f>D117-E117</f>
        <v>0.0</v>
      </c>
    </row>
    <row r="118" spans="1:6">
      <c r="A118" s="5">
        <v>45566</v>
      </c>
      <c r="B118" t="s">
        <v>197</v>
      </c>
      <c r="C118" t="s">
        <v>91</v>
      </c>
      <c r="D118" s="6">
        <f>(-50000+SUMIFS('13_DIARIO'!J$2:J$1443,'13_DIARIO'!C$2:C$1443,B118,'13_DIARIO'!B$2:B$1443,"&lt;="&amp;A118))*-1</f>
        <v>28796.12792600002</v>
      </c>
      <c r="E118" s="6">
        <f>'12_MODELO'!AA11</f>
        <v>28796.127926000012</v>
      </c>
      <c r="F118" s="6">
        <f>D118-E118</f>
        <v>7.275957614183426e-12</v>
      </c>
    </row>
    <row r="119" spans="1:6">
      <c r="A119" s="5">
        <v>45566</v>
      </c>
      <c r="B119" t="s">
        <v>212</v>
      </c>
      <c r="C119" t="s">
        <v>94</v>
      </c>
      <c r="D119" s="6">
        <f>(-800000+SUMIFS('13_DIARIO'!J$2:J$1443,'13_DIARIO'!C$2:C$1443,B119,'13_DIARIO'!B$2:B$1443,"&lt;="&amp;A119))*-1</f>
        <v>620000.0</v>
      </c>
      <c r="E119" s="6">
        <f>'12_MODELO'!AG11</f>
        <v>620000.0</v>
      </c>
      <c r="F119" s="6">
        <f>D119-E119</f>
        <v>0.0</v>
      </c>
    </row>
    <row r="120" spans="1:6">
      <c r="A120" s="5">
        <v>45566</v>
      </c>
      <c r="B120" t="s">
        <v>925</v>
      </c>
      <c r="C120" t="s">
        <v>95</v>
      </c>
      <c r="D120" s="6">
        <f>(-3900000+SUMIFS('13_DIARIO'!J$2:J$1443,'13_DIARIO'!C$2:C$1443,B120,'13_DIARIO'!B$2:B$1443,"&lt;="&amp;A120))*-1</f>
        <v>3900000</v>
      </c>
      <c r="E120" s="6">
        <f>'12_MODELO'!AI11</f>
        <v>3900000.0</v>
      </c>
      <c r="F120" s="6">
        <f>D120-E120</f>
        <v>0.0</v>
      </c>
    </row>
    <row r="121" spans="1:6">
      <c r="A121" s="5">
        <v>45566</v>
      </c>
      <c r="B121" t="s">
        <v>217</v>
      </c>
      <c r="C121" t="s">
        <v>96</v>
      </c>
      <c r="D121" s="6">
        <f>(-380000+SUMIFS('13_DIARIO'!J$2:J$1443,'13_DIARIO'!C$2:C$1443,B121,'13_DIARIO'!B$2:B$1443,"&lt;="&amp;A121))*-1</f>
        <v>716928.4851019995</v>
      </c>
      <c r="E121" s="6">
        <f>'12_MODELO'!AJ11</f>
        <v>716928.4851020002</v>
      </c>
      <c r="F121" s="6">
        <f>D121-E121</f>
        <v>-6.984919309616089e-10</v>
      </c>
    </row>
    <row r="122" spans="1:6">
      <c r="A122" s="5">
        <v>45597</v>
      </c>
      <c r="B122" t="s">
        <v>173</v>
      </c>
      <c r="C122" t="s">
        <v>85</v>
      </c>
      <c r="D122" s="6">
        <f>(3000000+SUMIFS('13_DIARIO'!J$2:J$1443,'13_DIARIO'!C$2:C$1443,B122,'13_DIARIO'!B$2:B$1443,"&lt;="&amp;A122))*1</f>
        <v>1684879.1351020026</v>
      </c>
      <c r="E122" s="6">
        <f>'12_MODELO'!AV12</f>
        <v>1684879.1351020003</v>
      </c>
      <c r="F122" s="6">
        <f>D122-E122</f>
        <v>2.3283064365386963e-09</v>
      </c>
    </row>
    <row r="123" spans="1:6">
      <c r="A123" s="5">
        <v>45597</v>
      </c>
      <c r="B123" t="s">
        <v>146</v>
      </c>
      <c r="C123" t="s">
        <v>86</v>
      </c>
      <c r="D123" s="6">
        <f>(900000+SUMIFS('13_DIARIO'!J$2:J$1443,'13_DIARIO'!C$2:C$1443,B123,'13_DIARIO'!B$2:B$1443,"&lt;="&amp;A123))*1</f>
        <v>2005883.0933333335</v>
      </c>
      <c r="E123" s="6">
        <f>'12_MODELO'!U12</f>
        <v>2005883.0933333335</v>
      </c>
      <c r="F123" s="6">
        <f>D123-E123</f>
        <v>0.0</v>
      </c>
    </row>
    <row r="124" spans="1:6">
      <c r="A124" s="5">
        <v>45597</v>
      </c>
      <c r="B124" t="s">
        <v>159</v>
      </c>
      <c r="C124" t="s">
        <v>87</v>
      </c>
      <c r="D124" s="6">
        <f>(700000+SUMIFS('13_DIARIO'!J$2:J$1443,'13_DIARIO'!C$2:C$1443,B124,'13_DIARIO'!B$2:B$1443,"&lt;="&amp;A124))*1</f>
        <v>1527629.333333333</v>
      </c>
      <c r="E124" s="6">
        <f>'12_MODELO'!V12</f>
        <v>1527629.3333333333</v>
      </c>
      <c r="F124" s="6">
        <f>D124-E124</f>
        <v>-2.3283064365386963e-10</v>
      </c>
    </row>
    <row r="125" spans="1:6">
      <c r="A125" s="5">
        <v>45597</v>
      </c>
      <c r="B125" t="s">
        <v>208</v>
      </c>
      <c r="C125" t="s">
        <v>92</v>
      </c>
      <c r="D125" s="6">
        <f>(1500000+SUMIFS('13_DIARIO'!J$2:J$1443,'13_DIARIO'!C$2:C$1443,B125,'13_DIARIO'!B$2:B$1443,"&lt;="&amp;A125))*1</f>
        <v>1914000.0</v>
      </c>
      <c r="E125" s="6">
        <f>'12_MODELO'!AC12</f>
        <v>1914000.0</v>
      </c>
      <c r="F125" s="6">
        <f>D125-E125</f>
        <v>0.0</v>
      </c>
    </row>
    <row r="126" spans="1:6">
      <c r="A126" s="5">
        <v>45597</v>
      </c>
      <c r="B126" t="s">
        <v>188</v>
      </c>
      <c r="C126" t="s">
        <v>93</v>
      </c>
      <c r="D126" s="6">
        <f>(-300000+SUMIFS('13_DIARIO'!J$2:J$1443,'13_DIARIO'!C$2:C$1443,B126,'13_DIARIO'!B$2:B$1443,"&lt;="&amp;A126))*-1</f>
        <v>485700.0</v>
      </c>
      <c r="E126" s="6">
        <f>'12_MODELO'!AD12</f>
        <v>485700.0</v>
      </c>
      <c r="F126" s="6">
        <f>D126-E126</f>
        <v>0.0</v>
      </c>
    </row>
    <row r="127" spans="1:6">
      <c r="A127" s="5">
        <v>45597</v>
      </c>
      <c r="B127" t="s">
        <v>162</v>
      </c>
      <c r="C127" t="s">
        <v>88</v>
      </c>
      <c r="D127" s="6">
        <f>(-550000+SUMIFS('13_DIARIO'!J$2:J$1443,'13_DIARIO'!C$2:C$1443,B127,'13_DIARIO'!B$2:B$1443,"&lt;="&amp;A127))*-1</f>
        <v>1162326.6666666667</v>
      </c>
      <c r="E127" s="6">
        <f>'12_MODELO'!X12</f>
        <v>1162326.6666666667</v>
      </c>
      <c r="F127" s="6">
        <f>D127-E127</f>
        <v>0.0</v>
      </c>
    </row>
    <row r="128" spans="1:6">
      <c r="A128" s="5">
        <v>45597</v>
      </c>
      <c r="B128" t="s">
        <v>169</v>
      </c>
      <c r="C128" t="s">
        <v>89</v>
      </c>
      <c r="D128" s="6">
        <f>(-40000+SUMIFS('13_DIARIO'!J$2:J$1443,'13_DIARIO'!C$2:C$1443,B128,'13_DIARIO'!B$2:B$1443,"&lt;="&amp;A128))*-1</f>
        <v>19760.0</v>
      </c>
      <c r="E128" s="6">
        <f>'12_MODELO'!Y12</f>
        <v>19760.0</v>
      </c>
      <c r="F128" s="6">
        <f>D128-E128</f>
        <v>0.0</v>
      </c>
    </row>
    <row r="129" spans="1:6">
      <c r="A129" s="5">
        <v>45597</v>
      </c>
      <c r="B129" t="s">
        <v>156</v>
      </c>
      <c r="C129" t="s">
        <v>90</v>
      </c>
      <c r="D129" s="6">
        <f>(-80000+SUMIFS('13_DIARIO'!J$2:J$1443,'13_DIARIO'!C$2:C$1443,B129,'13_DIARIO'!B$2:B$1443,"&lt;="&amp;A129))*-1</f>
        <v>127875.04720000002</v>
      </c>
      <c r="E129" s="6">
        <f>'12_MODELO'!Z12</f>
        <v>127875.04720000002</v>
      </c>
      <c r="F129" s="6">
        <f>D129-E129</f>
        <v>0.0</v>
      </c>
    </row>
    <row r="130" spans="1:6">
      <c r="A130" s="5">
        <v>45597</v>
      </c>
      <c r="B130" t="s">
        <v>197</v>
      </c>
      <c r="C130" t="s">
        <v>91</v>
      </c>
      <c r="D130" s="6">
        <f>(-50000+SUMIFS('13_DIARIO'!J$2:J$1443,'13_DIARIO'!C$2:C$1443,B130,'13_DIARIO'!B$2:B$1443,"&lt;="&amp;A130))*-1</f>
        <v>40052.46335200005</v>
      </c>
      <c r="E130" s="6">
        <f>'12_MODELO'!AA12</f>
        <v>40052.46335200005</v>
      </c>
      <c r="F130" s="6">
        <f>D130-E130</f>
        <v>0.0</v>
      </c>
    </row>
    <row r="131" spans="1:6">
      <c r="A131" s="5">
        <v>45597</v>
      </c>
      <c r="B131" t="s">
        <v>212</v>
      </c>
      <c r="C131" t="s">
        <v>94</v>
      </c>
      <c r="D131" s="6">
        <f>(-800000+SUMIFS('13_DIARIO'!J$2:J$1443,'13_DIARIO'!C$2:C$1443,B131,'13_DIARIO'!B$2:B$1443,"&lt;="&amp;A131))*-1</f>
        <v>602000.0</v>
      </c>
      <c r="E131" s="6">
        <f>'12_MODELO'!AG12</f>
        <v>602000.0</v>
      </c>
      <c r="F131" s="6">
        <f>D131-E131</f>
        <v>0.0</v>
      </c>
    </row>
    <row r="132" spans="1:6">
      <c r="A132" s="5">
        <v>45597</v>
      </c>
      <c r="B132" t="s">
        <v>925</v>
      </c>
      <c r="C132" t="s">
        <v>95</v>
      </c>
      <c r="D132" s="6">
        <f>(-3900000+SUMIFS('13_DIARIO'!J$2:J$1443,'13_DIARIO'!C$2:C$1443,B132,'13_DIARIO'!B$2:B$1443,"&lt;="&amp;A132))*-1</f>
        <v>3900000</v>
      </c>
      <c r="E132" s="6">
        <f>'12_MODELO'!AI12</f>
        <v>3900000.0</v>
      </c>
      <c r="F132" s="6">
        <f>D132-E132</f>
        <v>0.0</v>
      </c>
    </row>
    <row r="133" spans="1:6">
      <c r="A133" s="5">
        <v>45597</v>
      </c>
      <c r="B133" t="s">
        <v>217</v>
      </c>
      <c r="C133" t="s">
        <v>96</v>
      </c>
      <c r="D133" s="6">
        <f>(-380000+SUMIFS('13_DIARIO'!J$2:J$1443,'13_DIARIO'!C$2:C$1443,B133,'13_DIARIO'!B$2:B$1443,"&lt;="&amp;A133))*-1</f>
        <v>794677.3845499996</v>
      </c>
      <c r="E133" s="6">
        <f>'12_MODELO'!AJ12</f>
        <v>794677.3845500003</v>
      </c>
      <c r="F133" s="6">
        <f>D133-E133</f>
        <v>-6.984919309616089e-10</v>
      </c>
    </row>
    <row r="134" spans="1:6">
      <c r="A134" s="5">
        <v>45627</v>
      </c>
      <c r="B134" t="s">
        <v>173</v>
      </c>
      <c r="C134" t="s">
        <v>85</v>
      </c>
      <c r="D134" s="6">
        <f>(3000000+SUMIFS('13_DIARIO'!J$2:J$1443,'13_DIARIO'!C$2:C$1443,B134,'13_DIARIO'!B$2:B$1443,"&lt;="&amp;A134))*1</f>
        <v>1832722.7945500028</v>
      </c>
      <c r="E134" s="6">
        <f>'12_MODELO'!AV13</f>
        <v>1832722.7945500002</v>
      </c>
      <c r="F134" s="6">
        <f>D134-E134</f>
        <v>2.561137080192566e-09</v>
      </c>
    </row>
    <row r="135" spans="1:6">
      <c r="A135" s="5">
        <v>45627</v>
      </c>
      <c r="B135" t="s">
        <v>146</v>
      </c>
      <c r="C135" t="s">
        <v>86</v>
      </c>
      <c r="D135" s="6">
        <f>(900000+SUMIFS('13_DIARIO'!J$2:J$1443,'13_DIARIO'!C$2:C$1443,B135,'13_DIARIO'!B$2:B$1443,"&lt;="&amp;A135))*1</f>
        <v>1842292.7733333334</v>
      </c>
      <c r="E135" s="6">
        <f>'12_MODELO'!U13</f>
        <v>1842292.7733333334</v>
      </c>
      <c r="F135" s="6">
        <f>D135-E135</f>
        <v>0.0</v>
      </c>
    </row>
    <row r="136" spans="1:6">
      <c r="A136" s="5">
        <v>45627</v>
      </c>
      <c r="B136" t="s">
        <v>159</v>
      </c>
      <c r="C136" t="s">
        <v>87</v>
      </c>
      <c r="D136" s="6">
        <f>(700000+SUMIFS('13_DIARIO'!J$2:J$1443,'13_DIARIO'!C$2:C$1443,B136,'13_DIARIO'!B$2:B$1443,"&lt;="&amp;A136))*1</f>
        <v>1403199.333333333</v>
      </c>
      <c r="E136" s="6">
        <f>'12_MODELO'!V13</f>
        <v>1403199.3333333333</v>
      </c>
      <c r="F136" s="6">
        <f>D136-E136</f>
        <v>-2.3283064365386963e-10</v>
      </c>
    </row>
    <row r="137" spans="1:6">
      <c r="A137" s="5">
        <v>45627</v>
      </c>
      <c r="B137" t="s">
        <v>208</v>
      </c>
      <c r="C137" t="s">
        <v>92</v>
      </c>
      <c r="D137" s="6">
        <f>(1500000+SUMIFS('13_DIARIO'!J$2:J$1443,'13_DIARIO'!C$2:C$1443,B137,'13_DIARIO'!B$2:B$1443,"&lt;="&amp;A137))*1</f>
        <v>2004000.0</v>
      </c>
      <c r="E137" s="6">
        <f>'12_MODELO'!AC13</f>
        <v>2004000.0</v>
      </c>
      <c r="F137" s="6">
        <f>D137-E137</f>
        <v>0.0</v>
      </c>
    </row>
    <row r="138" spans="1:6">
      <c r="A138" s="5">
        <v>45627</v>
      </c>
      <c r="B138" t="s">
        <v>188</v>
      </c>
      <c r="C138" t="s">
        <v>93</v>
      </c>
      <c r="D138" s="6">
        <f>(-300000+SUMIFS('13_DIARIO'!J$2:J$1443,'13_DIARIO'!C$2:C$1443,B138,'13_DIARIO'!B$2:B$1443,"&lt;="&amp;A138))*-1</f>
        <v>504840.0</v>
      </c>
      <c r="E138" s="6">
        <f>'12_MODELO'!AD13</f>
        <v>504840.0</v>
      </c>
      <c r="F138" s="6">
        <f>D138-E138</f>
        <v>0.0</v>
      </c>
    </row>
    <row r="139" spans="1:6">
      <c r="A139" s="5">
        <v>45627</v>
      </c>
      <c r="B139" t="s">
        <v>162</v>
      </c>
      <c r="C139" t="s">
        <v>88</v>
      </c>
      <c r="D139" s="6">
        <f>(-550000+SUMIFS('13_DIARIO'!J$2:J$1443,'13_DIARIO'!C$2:C$1443,B139,'13_DIARIO'!B$2:B$1443,"&lt;="&amp;A139))*-1</f>
        <v>1067651.6666666667</v>
      </c>
      <c r="E139" s="6">
        <f>'12_MODELO'!X13</f>
        <v>1067651.6666666667</v>
      </c>
      <c r="F139" s="6">
        <f>D139-E139</f>
        <v>0.0</v>
      </c>
    </row>
    <row r="140" spans="1:6">
      <c r="A140" s="5">
        <v>45627</v>
      </c>
      <c r="B140" t="s">
        <v>169</v>
      </c>
      <c r="C140" t="s">
        <v>89</v>
      </c>
      <c r="D140" s="6">
        <f>(-40000+SUMIFS('13_DIARIO'!J$2:J$1443,'13_DIARIO'!C$2:C$1443,B140,'13_DIARIO'!B$2:B$1443,"&lt;="&amp;A140))*-1</f>
        <v>19760.0</v>
      </c>
      <c r="E140" s="6">
        <f>'12_MODELO'!Y13</f>
        <v>19760.0</v>
      </c>
      <c r="F140" s="6">
        <f>D140-E140</f>
        <v>0.0</v>
      </c>
    </row>
    <row r="141" spans="1:6">
      <c r="A141" s="5">
        <v>45627</v>
      </c>
      <c r="B141" t="s">
        <v>156</v>
      </c>
      <c r="C141" t="s">
        <v>90</v>
      </c>
      <c r="D141" s="6">
        <f>(-80000+SUMIFS('13_DIARIO'!J$2:J$1443,'13_DIARIO'!C$2:C$1443,B141,'13_DIARIO'!B$2:B$1443,"&lt;="&amp;A141))*-1</f>
        <v>117446.16430000002</v>
      </c>
      <c r="E141" s="6">
        <f>'12_MODELO'!Z13</f>
        <v>117446.16430000002</v>
      </c>
      <c r="F141" s="6">
        <f>D141-E141</f>
        <v>0.0</v>
      </c>
    </row>
    <row r="142" spans="1:6">
      <c r="A142" s="5">
        <v>45627</v>
      </c>
      <c r="B142" t="s">
        <v>197</v>
      </c>
      <c r="C142" t="s">
        <v>91</v>
      </c>
      <c r="D142" s="6">
        <f>(-50000+SUMIFS('13_DIARIO'!J$2:J$1443,'13_DIARIO'!C$2:C$1443,B142,'13_DIARIO'!B$2:B$1443,"&lt;="&amp;A142))*-1</f>
        <v>31905.493138000005</v>
      </c>
      <c r="E142" s="6">
        <f>'12_MODELO'!AA13</f>
        <v>31905.493138</v>
      </c>
      <c r="F142" s="6">
        <f>D142-E142</f>
        <v>3.637978807091713e-12</v>
      </c>
    </row>
    <row r="143" spans="1:6">
      <c r="A143" s="5">
        <v>45627</v>
      </c>
      <c r="B143" t="s">
        <v>212</v>
      </c>
      <c r="C143" t="s">
        <v>94</v>
      </c>
      <c r="D143" s="6">
        <f>(-800000+SUMIFS('13_DIARIO'!J$2:J$1443,'13_DIARIO'!C$2:C$1443,B143,'13_DIARIO'!B$2:B$1443,"&lt;="&amp;A143))*-1</f>
        <v>584000.0</v>
      </c>
      <c r="E143" s="6">
        <f>'12_MODELO'!AG13</f>
        <v>584000.0</v>
      </c>
      <c r="F143" s="6">
        <f>D143-E143</f>
        <v>0.0</v>
      </c>
    </row>
    <row r="144" spans="1:6">
      <c r="A144" s="5">
        <v>45627</v>
      </c>
      <c r="B144" t="s">
        <v>925</v>
      </c>
      <c r="C144" t="s">
        <v>95</v>
      </c>
      <c r="D144" s="6">
        <f>(-3900000+SUMIFS('13_DIARIO'!J$2:J$1443,'13_DIARIO'!C$2:C$1443,B144,'13_DIARIO'!B$2:B$1443,"&lt;="&amp;A144))*-1</f>
        <v>3900000</v>
      </c>
      <c r="E144" s="6">
        <f>'12_MODELO'!AI13</f>
        <v>3900000.0</v>
      </c>
      <c r="F144" s="6">
        <f>D144-E144</f>
        <v>0.0</v>
      </c>
    </row>
    <row r="145" spans="1:6">
      <c r="A145" s="5">
        <v>45627</v>
      </c>
      <c r="B145" t="s">
        <v>217</v>
      </c>
      <c r="C145" t="s">
        <v>96</v>
      </c>
      <c r="D145" s="6">
        <f>(-380000+SUMIFS('13_DIARIO'!J$2:J$1443,'13_DIARIO'!C$2:C$1443,B145,'13_DIARIO'!B$2:B$1443,"&lt;="&amp;A145))*-1</f>
        <v>856611.5771119996</v>
      </c>
      <c r="E145" s="6">
        <f>'12_MODELO'!AJ13</f>
        <v>856611.5771120003</v>
      </c>
      <c r="F145" s="6">
        <f>D145-E145</f>
        <v>-6.984919309616089e-10</v>
      </c>
    </row>
    <row r="146" spans="1:6">
      <c r="A146" s="5">
        <v>45658</v>
      </c>
      <c r="B146" t="s">
        <v>173</v>
      </c>
      <c r="C146" t="s">
        <v>85</v>
      </c>
      <c r="D146" s="6">
        <f>(3000000+SUMIFS('13_DIARIO'!J$2:J$1443,'13_DIARIO'!C$2:C$1443,B146,'13_DIARIO'!B$2:B$1443,"&lt;="&amp;A146))*1</f>
        <v>1707637.2907786695</v>
      </c>
      <c r="E146" s="6">
        <f>'12_MODELO'!AV14</f>
        <v>1707637.290778667</v>
      </c>
      <c r="F146" s="6">
        <f>D146-E146</f>
        <v>2.561137080192566e-09</v>
      </c>
    </row>
    <row r="147" spans="1:6">
      <c r="A147" s="5">
        <v>45658</v>
      </c>
      <c r="B147" t="s">
        <v>146</v>
      </c>
      <c r="C147" t="s">
        <v>86</v>
      </c>
      <c r="D147" s="6">
        <f>(900000+SUMIFS('13_DIARIO'!J$2:J$1443,'13_DIARIO'!C$2:C$1443,B147,'13_DIARIO'!B$2:B$1443,"&lt;="&amp;A147))*1</f>
        <v>1803376.6676666667</v>
      </c>
      <c r="E147" s="6">
        <f>'12_MODELO'!U14</f>
        <v>1803376.6676666667</v>
      </c>
      <c r="F147" s="6">
        <f>D147-E147</f>
        <v>0.0</v>
      </c>
    </row>
    <row r="148" spans="1:6">
      <c r="A148" s="5">
        <v>45658</v>
      </c>
      <c r="B148" t="s">
        <v>159</v>
      </c>
      <c r="C148" t="s">
        <v>87</v>
      </c>
      <c r="D148" s="6">
        <f>(700000+SUMIFS('13_DIARIO'!J$2:J$1443,'13_DIARIO'!C$2:C$1443,B148,'13_DIARIO'!B$2:B$1443,"&lt;="&amp;A148))*1</f>
        <v>1364101.4053333327</v>
      </c>
      <c r="E148" s="6">
        <f>'12_MODELO'!V14</f>
        <v>1364101.4053333332</v>
      </c>
      <c r="F148" s="6">
        <f>D148-E148</f>
        <v>-4.656612873077393e-10</v>
      </c>
    </row>
    <row r="149" spans="1:6">
      <c r="A149" s="5">
        <v>45658</v>
      </c>
      <c r="B149" t="s">
        <v>208</v>
      </c>
      <c r="C149" t="s">
        <v>92</v>
      </c>
      <c r="D149" s="6">
        <f>(1500000+SUMIFS('13_DIARIO'!J$2:J$1443,'13_DIARIO'!C$2:C$1443,B149,'13_DIARIO'!B$2:B$1443,"&lt;="&amp;A149))*1</f>
        <v>2022000.0</v>
      </c>
      <c r="E149" s="6">
        <f>'12_MODELO'!AC14</f>
        <v>2022000.0</v>
      </c>
      <c r="F149" s="6">
        <f>D149-E149</f>
        <v>0.0</v>
      </c>
    </row>
    <row r="150" spans="1:6">
      <c r="A150" s="5">
        <v>45658</v>
      </c>
      <c r="B150" t="s">
        <v>188</v>
      </c>
      <c r="C150" t="s">
        <v>93</v>
      </c>
      <c r="D150" s="6">
        <f>(-300000+SUMIFS('13_DIARIO'!J$2:J$1443,'13_DIARIO'!C$2:C$1443,B150,'13_DIARIO'!B$2:B$1443,"&lt;="&amp;A150))*-1</f>
        <v>524880.0</v>
      </c>
      <c r="E150" s="6">
        <f>'12_MODELO'!AD14</f>
        <v>524880.0</v>
      </c>
      <c r="F150" s="6">
        <f>D150-E150</f>
        <v>0.0</v>
      </c>
    </row>
    <row r="151" spans="1:6">
      <c r="A151" s="5">
        <v>45658</v>
      </c>
      <c r="B151" t="s">
        <v>162</v>
      </c>
      <c r="C151" t="s">
        <v>88</v>
      </c>
      <c r="D151" s="6">
        <f>(-550000+SUMIFS('13_DIARIO'!J$2:J$1443,'13_DIARIO'!C$2:C$1443,B151,'13_DIARIO'!B$2:B$1443,"&lt;="&amp;A151))*-1</f>
        <v>918145.1766666665</v>
      </c>
      <c r="E151" s="6">
        <f>'12_MODELO'!X14</f>
        <v>918145.1766666665</v>
      </c>
      <c r="F151" s="6">
        <f>D151-E151</f>
        <v>0.0</v>
      </c>
    </row>
    <row r="152" spans="1:6">
      <c r="A152" s="5">
        <v>45658</v>
      </c>
      <c r="B152" t="s">
        <v>169</v>
      </c>
      <c r="C152" t="s">
        <v>89</v>
      </c>
      <c r="D152" s="6">
        <f>(-40000+SUMIFS('13_DIARIO'!J$2:J$1443,'13_DIARIO'!C$2:C$1443,B152,'13_DIARIO'!B$2:B$1443,"&lt;="&amp;A152))*-1</f>
        <v>21185.0</v>
      </c>
      <c r="E152" s="6">
        <f>'12_MODELO'!Y14</f>
        <v>21185.0</v>
      </c>
      <c r="F152" s="6">
        <f>D152-E152</f>
        <v>0.0</v>
      </c>
    </row>
    <row r="153" spans="1:6">
      <c r="A153" s="5">
        <v>45658</v>
      </c>
      <c r="B153" t="s">
        <v>156</v>
      </c>
      <c r="C153" t="s">
        <v>90</v>
      </c>
      <c r="D153" s="6">
        <f>(-80000+SUMIFS('13_DIARIO'!J$2:J$1443,'13_DIARIO'!C$2:C$1443,B153,'13_DIARIO'!B$2:B$1443,"&lt;="&amp;A153))*-1</f>
        <v>97842.77665</v>
      </c>
      <c r="E153" s="6">
        <f>'12_MODELO'!Z14</f>
        <v>97842.77665</v>
      </c>
      <c r="F153" s="6">
        <f>D153-E153</f>
        <v>0.0</v>
      </c>
    </row>
    <row r="154" spans="1:6">
      <c r="A154" s="5">
        <v>45658</v>
      </c>
      <c r="B154" t="s">
        <v>197</v>
      </c>
      <c r="C154" t="s">
        <v>91</v>
      </c>
      <c r="D154" s="6">
        <f>(-50000+SUMIFS('13_DIARIO'!J$2:J$1443,'13_DIARIO'!C$2:C$1443,B154,'13_DIARIO'!B$2:B$1443,"&lt;="&amp;A154))*-1</f>
        <v>4233.283339000056</v>
      </c>
      <c r="E154" s="6">
        <f>'12_MODELO'!AA14</f>
        <v>4233.28333900005</v>
      </c>
      <c r="F154" s="6">
        <f>D154-E154</f>
        <v>6.366462912410498e-12</v>
      </c>
    </row>
    <row r="155" spans="1:6">
      <c r="A155" s="5">
        <v>45658</v>
      </c>
      <c r="B155" t="s">
        <v>212</v>
      </c>
      <c r="C155" t="s">
        <v>94</v>
      </c>
      <c r="D155" s="6">
        <f>(-800000+SUMIFS('13_DIARIO'!J$2:J$1443,'13_DIARIO'!C$2:C$1443,B155,'13_DIARIO'!B$2:B$1443,"&lt;="&amp;A155))*-1</f>
        <v>566000.0</v>
      </c>
      <c r="E155" s="6">
        <f>'12_MODELO'!AG14</f>
        <v>566000.0</v>
      </c>
      <c r="F155" s="6">
        <f>D155-E155</f>
        <v>0.0</v>
      </c>
    </row>
    <row r="156" spans="1:6">
      <c r="A156" s="5">
        <v>45658</v>
      </c>
      <c r="B156" t="s">
        <v>925</v>
      </c>
      <c r="C156" t="s">
        <v>95</v>
      </c>
      <c r="D156" s="6">
        <f>(-3900000+SUMIFS('13_DIARIO'!J$2:J$1443,'13_DIARIO'!C$2:C$1443,B156,'13_DIARIO'!B$2:B$1443,"&lt;="&amp;A156))*-1</f>
        <v>3900000</v>
      </c>
      <c r="E156" s="6">
        <f>'12_MODELO'!AI14</f>
        <v>3900000.0</v>
      </c>
      <c r="F156" s="6">
        <f>D156-E156</f>
        <v>0.0</v>
      </c>
    </row>
    <row r="157" spans="1:6">
      <c r="A157" s="5">
        <v>45658</v>
      </c>
      <c r="B157" t="s">
        <v>217</v>
      </c>
      <c r="C157" t="s">
        <v>96</v>
      </c>
      <c r="D157" s="6">
        <f>(-380000+SUMIFS('13_DIARIO'!J$2:J$1443,'13_DIARIO'!C$2:C$1443,B157,'13_DIARIO'!B$2:B$1443,"&lt;="&amp;A157))*-1</f>
        <v>864829.1271229996</v>
      </c>
      <c r="E157" s="6">
        <f>'12_MODELO'!AJ14</f>
        <v>864829.1271230004</v>
      </c>
      <c r="F157" s="6">
        <f>D157-E157</f>
        <v>-8.149072527885437e-10</v>
      </c>
    </row>
    <row r="158" spans="1:6">
      <c r="A158" s="5">
        <v>45689</v>
      </c>
      <c r="B158" t="s">
        <v>173</v>
      </c>
      <c r="C158" t="s">
        <v>85</v>
      </c>
      <c r="D158" s="6">
        <f>(3000000+SUMIFS('13_DIARIO'!J$2:J$1443,'13_DIARIO'!C$2:C$1443,B158,'13_DIARIO'!B$2:B$1443,"&lt;="&amp;A158))*1</f>
        <v>1654600.649123003</v>
      </c>
      <c r="E158" s="6">
        <f>'12_MODELO'!AV15</f>
        <v>1654600.6491230004</v>
      </c>
      <c r="F158" s="6">
        <f>D158-E158</f>
        <v>2.561137080192566e-09</v>
      </c>
    </row>
    <row r="159" spans="1:6">
      <c r="A159" s="5">
        <v>45689</v>
      </c>
      <c r="B159" t="s">
        <v>146</v>
      </c>
      <c r="C159" t="s">
        <v>86</v>
      </c>
      <c r="D159" s="6">
        <f>(900000+SUMIFS('13_DIARIO'!J$2:J$1443,'13_DIARIO'!C$2:C$1443,B159,'13_DIARIO'!B$2:B$1443,"&lt;="&amp;A159))*1</f>
        <v>1843546.4239999999</v>
      </c>
      <c r="E159" s="6">
        <f>'12_MODELO'!U15</f>
        <v>1843546.4239999999</v>
      </c>
      <c r="F159" s="6">
        <f>D159-E159</f>
        <v>0.0</v>
      </c>
    </row>
    <row r="160" spans="1:6">
      <c r="A160" s="5">
        <v>45689</v>
      </c>
      <c r="B160" t="s">
        <v>159</v>
      </c>
      <c r="C160" t="s">
        <v>87</v>
      </c>
      <c r="D160" s="6">
        <f>(700000+SUMIFS('13_DIARIO'!J$2:J$1443,'13_DIARIO'!C$2:C$1443,B160,'13_DIARIO'!B$2:B$1443,"&lt;="&amp;A160))*1</f>
        <v>1396732.5839999996</v>
      </c>
      <c r="E160" s="6">
        <f>'12_MODELO'!V15</f>
        <v>1396732.584</v>
      </c>
      <c r="F160" s="6">
        <f>D160-E160</f>
        <v>-4.656612873077393e-10</v>
      </c>
    </row>
    <row r="161" spans="1:6">
      <c r="A161" s="5">
        <v>45689</v>
      </c>
      <c r="B161" t="s">
        <v>208</v>
      </c>
      <c r="C161" t="s">
        <v>92</v>
      </c>
      <c r="D161" s="6">
        <f>(1500000+SUMIFS('13_DIARIO'!J$2:J$1443,'13_DIARIO'!C$2:C$1443,B161,'13_DIARIO'!B$2:B$1443,"&lt;="&amp;A161))*1</f>
        <v>2040000.0</v>
      </c>
      <c r="E161" s="6">
        <f>'12_MODELO'!AC15</f>
        <v>2040000.0</v>
      </c>
      <c r="F161" s="6">
        <f>D161-E161</f>
        <v>0.0</v>
      </c>
    </row>
    <row r="162" spans="1:6">
      <c r="A162" s="5">
        <v>45689</v>
      </c>
      <c r="B162" t="s">
        <v>188</v>
      </c>
      <c r="C162" t="s">
        <v>93</v>
      </c>
      <c r="D162" s="6">
        <f>(-300000+SUMIFS('13_DIARIO'!J$2:J$1443,'13_DIARIO'!C$2:C$1443,B162,'13_DIARIO'!B$2:B$1443,"&lt;="&amp;A162))*-1</f>
        <v>545100.0</v>
      </c>
      <c r="E162" s="6">
        <f>'12_MODELO'!AD15</f>
        <v>545100.0</v>
      </c>
      <c r="F162" s="6">
        <f>D162-E162</f>
        <v>0.0</v>
      </c>
    </row>
    <row r="163" spans="1:6">
      <c r="A163" s="5">
        <v>45689</v>
      </c>
      <c r="B163" t="s">
        <v>162</v>
      </c>
      <c r="C163" t="s">
        <v>88</v>
      </c>
      <c r="D163" s="6">
        <f>(-550000+SUMIFS('13_DIARIO'!J$2:J$1443,'13_DIARIO'!C$2:C$1443,B163,'13_DIARIO'!B$2:B$1443,"&lt;="&amp;A163))*-1</f>
        <v>940108.4700000001</v>
      </c>
      <c r="E163" s="6">
        <f>'12_MODELO'!X15</f>
        <v>940108.4700000001</v>
      </c>
      <c r="F163" s="6">
        <f>D163-E163</f>
        <v>0.0</v>
      </c>
    </row>
    <row r="164" spans="1:6">
      <c r="A164" s="5">
        <v>45689</v>
      </c>
      <c r="B164" t="s">
        <v>169</v>
      </c>
      <c r="C164" t="s">
        <v>89</v>
      </c>
      <c r="D164" s="6">
        <f>(-40000+SUMIFS('13_DIARIO'!J$2:J$1443,'13_DIARIO'!C$2:C$1443,B164,'13_DIARIO'!B$2:B$1443,"&lt;="&amp;A164))*-1</f>
        <v>21185.0</v>
      </c>
      <c r="E164" s="6">
        <f>'12_MODELO'!Y15</f>
        <v>21185.0</v>
      </c>
      <c r="F164" s="6">
        <f>D164-E164</f>
        <v>0.0</v>
      </c>
    </row>
    <row r="165" spans="1:6">
      <c r="A165" s="5">
        <v>45689</v>
      </c>
      <c r="B165" t="s">
        <v>156</v>
      </c>
      <c r="C165" t="s">
        <v>90</v>
      </c>
      <c r="D165" s="6">
        <f>(-80000+SUMIFS('13_DIARIO'!J$2:J$1443,'13_DIARIO'!C$2:C$1443,B165,'13_DIARIO'!B$2:B$1443,"&lt;="&amp;A165))*-1</f>
        <v>100022.1996</v>
      </c>
      <c r="E165" s="6">
        <f>'12_MODELO'!Z15</f>
        <v>100022.1996</v>
      </c>
      <c r="F165" s="6">
        <f>D165-E165</f>
        <v>0.0</v>
      </c>
    </row>
    <row r="166" spans="1:6">
      <c r="A166" s="5">
        <v>45689</v>
      </c>
      <c r="B166" t="s">
        <v>197</v>
      </c>
      <c r="C166" t="s">
        <v>91</v>
      </c>
      <c r="D166" s="6">
        <f>(-50000+SUMIFS('13_DIARIO'!J$2:J$1443,'13_DIARIO'!C$2:C$1443,B166,'13_DIARIO'!B$2:B$1443,"&lt;="&amp;A166))*-1</f>
        <v>5315.852536000028</v>
      </c>
      <c r="E166" s="6">
        <f>'12_MODELO'!AA15</f>
        <v>5315.852536000022</v>
      </c>
      <c r="F166" s="6">
        <f>D166-E166</f>
        <v>5.4569682106375694e-12</v>
      </c>
    </row>
    <row r="167" spans="1:6">
      <c r="A167" s="5">
        <v>45689</v>
      </c>
      <c r="B167" t="s">
        <v>212</v>
      </c>
      <c r="C167" t="s">
        <v>94</v>
      </c>
      <c r="D167" s="6">
        <f>(-800000+SUMIFS('13_DIARIO'!J$2:J$1443,'13_DIARIO'!C$2:C$1443,B167,'13_DIARIO'!B$2:B$1443,"&lt;="&amp;A167))*-1</f>
        <v>548000.0</v>
      </c>
      <c r="E167" s="6">
        <f>'12_MODELO'!AG15</f>
        <v>548000.0</v>
      </c>
      <c r="F167" s="6">
        <f>D167-E167</f>
        <v>0.0</v>
      </c>
    </row>
    <row r="168" spans="1:6">
      <c r="A168" s="5">
        <v>45689</v>
      </c>
      <c r="B168" t="s">
        <v>925</v>
      </c>
      <c r="C168" t="s">
        <v>95</v>
      </c>
      <c r="D168" s="6">
        <f>(-3900000+SUMIFS('13_DIARIO'!J$2:J$1443,'13_DIARIO'!C$2:C$1443,B168,'13_DIARIO'!B$2:B$1443,"&lt;="&amp;A168))*-1</f>
        <v>3900000</v>
      </c>
      <c r="E168" s="6">
        <f>'12_MODELO'!AI15</f>
        <v>3900000.0</v>
      </c>
      <c r="F168" s="6">
        <f>D168-E168</f>
        <v>0.0</v>
      </c>
    </row>
    <row r="169" spans="1:6">
      <c r="A169" s="5">
        <v>45689</v>
      </c>
      <c r="B169" t="s">
        <v>217</v>
      </c>
      <c r="C169" t="s">
        <v>96</v>
      </c>
      <c r="D169" s="6">
        <f>(-380000+SUMIFS('13_DIARIO'!J$2:J$1443,'13_DIARIO'!C$2:C$1443,B169,'13_DIARIO'!B$2:B$1443,"&lt;="&amp;A169))*-1</f>
        <v>875148.1349869997</v>
      </c>
      <c r="E169" s="6">
        <f>'12_MODELO'!AJ15</f>
        <v>875148.1349870005</v>
      </c>
      <c r="F169" s="6">
        <f>D169-E169</f>
        <v>-8.149072527885437e-10</v>
      </c>
    </row>
    <row r="170" spans="1:6">
      <c r="A170" s="5">
        <v>45717</v>
      </c>
      <c r="B170" t="s">
        <v>173</v>
      </c>
      <c r="C170" t="s">
        <v>85</v>
      </c>
      <c r="D170" s="6">
        <f>(3000000+SUMIFS('13_DIARIO'!J$2:J$1443,'13_DIARIO'!C$2:C$1443,B170,'13_DIARIO'!B$2:B$1443,"&lt;="&amp;A170))*1</f>
        <v>1214670.7683203355</v>
      </c>
      <c r="E170" s="6">
        <f>'12_MODELO'!AV16</f>
        <v>1214670.768320333</v>
      </c>
      <c r="F170" s="6">
        <f>D170-E170</f>
        <v>2.561137080192566e-09</v>
      </c>
    </row>
    <row r="171" spans="1:6">
      <c r="A171" s="5">
        <v>45717</v>
      </c>
      <c r="B171" t="s">
        <v>146</v>
      </c>
      <c r="C171" t="s">
        <v>86</v>
      </c>
      <c r="D171" s="6">
        <f>(900000+SUMIFS('13_DIARIO'!J$2:J$1443,'13_DIARIO'!C$2:C$1443,B171,'13_DIARIO'!B$2:B$1443,"&lt;="&amp;A171))*1</f>
        <v>2177593.158666667</v>
      </c>
      <c r="E171" s="6">
        <f>'12_MODELO'!U16</f>
        <v>2177593.158666667</v>
      </c>
      <c r="F171" s="6">
        <f>D171-E171</f>
        <v>0.0</v>
      </c>
    </row>
    <row r="172" spans="1:6">
      <c r="A172" s="5">
        <v>45717</v>
      </c>
      <c r="B172" t="s">
        <v>159</v>
      </c>
      <c r="C172" t="s">
        <v>87</v>
      </c>
      <c r="D172" s="6">
        <f>(700000+SUMIFS('13_DIARIO'!J$2:J$1443,'13_DIARIO'!C$2:C$1443,B172,'13_DIARIO'!B$2:B$1443,"&lt;="&amp;A172))*1</f>
        <v>1650639.3279999997</v>
      </c>
      <c r="E172" s="6">
        <f>'12_MODELO'!V16</f>
        <v>1650639.3280000002</v>
      </c>
      <c r="F172" s="6">
        <f>D172-E172</f>
        <v>-4.656612873077393e-10</v>
      </c>
    </row>
    <row r="173" spans="1:6">
      <c r="A173" s="5">
        <v>45717</v>
      </c>
      <c r="B173" t="s">
        <v>208</v>
      </c>
      <c r="C173" t="s">
        <v>92</v>
      </c>
      <c r="D173" s="6">
        <f>(1500000+SUMIFS('13_DIARIO'!J$2:J$1443,'13_DIARIO'!C$2:C$1443,B173,'13_DIARIO'!B$2:B$1443,"&lt;="&amp;A173))*1</f>
        <v>2130000.0</v>
      </c>
      <c r="E173" s="6">
        <f>'12_MODELO'!AC16</f>
        <v>2130000.0</v>
      </c>
      <c r="F173" s="6">
        <f>D173-E173</f>
        <v>0.0</v>
      </c>
    </row>
    <row r="174" spans="1:6">
      <c r="A174" s="5">
        <v>45717</v>
      </c>
      <c r="B174" t="s">
        <v>188</v>
      </c>
      <c r="C174" t="s">
        <v>93</v>
      </c>
      <c r="D174" s="6">
        <f>(-300000+SUMIFS('13_DIARIO'!J$2:J$1443,'13_DIARIO'!C$2:C$1443,B174,'13_DIARIO'!B$2:B$1443,"&lt;="&amp;A174))*-1</f>
        <v>565500.0</v>
      </c>
      <c r="E174" s="6">
        <f>'12_MODELO'!AD16</f>
        <v>565500.0</v>
      </c>
      <c r="F174" s="6">
        <f>D174-E174</f>
        <v>0.0</v>
      </c>
    </row>
    <row r="175" spans="1:6">
      <c r="A175" s="5">
        <v>45717</v>
      </c>
      <c r="B175" t="s">
        <v>162</v>
      </c>
      <c r="C175" t="s">
        <v>88</v>
      </c>
      <c r="D175" s="6">
        <f>(-550000+SUMIFS('13_DIARIO'!J$2:J$1443,'13_DIARIO'!C$2:C$1443,B175,'13_DIARIO'!B$2:B$1443,"&lt;="&amp;A175))*-1</f>
        <v>1111007.24</v>
      </c>
      <c r="E175" s="6">
        <f>'12_MODELO'!X16</f>
        <v>1111007.24</v>
      </c>
      <c r="F175" s="6">
        <f>D175-E175</f>
        <v>0.0</v>
      </c>
    </row>
    <row r="176" spans="1:6">
      <c r="A176" s="5">
        <v>45717</v>
      </c>
      <c r="B176" t="s">
        <v>169</v>
      </c>
      <c r="C176" t="s">
        <v>89</v>
      </c>
      <c r="D176" s="6">
        <f>(-40000+SUMIFS('13_DIARIO'!J$2:J$1443,'13_DIARIO'!C$2:C$1443,B176,'13_DIARIO'!B$2:B$1443,"&lt;="&amp;A176))*-1</f>
        <v>21185.0</v>
      </c>
      <c r="E176" s="6">
        <f>'12_MODELO'!Y16</f>
        <v>21185.0</v>
      </c>
      <c r="F176" s="6">
        <f>D176-E176</f>
        <v>0.0</v>
      </c>
    </row>
    <row r="177" spans="1:6">
      <c r="A177" s="5">
        <v>45717</v>
      </c>
      <c r="B177" t="s">
        <v>156</v>
      </c>
      <c r="C177" t="s">
        <v>90</v>
      </c>
      <c r="D177" s="6">
        <f>(-80000+SUMIFS('13_DIARIO'!J$2:J$1443,'13_DIARIO'!C$2:C$1443,B177,'13_DIARIO'!B$2:B$1443,"&lt;="&amp;A177))*-1</f>
        <v>118146.01180000002</v>
      </c>
      <c r="E177" s="6">
        <f>'12_MODELO'!Z16</f>
        <v>118146.01180000002</v>
      </c>
      <c r="F177" s="6">
        <f>D177-E177</f>
        <v>0.0</v>
      </c>
    </row>
    <row r="178" spans="1:6">
      <c r="A178" s="5">
        <v>45717</v>
      </c>
      <c r="B178" t="s">
        <v>197</v>
      </c>
      <c r="C178" t="s">
        <v>91</v>
      </c>
      <c r="D178" s="6">
        <f>(-50000+SUMIFS('13_DIARIO'!J$2:J$1443,'13_DIARIO'!C$2:C$1443,B178,'13_DIARIO'!B$2:B$1443,"&lt;="&amp;A178))*-1</f>
        <v>17651.735188000028</v>
      </c>
      <c r="E178" s="6">
        <f>'12_MODELO'!AA16</f>
        <v>17651.73518800002</v>
      </c>
      <c r="F178" s="6">
        <f>D178-E178</f>
        <v>7.275957614183426e-12</v>
      </c>
    </row>
    <row r="179" spans="1:6">
      <c r="A179" s="5">
        <v>45717</v>
      </c>
      <c r="B179" t="s">
        <v>212</v>
      </c>
      <c r="C179" t="s">
        <v>94</v>
      </c>
      <c r="D179" s="6">
        <f>(-800000+SUMIFS('13_DIARIO'!J$2:J$1443,'13_DIARIO'!C$2:C$1443,B179,'13_DIARIO'!B$2:B$1443,"&lt;="&amp;A179))*-1</f>
        <v>530000.0</v>
      </c>
      <c r="E179" s="6">
        <f>'12_MODELO'!AG16</f>
        <v>530000.0</v>
      </c>
      <c r="F179" s="6">
        <f>D179-E179</f>
        <v>0.0</v>
      </c>
    </row>
    <row r="180" spans="1:6">
      <c r="A180" s="5">
        <v>45717</v>
      </c>
      <c r="B180" t="s">
        <v>925</v>
      </c>
      <c r="C180" t="s">
        <v>95</v>
      </c>
      <c r="D180" s="6">
        <f>(-3900000+SUMIFS('13_DIARIO'!J$2:J$1443,'13_DIARIO'!C$2:C$1443,B180,'13_DIARIO'!B$2:B$1443,"&lt;="&amp;A180))*-1</f>
        <v>3900000</v>
      </c>
      <c r="E180" s="6">
        <f>'12_MODELO'!AI16</f>
        <v>3900000.0</v>
      </c>
      <c r="F180" s="6">
        <f>D180-E180</f>
        <v>0.0</v>
      </c>
    </row>
    <row r="181" spans="1:6">
      <c r="A181" s="5">
        <v>45717</v>
      </c>
      <c r="B181" t="s">
        <v>217</v>
      </c>
      <c r="C181" t="s">
        <v>96</v>
      </c>
      <c r="D181" s="6">
        <f>(-380000+SUMIFS('13_DIARIO'!J$2:J$1443,'13_DIARIO'!C$2:C$1443,B181,'13_DIARIO'!B$2:B$1443,"&lt;="&amp;A181))*-1</f>
        <v>909413.2679989996</v>
      </c>
      <c r="E181" s="6">
        <f>'12_MODELO'!AJ16</f>
        <v>909413.2679990005</v>
      </c>
      <c r="F181" s="6">
        <f>D181-E181</f>
        <v>-9.313225746154785e-10</v>
      </c>
    </row>
    <row r="182" spans="1:6">
      <c r="A182" s="5">
        <v>45748</v>
      </c>
      <c r="B182" t="s">
        <v>173</v>
      </c>
      <c r="C182" t="s">
        <v>85</v>
      </c>
      <c r="D182" s="6">
        <f>(3000000+SUMIFS('13_DIARIO'!J$2:J$1443,'13_DIARIO'!C$2:C$1443,B182,'13_DIARIO'!B$2:B$1443,"&lt;="&amp;A182))*1</f>
        <v>1562533.5379990037</v>
      </c>
      <c r="E182" s="6">
        <f>'12_MODELO'!AV17</f>
        <v>1562533.5379990004</v>
      </c>
      <c r="F182" s="6">
        <f>D182-E182</f>
        <v>3.259629011154175e-09</v>
      </c>
    </row>
    <row r="183" spans="1:6">
      <c r="A183" s="5">
        <v>45748</v>
      </c>
      <c r="B183" t="s">
        <v>146</v>
      </c>
      <c r="C183" t="s">
        <v>86</v>
      </c>
      <c r="D183" s="6">
        <f>(900000+SUMIFS('13_DIARIO'!J$2:J$1443,'13_DIARIO'!C$2:C$1443,B183,'13_DIARIO'!B$2:B$1443,"&lt;="&amp;A183))*1</f>
        <v>2168732.311333333</v>
      </c>
      <c r="E183" s="6">
        <f>'12_MODELO'!U17</f>
        <v>2168732.311333333</v>
      </c>
      <c r="F183" s="6">
        <f>D183-E183</f>
        <v>0.0</v>
      </c>
    </row>
    <row r="184" spans="1:6">
      <c r="A184" s="5">
        <v>45748</v>
      </c>
      <c r="B184" t="s">
        <v>159</v>
      </c>
      <c r="C184" t="s">
        <v>87</v>
      </c>
      <c r="D184" s="6">
        <f>(700000+SUMIFS('13_DIARIO'!J$2:J$1443,'13_DIARIO'!C$2:C$1443,B184,'13_DIARIO'!B$2:B$1443,"&lt;="&amp;A184))*1</f>
        <v>1646823.8453333327</v>
      </c>
      <c r="E184" s="6">
        <f>'12_MODELO'!V17</f>
        <v>1646823.8453333334</v>
      </c>
      <c r="F184" s="6">
        <f>D184-E184</f>
        <v>-6.984919309616089e-10</v>
      </c>
    </row>
    <row r="185" spans="1:6">
      <c r="A185" s="5">
        <v>45748</v>
      </c>
      <c r="B185" t="s">
        <v>208</v>
      </c>
      <c r="C185" t="s">
        <v>92</v>
      </c>
      <c r="D185" s="6">
        <f>(1500000+SUMIFS('13_DIARIO'!J$2:J$1443,'13_DIARIO'!C$2:C$1443,B185,'13_DIARIO'!B$2:B$1443,"&lt;="&amp;A185))*1</f>
        <v>2148000.0</v>
      </c>
      <c r="E185" s="6">
        <f>'12_MODELO'!AC17</f>
        <v>2148000.0</v>
      </c>
      <c r="F185" s="6">
        <f>D185-E185</f>
        <v>0.0</v>
      </c>
    </row>
    <row r="186" spans="1:6">
      <c r="A186" s="5">
        <v>45748</v>
      </c>
      <c r="B186" t="s">
        <v>188</v>
      </c>
      <c r="C186" t="s">
        <v>93</v>
      </c>
      <c r="D186" s="6">
        <f>(-300000+SUMIFS('13_DIARIO'!J$2:J$1443,'13_DIARIO'!C$2:C$1443,B186,'13_DIARIO'!B$2:B$1443,"&lt;="&amp;A186))*-1</f>
        <v>586800.0</v>
      </c>
      <c r="E186" s="6">
        <f>'12_MODELO'!AD17</f>
        <v>586800.0</v>
      </c>
      <c r="F186" s="6">
        <f>D186-E186</f>
        <v>0.0</v>
      </c>
    </row>
    <row r="187" spans="1:6">
      <c r="A187" s="5">
        <v>45748</v>
      </c>
      <c r="B187" t="s">
        <v>162</v>
      </c>
      <c r="C187" t="s">
        <v>88</v>
      </c>
      <c r="D187" s="6">
        <f>(-550000+SUMIFS('13_DIARIO'!J$2:J$1443,'13_DIARIO'!C$2:C$1443,B187,'13_DIARIO'!B$2:B$1443,"&lt;="&amp;A187))*-1</f>
        <v>1108439.1266666667</v>
      </c>
      <c r="E187" s="6">
        <f>'12_MODELO'!X17</f>
        <v>1108439.1266666667</v>
      </c>
      <c r="F187" s="6">
        <f>D187-E187</f>
        <v>0.0</v>
      </c>
    </row>
    <row r="188" spans="1:6">
      <c r="A188" s="5">
        <v>45748</v>
      </c>
      <c r="B188" t="s">
        <v>169</v>
      </c>
      <c r="C188" t="s">
        <v>89</v>
      </c>
      <c r="D188" s="6">
        <f>(-40000+SUMIFS('13_DIARIO'!J$2:J$1443,'13_DIARIO'!C$2:C$1443,B188,'13_DIARIO'!B$2:B$1443,"&lt;="&amp;A188))*-1</f>
        <v>21185.0</v>
      </c>
      <c r="E188" s="6">
        <f>'12_MODELO'!Y17</f>
        <v>21185.0</v>
      </c>
      <c r="F188" s="6">
        <f>D188-E188</f>
        <v>0.0</v>
      </c>
    </row>
    <row r="189" spans="1:6">
      <c r="A189" s="5">
        <v>45748</v>
      </c>
      <c r="B189" t="s">
        <v>156</v>
      </c>
      <c r="C189" t="s">
        <v>90</v>
      </c>
      <c r="D189" s="6">
        <f>(-80000+SUMIFS('13_DIARIO'!J$2:J$1443,'13_DIARIO'!C$2:C$1443,B189,'13_DIARIO'!B$2:B$1443,"&lt;="&amp;A189))*-1</f>
        <v>117665.26370000001</v>
      </c>
      <c r="E189" s="6">
        <f>'12_MODELO'!Z17</f>
        <v>117665.26370000001</v>
      </c>
      <c r="F189" s="6">
        <f>D189-E189</f>
        <v>0.0</v>
      </c>
    </row>
    <row r="190" spans="1:6">
      <c r="A190" s="5">
        <v>45748</v>
      </c>
      <c r="B190" t="s">
        <v>197</v>
      </c>
      <c r="C190" t="s">
        <v>91</v>
      </c>
      <c r="D190" s="6">
        <f>(-50000+SUMIFS('13_DIARIO'!J$2:J$1443,'13_DIARIO'!C$2:C$1443,B190,'13_DIARIO'!B$2:B$1443,"&lt;="&amp;A190))*-1</f>
        <v>6999.592341999982</v>
      </c>
      <c r="E190" s="6">
        <f>'12_MODELO'!AA17</f>
        <v>6999.5923419999735</v>
      </c>
      <c r="F190" s="6">
        <f>D190-E190</f>
        <v>8.185452315956354e-12</v>
      </c>
    </row>
    <row r="191" spans="1:6">
      <c r="A191" s="5">
        <v>45748</v>
      </c>
      <c r="B191" t="s">
        <v>212</v>
      </c>
      <c r="C191" t="s">
        <v>94</v>
      </c>
      <c r="D191" s="6">
        <f>(-800000+SUMIFS('13_DIARIO'!J$2:J$1443,'13_DIARIO'!C$2:C$1443,B191,'13_DIARIO'!B$2:B$1443,"&lt;="&amp;A191))*-1</f>
        <v>862000.0</v>
      </c>
      <c r="E191" s="6">
        <f>'12_MODELO'!AG17</f>
        <v>862000.0</v>
      </c>
      <c r="F191" s="6">
        <f>D191-E191</f>
        <v>0.0</v>
      </c>
    </row>
    <row r="192" spans="1:6">
      <c r="A192" s="5">
        <v>45748</v>
      </c>
      <c r="B192" t="s">
        <v>925</v>
      </c>
      <c r="C192" t="s">
        <v>95</v>
      </c>
      <c r="D192" s="6">
        <f>(-3900000+SUMIFS('13_DIARIO'!J$2:J$1443,'13_DIARIO'!C$2:C$1443,B192,'13_DIARIO'!B$2:B$1443,"&lt;="&amp;A192))*-1</f>
        <v>3900000</v>
      </c>
      <c r="E192" s="6">
        <f>'12_MODELO'!AI17</f>
        <v>3900000.0</v>
      </c>
      <c r="F192" s="6">
        <f>D192-E192</f>
        <v>0.0</v>
      </c>
    </row>
    <row r="193" spans="1:6">
      <c r="A193" s="5">
        <v>45748</v>
      </c>
      <c r="B193" t="s">
        <v>217</v>
      </c>
      <c r="C193" t="s">
        <v>96</v>
      </c>
      <c r="D193" s="6">
        <f>(-380000+SUMIFS('13_DIARIO'!J$2:J$1443,'13_DIARIO'!C$2:C$1443,B193,'13_DIARIO'!B$2:B$1443,"&lt;="&amp;A193))*-1</f>
        <v>923000.7119569995</v>
      </c>
      <c r="E193" s="6">
        <f>'12_MODELO'!AJ17</f>
        <v>923000.7119570004</v>
      </c>
      <c r="F193" s="6">
        <f>D193-E193</f>
        <v>-9.313225746154785e-10</v>
      </c>
    </row>
    <row r="194" spans="1:6">
      <c r="A194" s="5">
        <v>45778</v>
      </c>
      <c r="B194" t="s">
        <v>173</v>
      </c>
      <c r="C194" t="s">
        <v>85</v>
      </c>
      <c r="D194" s="6">
        <f>(3000000+SUMIFS('13_DIARIO'!J$2:J$1443,'13_DIARIO'!C$2:C$1443,B194,'13_DIARIO'!B$2:B$1443,"&lt;="&amp;A194))*1</f>
        <v>1451222.0249570038</v>
      </c>
      <c r="E194" s="6">
        <f>'12_MODELO'!AV18</f>
        <v>1451222.024957</v>
      </c>
      <c r="F194" s="6">
        <f>D194-E194</f>
        <v>3.725290298461914e-09</v>
      </c>
    </row>
    <row r="195" spans="1:6">
      <c r="A195" s="5">
        <v>45778</v>
      </c>
      <c r="B195" t="s">
        <v>146</v>
      </c>
      <c r="C195" t="s">
        <v>86</v>
      </c>
      <c r="D195" s="6">
        <f>(900000+SUMIFS('13_DIARIO'!J$2:J$1443,'13_DIARIO'!C$2:C$1443,B195,'13_DIARIO'!B$2:B$1443,"&lt;="&amp;A195))*1</f>
        <v>2271163.030333333</v>
      </c>
      <c r="E195" s="6">
        <f>'12_MODELO'!U18</f>
        <v>2271163.030333333</v>
      </c>
      <c r="F195" s="6">
        <f>D195-E195</f>
        <v>0.0</v>
      </c>
    </row>
    <row r="196" spans="1:6">
      <c r="A196" s="5">
        <v>45778</v>
      </c>
      <c r="B196" t="s">
        <v>159</v>
      </c>
      <c r="C196" t="s">
        <v>87</v>
      </c>
      <c r="D196" s="6">
        <f>(700000+SUMIFS('13_DIARIO'!J$2:J$1443,'13_DIARIO'!C$2:C$1443,B196,'13_DIARIO'!B$2:B$1443,"&lt;="&amp;A196))*1</f>
        <v>1719151.893333333</v>
      </c>
      <c r="E196" s="6">
        <f>'12_MODELO'!V18</f>
        <v>1719151.8933333335</v>
      </c>
      <c r="F196" s="6">
        <f>D196-E196</f>
        <v>-4.656612873077393e-10</v>
      </c>
    </row>
    <row r="197" spans="1:6">
      <c r="A197" s="5">
        <v>45778</v>
      </c>
      <c r="B197" t="s">
        <v>208</v>
      </c>
      <c r="C197" t="s">
        <v>92</v>
      </c>
      <c r="D197" s="6">
        <f>(1500000+SUMIFS('13_DIARIO'!J$2:J$1443,'13_DIARIO'!C$2:C$1443,B197,'13_DIARIO'!B$2:B$1443,"&lt;="&amp;A197))*1</f>
        <v>2166000.0</v>
      </c>
      <c r="E197" s="6">
        <f>'12_MODELO'!AC18</f>
        <v>2166000.0</v>
      </c>
      <c r="F197" s="6">
        <f>D197-E197</f>
        <v>0.0</v>
      </c>
    </row>
    <row r="198" spans="1:6">
      <c r="A198" s="5">
        <v>45778</v>
      </c>
      <c r="B198" t="s">
        <v>188</v>
      </c>
      <c r="C198" t="s">
        <v>93</v>
      </c>
      <c r="D198" s="6">
        <f>(-300000+SUMIFS('13_DIARIO'!J$2:J$1443,'13_DIARIO'!C$2:C$1443,B198,'13_DIARIO'!B$2:B$1443,"&lt;="&amp;A198))*-1</f>
        <v>608280.0</v>
      </c>
      <c r="E198" s="6">
        <f>'12_MODELO'!AD18</f>
        <v>608280.0</v>
      </c>
      <c r="F198" s="6">
        <f>D198-E198</f>
        <v>0.0</v>
      </c>
    </row>
    <row r="199" spans="1:6">
      <c r="A199" s="5">
        <v>45778</v>
      </c>
      <c r="B199" t="s">
        <v>162</v>
      </c>
      <c r="C199" t="s">
        <v>88</v>
      </c>
      <c r="D199" s="6">
        <f>(-550000+SUMIFS('13_DIARIO'!J$2:J$1443,'13_DIARIO'!C$2:C$1443,B199,'13_DIARIO'!B$2:B$1443,"&lt;="&amp;A199))*-1</f>
        <v>1157121.4666666666</v>
      </c>
      <c r="E199" s="6">
        <f>'12_MODELO'!X18</f>
        <v>1157121.4666666666</v>
      </c>
      <c r="F199" s="6">
        <f>D199-E199</f>
        <v>0.0</v>
      </c>
    </row>
    <row r="200" spans="1:6">
      <c r="A200" s="5">
        <v>45778</v>
      </c>
      <c r="B200" t="s">
        <v>169</v>
      </c>
      <c r="C200" t="s">
        <v>89</v>
      </c>
      <c r="D200" s="6">
        <f>(-40000+SUMIFS('13_DIARIO'!J$2:J$1443,'13_DIARIO'!C$2:C$1443,B200,'13_DIARIO'!B$2:B$1443,"&lt;="&amp;A200))*-1</f>
        <v>21185.0</v>
      </c>
      <c r="E200" s="6">
        <f>'12_MODELO'!Y18</f>
        <v>21185.0</v>
      </c>
      <c r="F200" s="6">
        <f>D200-E200</f>
        <v>0.0</v>
      </c>
    </row>
    <row r="201" spans="1:6">
      <c r="A201" s="5">
        <v>45778</v>
      </c>
      <c r="B201" t="s">
        <v>156</v>
      </c>
      <c r="C201" t="s">
        <v>90</v>
      </c>
      <c r="D201" s="6">
        <f>(-80000+SUMIFS('13_DIARIO'!J$2:J$1443,'13_DIARIO'!C$2:C$1443,B201,'13_DIARIO'!B$2:B$1443,"&lt;="&amp;A201))*-1</f>
        <v>123222.67505</v>
      </c>
      <c r="E201" s="6">
        <f>'12_MODELO'!Z18</f>
        <v>123222.67505</v>
      </c>
      <c r="F201" s="6">
        <f>D201-E201</f>
        <v>0.0</v>
      </c>
    </row>
    <row r="202" spans="1:6">
      <c r="A202" s="5">
        <v>45778</v>
      </c>
      <c r="B202" t="s">
        <v>197</v>
      </c>
      <c r="C202" t="s">
        <v>91</v>
      </c>
      <c r="D202" s="6">
        <f>(-50000+SUMIFS('13_DIARIO'!J$2:J$1443,'13_DIARIO'!C$2:C$1443,B202,'13_DIARIO'!B$2:B$1443,"&lt;="&amp;A202))*-1</f>
        <v>10447.212283000032</v>
      </c>
      <c r="E202" s="6">
        <f>'12_MODELO'!AA18</f>
        <v>10447.21228300002</v>
      </c>
      <c r="F202" s="6">
        <f>D202-E202</f>
        <v>1.0913936421275139e-11</v>
      </c>
    </row>
    <row r="203" spans="1:6">
      <c r="A203" s="5">
        <v>45778</v>
      </c>
      <c r="B203" t="s">
        <v>212</v>
      </c>
      <c r="C203" t="s">
        <v>94</v>
      </c>
      <c r="D203" s="6">
        <f>(-800000+SUMIFS('13_DIARIO'!J$2:J$1443,'13_DIARIO'!C$2:C$1443,B203,'13_DIARIO'!B$2:B$1443,"&lt;="&amp;A203))*-1</f>
        <v>844000.0</v>
      </c>
      <c r="E203" s="6">
        <f>'12_MODELO'!AG18</f>
        <v>844000.0</v>
      </c>
      <c r="F203" s="6">
        <f>D203-E203</f>
        <v>0.0</v>
      </c>
    </row>
    <row r="204" spans="1:6">
      <c r="A204" s="5">
        <v>45778</v>
      </c>
      <c r="B204" t="s">
        <v>925</v>
      </c>
      <c r="C204" t="s">
        <v>95</v>
      </c>
      <c r="D204" s="6">
        <f>(-3900000+SUMIFS('13_DIARIO'!J$2:J$1443,'13_DIARIO'!C$2:C$1443,B204,'13_DIARIO'!B$2:B$1443,"&lt;="&amp;A204))*-1</f>
        <v>3900000</v>
      </c>
      <c r="E204" s="6">
        <f>'12_MODELO'!AI18</f>
        <v>3900000.0</v>
      </c>
      <c r="F204" s="6">
        <f>D204-E204</f>
        <v>0.0</v>
      </c>
    </row>
    <row r="205" spans="1:6">
      <c r="A205" s="5">
        <v>45778</v>
      </c>
      <c r="B205" t="s">
        <v>217</v>
      </c>
      <c r="C205" t="s">
        <v>96</v>
      </c>
      <c r="D205" s="6">
        <f>(-380000+SUMIFS('13_DIARIO'!J$2:J$1443,'13_DIARIO'!C$2:C$1443,B205,'13_DIARIO'!B$2:B$1443,"&lt;="&amp;A205))*-1</f>
        <v>943280.5946239994</v>
      </c>
      <c r="E205" s="6">
        <f>'12_MODELO'!AJ18</f>
        <v>943280.5946240005</v>
      </c>
      <c r="F205" s="6">
        <f>D205-E205</f>
        <v>-1.0477378964424133e-09</v>
      </c>
    </row>
    <row r="206" spans="1:6">
      <c r="A206" s="5">
        <v>45809</v>
      </c>
      <c r="B206" t="s">
        <v>173</v>
      </c>
      <c r="C206" t="s">
        <v>85</v>
      </c>
      <c r="D206" s="6">
        <f>(3000000+SUMIFS('13_DIARIO'!J$2:J$1443,'13_DIARIO'!C$2:C$1443,B206,'13_DIARIO'!B$2:B$1443,"&lt;="&amp;A206))*1</f>
        <v>1375665.142290671</v>
      </c>
      <c r="E206" s="6">
        <f>'12_MODELO'!AV19</f>
        <v>1375665.142290667</v>
      </c>
      <c r="F206" s="6">
        <f>D206-E206</f>
        <v>3.958120942115784e-09</v>
      </c>
    </row>
    <row r="207" spans="1:6">
      <c r="A207" s="5">
        <v>45809</v>
      </c>
      <c r="B207" t="s">
        <v>146</v>
      </c>
      <c r="C207" t="s">
        <v>86</v>
      </c>
      <c r="D207" s="6">
        <f>(900000+SUMIFS('13_DIARIO'!J$2:J$1443,'13_DIARIO'!C$2:C$1443,B207,'13_DIARIO'!B$2:B$1443,"&lt;="&amp;A207))*1</f>
        <v>2304818.853</v>
      </c>
      <c r="E207" s="6">
        <f>'12_MODELO'!U19</f>
        <v>2304818.853</v>
      </c>
      <c r="F207" s="6">
        <f>D207-E207</f>
        <v>0.0</v>
      </c>
    </row>
    <row r="208" spans="1:6">
      <c r="A208" s="5">
        <v>45809</v>
      </c>
      <c r="B208" t="s">
        <v>159</v>
      </c>
      <c r="C208" t="s">
        <v>87</v>
      </c>
      <c r="D208" s="6">
        <f>(700000+SUMIFS('13_DIARIO'!J$2:J$1443,'13_DIARIO'!C$2:C$1443,B208,'13_DIARIO'!B$2:B$1443,"&lt;="&amp;A208))*1</f>
        <v>1745830.5626666658</v>
      </c>
      <c r="E208" s="6">
        <f>'12_MODELO'!V19</f>
        <v>1745830.5626666665</v>
      </c>
      <c r="F208" s="6">
        <f>D208-E208</f>
        <v>-6.984919309616089e-10</v>
      </c>
    </row>
    <row r="209" spans="1:6">
      <c r="A209" s="5">
        <v>45809</v>
      </c>
      <c r="B209" t="s">
        <v>208</v>
      </c>
      <c r="C209" t="s">
        <v>92</v>
      </c>
      <c r="D209" s="6">
        <f>(1500000+SUMIFS('13_DIARIO'!J$2:J$1443,'13_DIARIO'!C$2:C$1443,B209,'13_DIARIO'!B$2:B$1443,"&lt;="&amp;A209))*1</f>
        <v>2256000.0</v>
      </c>
      <c r="E209" s="6">
        <f>'12_MODELO'!AC19</f>
        <v>2256000.0</v>
      </c>
      <c r="F209" s="6">
        <f>D209-E209</f>
        <v>0.0</v>
      </c>
    </row>
    <row r="210" spans="1:6">
      <c r="A210" s="5">
        <v>45809</v>
      </c>
      <c r="B210" t="s">
        <v>188</v>
      </c>
      <c r="C210" t="s">
        <v>93</v>
      </c>
      <c r="D210" s="6">
        <f>(-300000+SUMIFS('13_DIARIO'!J$2:J$1443,'13_DIARIO'!C$2:C$1443,B210,'13_DIARIO'!B$2:B$1443,"&lt;="&amp;A210))*-1</f>
        <v>629940.0</v>
      </c>
      <c r="E210" s="6">
        <f>'12_MODELO'!AD19</f>
        <v>629940.0</v>
      </c>
      <c r="F210" s="6">
        <f>D210-E210</f>
        <v>0.0</v>
      </c>
    </row>
    <row r="211" spans="1:6">
      <c r="A211" s="5">
        <v>45809</v>
      </c>
      <c r="B211" t="s">
        <v>162</v>
      </c>
      <c r="C211" t="s">
        <v>88</v>
      </c>
      <c r="D211" s="6">
        <f>(-550000+SUMIFS('13_DIARIO'!J$2:J$1443,'13_DIARIO'!C$2:C$1443,B211,'13_DIARIO'!B$2:B$1443,"&lt;="&amp;A211))*-1</f>
        <v>1175078.2633333332</v>
      </c>
      <c r="E211" s="6">
        <f>'12_MODELO'!X19</f>
        <v>1175078.2633333332</v>
      </c>
      <c r="F211" s="6">
        <f>D211-E211</f>
        <v>0.0</v>
      </c>
    </row>
    <row r="212" spans="1:6">
      <c r="A212" s="5">
        <v>45809</v>
      </c>
      <c r="B212" t="s">
        <v>169</v>
      </c>
      <c r="C212" t="s">
        <v>89</v>
      </c>
      <c r="D212" s="6">
        <f>(-40000+SUMIFS('13_DIARIO'!J$2:J$1443,'13_DIARIO'!C$2:C$1443,B212,'13_DIARIO'!B$2:B$1443,"&lt;="&amp;A212))*-1</f>
        <v>21185.0</v>
      </c>
      <c r="E212" s="6">
        <f>'12_MODELO'!Y19</f>
        <v>21185.0</v>
      </c>
      <c r="F212" s="6">
        <f>D212-E212</f>
        <v>0.0</v>
      </c>
    </row>
    <row r="213" spans="1:6">
      <c r="A213" s="5">
        <v>45809</v>
      </c>
      <c r="B213" t="s">
        <v>156</v>
      </c>
      <c r="C213" t="s">
        <v>90</v>
      </c>
      <c r="D213" s="6">
        <f>(-80000+SUMIFS('13_DIARIO'!J$2:J$1443,'13_DIARIO'!C$2:C$1443,B213,'13_DIARIO'!B$2:B$1443,"&lt;="&amp;A213))*-1</f>
        <v>125048.68245000001</v>
      </c>
      <c r="E213" s="6">
        <f>'12_MODELO'!Z19</f>
        <v>125048.68245000001</v>
      </c>
      <c r="F213" s="6">
        <f>D213-E213</f>
        <v>0.0</v>
      </c>
    </row>
    <row r="214" spans="1:6">
      <c r="A214" s="5">
        <v>45809</v>
      </c>
      <c r="B214" t="s">
        <v>197</v>
      </c>
      <c r="C214" t="s">
        <v>91</v>
      </c>
      <c r="D214" s="6">
        <f>(-50000+SUMIFS('13_DIARIO'!J$2:J$1443,'13_DIARIO'!C$2:C$1443,B214,'13_DIARIO'!B$2:B$1443,"&lt;="&amp;A214))*-1</f>
        <v>21005.885967000024</v>
      </c>
      <c r="E214" s="6">
        <f>'12_MODELO'!AA19</f>
        <v>21005.885967000017</v>
      </c>
      <c r="F214" s="6">
        <f>D214-E214</f>
        <v>7.275957614183426e-12</v>
      </c>
    </row>
    <row r="215" spans="1:6">
      <c r="A215" s="5">
        <v>45809</v>
      </c>
      <c r="B215" t="s">
        <v>212</v>
      </c>
      <c r="C215" t="s">
        <v>94</v>
      </c>
      <c r="D215" s="6">
        <f>(-800000+SUMIFS('13_DIARIO'!J$2:J$1443,'13_DIARIO'!C$2:C$1443,B215,'13_DIARIO'!B$2:B$1443,"&lt;="&amp;A215))*-1</f>
        <v>826000.0</v>
      </c>
      <c r="E215" s="6">
        <f>'12_MODELO'!AG19</f>
        <v>826000.0</v>
      </c>
      <c r="F215" s="6">
        <f>D215-E215</f>
        <v>0.0</v>
      </c>
    </row>
    <row r="216" spans="1:6">
      <c r="A216" s="5">
        <v>45809</v>
      </c>
      <c r="B216" t="s">
        <v>925</v>
      </c>
      <c r="C216" t="s">
        <v>95</v>
      </c>
      <c r="D216" s="6">
        <f>(-3900000+SUMIFS('13_DIARIO'!J$2:J$1443,'13_DIARIO'!C$2:C$1443,B216,'13_DIARIO'!B$2:B$1443,"&lt;="&amp;A216))*-1</f>
        <v>3900000</v>
      </c>
      <c r="E216" s="6">
        <f>'12_MODELO'!AI19</f>
        <v>3900000.0</v>
      </c>
      <c r="F216" s="6">
        <f>D216-E216</f>
        <v>0.0</v>
      </c>
    </row>
    <row r="217" spans="1:6">
      <c r="A217" s="5">
        <v>45809</v>
      </c>
      <c r="B217" t="s">
        <v>217</v>
      </c>
      <c r="C217" t="s">
        <v>96</v>
      </c>
      <c r="D217" s="6">
        <f>(-380000+SUMIFS('13_DIARIO'!J$2:J$1443,'13_DIARIO'!C$2:C$1443,B217,'13_DIARIO'!B$2:B$1443,"&lt;="&amp;A217))*-1</f>
        <v>984056.7262069992</v>
      </c>
      <c r="E217" s="6">
        <f>'12_MODELO'!AJ19</f>
        <v>984056.7262070006</v>
      </c>
      <c r="F217" s="6">
        <f>D217-E217</f>
        <v>-1.3969838619232178e-09</v>
      </c>
    </row>
    <row r="218" spans="1:6">
      <c r="A218" s="5">
        <v>45839</v>
      </c>
      <c r="B218" t="s">
        <v>173</v>
      </c>
      <c r="C218" t="s">
        <v>85</v>
      </c>
      <c r="D218" s="6">
        <f>(3000000+SUMIFS('13_DIARIO'!J$2:J$1443,'13_DIARIO'!C$2:C$1443,B218,'13_DIARIO'!B$2:B$1443,"&lt;="&amp;A218))*1</f>
        <v>1060377.6342070044</v>
      </c>
      <c r="E218" s="6">
        <f>'12_MODELO'!AV20</f>
        <v>1060377.6342070003</v>
      </c>
      <c r="F218" s="6">
        <f>D218-E218</f>
        <v>4.190951585769653e-09</v>
      </c>
    </row>
    <row r="219" spans="1:6">
      <c r="A219" s="5">
        <v>45839</v>
      </c>
      <c r="B219" t="s">
        <v>146</v>
      </c>
      <c r="C219" t="s">
        <v>86</v>
      </c>
      <c r="D219" s="6">
        <f>(900000+SUMIFS('13_DIARIO'!J$2:J$1443,'13_DIARIO'!C$2:C$1443,B219,'13_DIARIO'!B$2:B$1443,"&lt;="&amp;A219))*1</f>
        <v>2414624.96</v>
      </c>
      <c r="E219" s="6">
        <f>'12_MODELO'!U20</f>
        <v>2414624.96</v>
      </c>
      <c r="F219" s="6">
        <f>D219-E219</f>
        <v>0.0</v>
      </c>
    </row>
    <row r="220" spans="1:6">
      <c r="A220" s="5">
        <v>45839</v>
      </c>
      <c r="B220" t="s">
        <v>159</v>
      </c>
      <c r="C220" t="s">
        <v>87</v>
      </c>
      <c r="D220" s="6">
        <f>(700000+SUMIFS('13_DIARIO'!J$2:J$1443,'13_DIARIO'!C$2:C$1443,B220,'13_DIARIO'!B$2:B$1443,"&lt;="&amp;A220))*1</f>
        <v>1694841.6719999989</v>
      </c>
      <c r="E220" s="6">
        <f>'12_MODELO'!V20</f>
        <v>1694841.672</v>
      </c>
      <c r="F220" s="6">
        <f>D220-E220</f>
        <v>-1.1641532182693481e-09</v>
      </c>
    </row>
    <row r="221" spans="1:6">
      <c r="A221" s="5">
        <v>45839</v>
      </c>
      <c r="B221" t="s">
        <v>208</v>
      </c>
      <c r="C221" t="s">
        <v>92</v>
      </c>
      <c r="D221" s="6">
        <f>(1500000+SUMIFS('13_DIARIO'!J$2:J$1443,'13_DIARIO'!C$2:C$1443,B221,'13_DIARIO'!B$2:B$1443,"&lt;="&amp;A221))*1</f>
        <v>2274000.0</v>
      </c>
      <c r="E221" s="6">
        <f>'12_MODELO'!AC20</f>
        <v>2274000.0</v>
      </c>
      <c r="F221" s="6">
        <f>D221-E221</f>
        <v>0.0</v>
      </c>
    </row>
    <row r="222" spans="1:6">
      <c r="A222" s="5">
        <v>45839</v>
      </c>
      <c r="B222" t="s">
        <v>188</v>
      </c>
      <c r="C222" t="s">
        <v>93</v>
      </c>
      <c r="D222" s="6">
        <f>(-300000+SUMIFS('13_DIARIO'!J$2:J$1443,'13_DIARIO'!C$2:C$1443,B222,'13_DIARIO'!B$2:B$1443,"&lt;="&amp;A222))*-1</f>
        <v>652500.0</v>
      </c>
      <c r="E222" s="6">
        <f>'12_MODELO'!AD20</f>
        <v>652500.0</v>
      </c>
      <c r="F222" s="6">
        <f>D222-E222</f>
        <v>0.0</v>
      </c>
    </row>
    <row r="223" spans="1:6">
      <c r="A223" s="5">
        <v>45839</v>
      </c>
      <c r="B223" t="s">
        <v>162</v>
      </c>
      <c r="C223" t="s">
        <v>88</v>
      </c>
      <c r="D223" s="6">
        <f>(-550000+SUMIFS('13_DIARIO'!J$2:J$1443,'13_DIARIO'!C$2:C$1443,B223,'13_DIARIO'!B$2:B$1443,"&lt;="&amp;A223))*-1</f>
        <v>956765.4600000001</v>
      </c>
      <c r="E223" s="6">
        <f>'12_MODELO'!X20</f>
        <v>956765.4600000001</v>
      </c>
      <c r="F223" s="6">
        <f>D223-E223</f>
        <v>0.0</v>
      </c>
    </row>
    <row r="224" spans="1:6">
      <c r="A224" s="5">
        <v>45839</v>
      </c>
      <c r="B224" t="s">
        <v>169</v>
      </c>
      <c r="C224" t="s">
        <v>89</v>
      </c>
      <c r="D224" s="6">
        <f>(-40000+SUMIFS('13_DIARIO'!J$2:J$1443,'13_DIARIO'!C$2:C$1443,B224,'13_DIARIO'!B$2:B$1443,"&lt;="&amp;A224))*-1</f>
        <v>22032.399999999994</v>
      </c>
      <c r="E224" s="6">
        <f>'12_MODELO'!Y20</f>
        <v>22032.4</v>
      </c>
      <c r="F224" s="6">
        <f>D224-E224</f>
        <v>-7.275957614183426e-12</v>
      </c>
    </row>
    <row r="225" spans="1:6">
      <c r="A225" s="5">
        <v>45839</v>
      </c>
      <c r="B225" t="s">
        <v>156</v>
      </c>
      <c r="C225" t="s">
        <v>90</v>
      </c>
      <c r="D225" s="6">
        <f>(-80000+SUMIFS('13_DIARIO'!J$2:J$1443,'13_DIARIO'!C$2:C$1443,B225,'13_DIARIO'!B$2:B$1443,"&lt;="&amp;A225))*-1</f>
        <v>102621.5608</v>
      </c>
      <c r="E225" s="6">
        <f>'12_MODELO'!Z20</f>
        <v>102621.5608</v>
      </c>
      <c r="F225" s="6">
        <f>D225-E225</f>
        <v>0.0</v>
      </c>
    </row>
    <row r="226" spans="1:6">
      <c r="A226" s="5">
        <v>45839</v>
      </c>
      <c r="B226" t="s">
        <v>197</v>
      </c>
      <c r="C226" t="s">
        <v>91</v>
      </c>
      <c r="D226" s="6">
        <f>(-50000+SUMIFS('13_DIARIO'!J$2:J$1443,'13_DIARIO'!C$2:C$1443,B226,'13_DIARIO'!B$2:B$1443,"&lt;="&amp;A226))*-1</f>
        <v>6075.160527999953</v>
      </c>
      <c r="E226" s="6">
        <f>'12_MODELO'!AA20</f>
        <v>6075.160527999947</v>
      </c>
      <c r="F226" s="6">
        <f>D226-E226</f>
        <v>6.366462912410498e-12</v>
      </c>
    </row>
    <row r="227" spans="1:6">
      <c r="A227" s="5">
        <v>45839</v>
      </c>
      <c r="B227" t="s">
        <v>212</v>
      </c>
      <c r="C227" t="s">
        <v>94</v>
      </c>
      <c r="D227" s="6">
        <f>(-800000+SUMIFS('13_DIARIO'!J$2:J$1443,'13_DIARIO'!C$2:C$1443,B227,'13_DIARIO'!B$2:B$1443,"&lt;="&amp;A227))*-1</f>
        <v>808000.0</v>
      </c>
      <c r="E227" s="6">
        <f>'12_MODELO'!AG20</f>
        <v>808000.0</v>
      </c>
      <c r="F227" s="6">
        <f>D227-E227</f>
        <v>0.0</v>
      </c>
    </row>
    <row r="228" spans="1:6">
      <c r="A228" s="5">
        <v>45839</v>
      </c>
      <c r="B228" t="s">
        <v>925</v>
      </c>
      <c r="C228" t="s">
        <v>95</v>
      </c>
      <c r="D228" s="6">
        <f>(-3900000+SUMIFS('13_DIARIO'!J$2:J$1443,'13_DIARIO'!C$2:C$1443,B228,'13_DIARIO'!B$2:B$1443,"&lt;="&amp;A228))*-1</f>
        <v>3900000</v>
      </c>
      <c r="E228" s="6">
        <f>'12_MODELO'!AI20</f>
        <v>3900000.0</v>
      </c>
      <c r="F228" s="6">
        <f>D228-E228</f>
        <v>0.0</v>
      </c>
    </row>
    <row r="229" spans="1:6">
      <c r="A229" s="5">
        <v>45839</v>
      </c>
      <c r="B229" t="s">
        <v>217</v>
      </c>
      <c r="C229" t="s">
        <v>96</v>
      </c>
      <c r="D229" s="6">
        <f>(-380000+SUMIFS('13_DIARIO'!J$2:J$1443,'13_DIARIO'!C$2:C$1443,B229,'13_DIARIO'!B$2:B$1443,"&lt;="&amp;A229))*-1</f>
        <v>995849.684878999</v>
      </c>
      <c r="E229" s="6">
        <f>'12_MODELO'!AJ20</f>
        <v>995849.6848790004</v>
      </c>
      <c r="F229" s="6">
        <f>D229-E229</f>
        <v>-1.3969838619232178e-09</v>
      </c>
    </row>
    <row r="230" spans="1:6">
      <c r="A230" s="5">
        <v>45870</v>
      </c>
      <c r="B230" t="s">
        <v>173</v>
      </c>
      <c r="C230" t="s">
        <v>85</v>
      </c>
      <c r="D230" s="6">
        <f>(3000000+SUMIFS('13_DIARIO'!J$2:J$1443,'13_DIARIO'!C$2:C$1443,B230,'13_DIARIO'!B$2:B$1443,"&lt;="&amp;A230))*1</f>
        <v>842526.8548790044</v>
      </c>
      <c r="E230" s="6">
        <f>'12_MODELO'!AV21</f>
        <v>842526.8548790005</v>
      </c>
      <c r="F230" s="6">
        <f>D230-E230</f>
        <v>3.958120942115784e-09</v>
      </c>
    </row>
    <row r="231" spans="1:6">
      <c r="A231" s="5">
        <v>45870</v>
      </c>
      <c r="B231" t="s">
        <v>146</v>
      </c>
      <c r="C231" t="s">
        <v>86</v>
      </c>
      <c r="D231" s="6">
        <f>(900000+SUMIFS('13_DIARIO'!J$2:J$1443,'13_DIARIO'!C$2:C$1443,B231,'13_DIARIO'!B$2:B$1443,"&lt;="&amp;A231))*1</f>
        <v>2597289.68</v>
      </c>
      <c r="E231" s="6">
        <f>'12_MODELO'!U21</f>
        <v>2597289.68</v>
      </c>
      <c r="F231" s="6">
        <f>D231-E231</f>
        <v>0.0</v>
      </c>
    </row>
    <row r="232" spans="1:6">
      <c r="A232" s="5">
        <v>45870</v>
      </c>
      <c r="B232" t="s">
        <v>159</v>
      </c>
      <c r="C232" t="s">
        <v>87</v>
      </c>
      <c r="D232" s="6">
        <f>(700000+SUMIFS('13_DIARIO'!J$2:J$1443,'13_DIARIO'!C$2:C$1443,B232,'13_DIARIO'!B$2:B$1443,"&lt;="&amp;A232))*1</f>
        <v>1825139.6733333315</v>
      </c>
      <c r="E232" s="6">
        <f>'12_MODELO'!V21</f>
        <v>1825139.673333333</v>
      </c>
      <c r="F232" s="6">
        <f>D232-E232</f>
        <v>-1.6298145055770874e-09</v>
      </c>
    </row>
    <row r="233" spans="1:6">
      <c r="A233" s="5">
        <v>45870</v>
      </c>
      <c r="B233" t="s">
        <v>208</v>
      </c>
      <c r="C233" t="s">
        <v>92</v>
      </c>
      <c r="D233" s="6">
        <f>(1500000+SUMIFS('13_DIARIO'!J$2:J$1443,'13_DIARIO'!C$2:C$1443,B233,'13_DIARIO'!B$2:B$1443,"&lt;="&amp;A233))*1</f>
        <v>2292000.0</v>
      </c>
      <c r="E233" s="6">
        <f>'12_MODELO'!AC21</f>
        <v>2292000.0</v>
      </c>
      <c r="F233" s="6">
        <f>D233-E233</f>
        <v>0.0</v>
      </c>
    </row>
    <row r="234" spans="1:6">
      <c r="A234" s="5">
        <v>45870</v>
      </c>
      <c r="B234" t="s">
        <v>188</v>
      </c>
      <c r="C234" t="s">
        <v>93</v>
      </c>
      <c r="D234" s="6">
        <f>(-300000+SUMIFS('13_DIARIO'!J$2:J$1443,'13_DIARIO'!C$2:C$1443,B234,'13_DIARIO'!B$2:B$1443,"&lt;="&amp;A234))*-1</f>
        <v>675240.0</v>
      </c>
      <c r="E234" s="6">
        <f>'12_MODELO'!AD21</f>
        <v>675240.0</v>
      </c>
      <c r="F234" s="6">
        <f>D234-E234</f>
        <v>0.0</v>
      </c>
    </row>
    <row r="235" spans="1:6">
      <c r="A235" s="5">
        <v>45870</v>
      </c>
      <c r="B235" t="s">
        <v>162</v>
      </c>
      <c r="C235" t="s">
        <v>88</v>
      </c>
      <c r="D235" s="6">
        <f>(-550000+SUMIFS('13_DIARIO'!J$2:J$1443,'13_DIARIO'!C$2:C$1443,B235,'13_DIARIO'!B$2:B$1443,"&lt;="&amp;A235))*-1</f>
        <v>1030320.7833333333</v>
      </c>
      <c r="E235" s="6">
        <f>'12_MODELO'!X21</f>
        <v>1030320.7833333333</v>
      </c>
      <c r="F235" s="6">
        <f>D235-E235</f>
        <v>0.0</v>
      </c>
    </row>
    <row r="236" spans="1:6">
      <c r="A236" s="5">
        <v>45870</v>
      </c>
      <c r="B236" t="s">
        <v>169</v>
      </c>
      <c r="C236" t="s">
        <v>89</v>
      </c>
      <c r="D236" s="6">
        <f>(-40000+SUMIFS('13_DIARIO'!J$2:J$1443,'13_DIARIO'!C$2:C$1443,B236,'13_DIARIO'!B$2:B$1443,"&lt;="&amp;A236))*-1</f>
        <v>22032.399999999994</v>
      </c>
      <c r="E236" s="6">
        <f>'12_MODELO'!Y21</f>
        <v>22032.4</v>
      </c>
      <c r="F236" s="6">
        <f>D236-E236</f>
        <v>-7.275957614183426e-12</v>
      </c>
    </row>
    <row r="237" spans="1:6">
      <c r="A237" s="5">
        <v>45870</v>
      </c>
      <c r="B237" t="s">
        <v>156</v>
      </c>
      <c r="C237" t="s">
        <v>90</v>
      </c>
      <c r="D237" s="6">
        <f>(-80000+SUMIFS('13_DIARIO'!J$2:J$1443,'13_DIARIO'!C$2:C$1443,B237,'13_DIARIO'!B$2:B$1443,"&lt;="&amp;A237))*-1</f>
        <v>110384.81140000002</v>
      </c>
      <c r="E237" s="6">
        <f>'12_MODELO'!Z21</f>
        <v>110384.81140000002</v>
      </c>
      <c r="F237" s="6">
        <f>D237-E237</f>
        <v>0.0</v>
      </c>
    </row>
    <row r="238" spans="1:6">
      <c r="A238" s="5">
        <v>45870</v>
      </c>
      <c r="B238" t="s">
        <v>197</v>
      </c>
      <c r="C238" t="s">
        <v>91</v>
      </c>
      <c r="D238" s="6">
        <f>(-50000+SUMIFS('13_DIARIO'!J$2:J$1443,'13_DIARIO'!C$2:C$1443,B238,'13_DIARIO'!B$2:B$1443,"&lt;="&amp;A238))*-1</f>
        <v>11263.699724000044</v>
      </c>
      <c r="E238" s="6">
        <f>'12_MODELO'!AA21</f>
        <v>11263.699724000036</v>
      </c>
      <c r="F238" s="6">
        <f>D238-E238</f>
        <v>7.275957614183426e-12</v>
      </c>
    </row>
    <row r="239" spans="1:6">
      <c r="A239" s="5">
        <v>45870</v>
      </c>
      <c r="B239" t="s">
        <v>212</v>
      </c>
      <c r="C239" t="s">
        <v>94</v>
      </c>
      <c r="D239" s="6">
        <f>(-800000+SUMIFS('13_DIARIO'!J$2:J$1443,'13_DIARIO'!C$2:C$1443,B239,'13_DIARIO'!B$2:B$1443,"&lt;="&amp;A239))*-1</f>
        <v>790000.0</v>
      </c>
      <c r="E239" s="6">
        <f>'12_MODELO'!AG21</f>
        <v>790000.0</v>
      </c>
      <c r="F239" s="6">
        <f>D239-E239</f>
        <v>0.0</v>
      </c>
    </row>
    <row r="240" spans="1:6">
      <c r="A240" s="5">
        <v>45870</v>
      </c>
      <c r="B240" t="s">
        <v>925</v>
      </c>
      <c r="C240" t="s">
        <v>95</v>
      </c>
      <c r="D240" s="6">
        <f>(-3900000+SUMIFS('13_DIARIO'!J$2:J$1443,'13_DIARIO'!C$2:C$1443,B240,'13_DIARIO'!B$2:B$1443,"&lt;="&amp;A240))*-1</f>
        <v>3900000</v>
      </c>
      <c r="E240" s="6">
        <f>'12_MODELO'!AI21</f>
        <v>3900000.0</v>
      </c>
      <c r="F240" s="6">
        <f>D240-E240</f>
        <v>0.0</v>
      </c>
    </row>
    <row r="241" spans="1:6">
      <c r="A241" s="5">
        <v>45870</v>
      </c>
      <c r="B241" t="s">
        <v>217</v>
      </c>
      <c r="C241" t="s">
        <v>96</v>
      </c>
      <c r="D241" s="6">
        <f>(-380000+SUMIFS('13_DIARIO'!J$2:J$1443,'13_DIARIO'!C$2:C$1443,B241,'13_DIARIO'!B$2:B$1443,"&lt;="&amp;A241))*-1</f>
        <v>1017714.5137549991</v>
      </c>
      <c r="E241" s="6">
        <f>'12_MODELO'!AJ21</f>
        <v>1017714.5137550004</v>
      </c>
      <c r="F241" s="6">
        <f>D241-E241</f>
        <v>-1.280568540096283e-09</v>
      </c>
    </row>
    <row r="242" spans="1:6">
      <c r="A242" s="5">
        <v>45901</v>
      </c>
      <c r="B242" t="s">
        <v>173</v>
      </c>
      <c r="C242" t="s">
        <v>85</v>
      </c>
      <c r="D242" s="6">
        <f>(3000000+SUMIFS('13_DIARIO'!J$2:J$1443,'13_DIARIO'!C$2:C$1443,B242,'13_DIARIO'!B$2:B$1443,"&lt;="&amp;A242))*1</f>
        <v>577513.7557550041</v>
      </c>
      <c r="E242" s="6">
        <f>'12_MODELO'!AV22</f>
        <v>577513.7557550005</v>
      </c>
      <c r="F242" s="6">
        <f>D242-E242</f>
        <v>3.6088749766349792e-09</v>
      </c>
    </row>
    <row r="243" spans="1:6">
      <c r="A243" s="5">
        <v>45901</v>
      </c>
      <c r="B243" t="s">
        <v>146</v>
      </c>
      <c r="C243" t="s">
        <v>86</v>
      </c>
      <c r="D243" s="6">
        <f>(900000+SUMIFS('13_DIARIO'!J$2:J$1443,'13_DIARIO'!C$2:C$1443,B243,'13_DIARIO'!B$2:B$1443,"&lt;="&amp;A243))*1</f>
        <v>2770622.7</v>
      </c>
      <c r="E243" s="6">
        <f>'12_MODELO'!U22</f>
        <v>2770622.7</v>
      </c>
      <c r="F243" s="6">
        <f>D243-E243</f>
        <v>0.0</v>
      </c>
    </row>
    <row r="244" spans="1:6">
      <c r="A244" s="5">
        <v>45901</v>
      </c>
      <c r="B244" t="s">
        <v>159</v>
      </c>
      <c r="C244" t="s">
        <v>87</v>
      </c>
      <c r="D244" s="6">
        <f>(700000+SUMIFS('13_DIARIO'!J$2:J$1443,'13_DIARIO'!C$2:C$1443,B244,'13_DIARIO'!B$2:B$1443,"&lt;="&amp;A244))*1</f>
        <v>1944941.901333332</v>
      </c>
      <c r="E244" s="6">
        <f>'12_MODELO'!V22</f>
        <v>1944941.9013333332</v>
      </c>
      <c r="F244" s="6">
        <f>D244-E244</f>
        <v>-1.1641532182693481e-09</v>
      </c>
    </row>
    <row r="245" spans="1:6">
      <c r="A245" s="5">
        <v>45901</v>
      </c>
      <c r="B245" t="s">
        <v>208</v>
      </c>
      <c r="C245" t="s">
        <v>92</v>
      </c>
      <c r="D245" s="6">
        <f>(1500000+SUMIFS('13_DIARIO'!J$2:J$1443,'13_DIARIO'!C$2:C$1443,B245,'13_DIARIO'!B$2:B$1443,"&lt;="&amp;A245))*1</f>
        <v>2382000.0</v>
      </c>
      <c r="E245" s="6">
        <f>'12_MODELO'!AC22</f>
        <v>2382000.0</v>
      </c>
      <c r="F245" s="6">
        <f>D245-E245</f>
        <v>0.0</v>
      </c>
    </row>
    <row r="246" spans="1:6">
      <c r="A246" s="5">
        <v>45901</v>
      </c>
      <c r="B246" t="s">
        <v>188</v>
      </c>
      <c r="C246" t="s">
        <v>93</v>
      </c>
      <c r="D246" s="6">
        <f>(-300000+SUMIFS('13_DIARIO'!J$2:J$1443,'13_DIARIO'!C$2:C$1443,B246,'13_DIARIO'!B$2:B$1443,"&lt;="&amp;A246))*-1</f>
        <v>698160.0</v>
      </c>
      <c r="E246" s="6">
        <f>'12_MODELO'!AD22</f>
        <v>698160.0</v>
      </c>
      <c r="F246" s="6">
        <f>D246-E246</f>
        <v>0.0</v>
      </c>
    </row>
    <row r="247" spans="1:6">
      <c r="A247" s="5">
        <v>45901</v>
      </c>
      <c r="B247" t="s">
        <v>162</v>
      </c>
      <c r="C247" t="s">
        <v>88</v>
      </c>
      <c r="D247" s="6">
        <f>(-550000+SUMIFS('13_DIARIO'!J$2:J$1443,'13_DIARIO'!C$2:C$1443,B247,'13_DIARIO'!B$2:B$1443,"&lt;="&amp;A247))*-1</f>
        <v>1097951.0733333335</v>
      </c>
      <c r="E247" s="6">
        <f>'12_MODELO'!X22</f>
        <v>1097951.0733333335</v>
      </c>
      <c r="F247" s="6">
        <f>D247-E247</f>
        <v>0.0</v>
      </c>
    </row>
    <row r="248" spans="1:6">
      <c r="A248" s="5">
        <v>45901</v>
      </c>
      <c r="B248" t="s">
        <v>169</v>
      </c>
      <c r="C248" t="s">
        <v>89</v>
      </c>
      <c r="D248" s="6">
        <f>(-40000+SUMIFS('13_DIARIO'!J$2:J$1443,'13_DIARIO'!C$2:C$1443,B248,'13_DIARIO'!B$2:B$1443,"&lt;="&amp;A248))*-1</f>
        <v>22032.399999999994</v>
      </c>
      <c r="E248" s="6">
        <f>'12_MODELO'!Y22</f>
        <v>22032.4</v>
      </c>
      <c r="F248" s="6">
        <f>D248-E248</f>
        <v>-7.275957614183426e-12</v>
      </c>
    </row>
    <row r="249" spans="1:6">
      <c r="A249" s="5">
        <v>45901</v>
      </c>
      <c r="B249" t="s">
        <v>156</v>
      </c>
      <c r="C249" t="s">
        <v>90</v>
      </c>
      <c r="D249" s="6">
        <f>(-80000+SUMIFS('13_DIARIO'!J$2:J$1443,'13_DIARIO'!C$2:C$1443,B249,'13_DIARIO'!B$2:B$1443,"&lt;="&amp;A249))*-1</f>
        <v>117751.46475000001</v>
      </c>
      <c r="E249" s="6">
        <f>'12_MODELO'!Z22</f>
        <v>117751.46475000001</v>
      </c>
      <c r="F249" s="6">
        <f>D249-E249</f>
        <v>0.0</v>
      </c>
    </row>
    <row r="250" spans="1:6">
      <c r="A250" s="5">
        <v>45901</v>
      </c>
      <c r="B250" t="s">
        <v>197</v>
      </c>
      <c r="C250" t="s">
        <v>91</v>
      </c>
      <c r="D250" s="6">
        <f>(-50000+SUMIFS('13_DIARIO'!J$2:J$1443,'13_DIARIO'!C$2:C$1443,B250,'13_DIARIO'!B$2:B$1443,"&lt;="&amp;A250))*-1</f>
        <v>16819.42778500001</v>
      </c>
      <c r="E250" s="6">
        <f>'12_MODELO'!AA22</f>
        <v>16819.427785000003</v>
      </c>
      <c r="F250" s="6">
        <f>D250-E250</f>
        <v>7.275957614183426e-12</v>
      </c>
    </row>
    <row r="251" spans="1:6">
      <c r="A251" s="5">
        <v>45901</v>
      </c>
      <c r="B251" t="s">
        <v>212</v>
      </c>
      <c r="C251" t="s">
        <v>94</v>
      </c>
      <c r="D251" s="6">
        <f>(-800000+SUMIFS('13_DIARIO'!J$2:J$1443,'13_DIARIO'!C$2:C$1443,B251,'13_DIARIO'!B$2:B$1443,"&lt;="&amp;A251))*-1</f>
        <v>772000.0</v>
      </c>
      <c r="E251" s="6">
        <f>'12_MODELO'!AG22</f>
        <v>772000.0</v>
      </c>
      <c r="F251" s="6">
        <f>D251-E251</f>
        <v>0.0</v>
      </c>
    </row>
    <row r="252" spans="1:6">
      <c r="A252" s="5">
        <v>45901</v>
      </c>
      <c r="B252" t="s">
        <v>925</v>
      </c>
      <c r="C252" t="s">
        <v>95</v>
      </c>
      <c r="D252" s="6">
        <f>(-3900000+SUMIFS('13_DIARIO'!J$2:J$1443,'13_DIARIO'!C$2:C$1443,B252,'13_DIARIO'!B$2:B$1443,"&lt;="&amp;A252))*-1</f>
        <v>3900000</v>
      </c>
      <c r="E252" s="6">
        <f>'12_MODELO'!AI22</f>
        <v>3900000.0</v>
      </c>
      <c r="F252" s="6">
        <f>D252-E252</f>
        <v>0.0</v>
      </c>
    </row>
    <row r="253" spans="1:6">
      <c r="A253" s="5">
        <v>45901</v>
      </c>
      <c r="B253" t="s">
        <v>217</v>
      </c>
      <c r="C253" t="s">
        <v>96</v>
      </c>
      <c r="D253" s="6">
        <f>(-380000+SUMIFS('13_DIARIO'!J$2:J$1443,'13_DIARIO'!C$2:C$1443,B253,'13_DIARIO'!B$2:B$1443,"&lt;="&amp;A253))*-1</f>
        <v>1050363.9912199995</v>
      </c>
      <c r="E253" s="6">
        <f>'12_MODELO'!AJ22</f>
        <v>1050363.9912200004</v>
      </c>
      <c r="F253" s="6">
        <f>D253-E253</f>
        <v>-9.313225746154785e-10</v>
      </c>
    </row>
    <row r="254" spans="1:6">
      <c r="A254" s="5">
        <v>45931</v>
      </c>
      <c r="B254" t="s">
        <v>173</v>
      </c>
      <c r="C254" t="s">
        <v>85</v>
      </c>
      <c r="D254" s="6">
        <f>(3000000+SUMIFS('13_DIARIO'!J$2:J$1443,'13_DIARIO'!C$2:C$1443,B254,'13_DIARIO'!B$2:B$1443,"&lt;="&amp;A254))*1</f>
        <v>1210533.91288667</v>
      </c>
      <c r="E254" s="6">
        <f>'12_MODELO'!AV23</f>
        <v>1210533.9128866668</v>
      </c>
      <c r="F254" s="6">
        <f>D254-E254</f>
        <v>3.259629011154175e-09</v>
      </c>
    </row>
    <row r="255" spans="1:6">
      <c r="A255" s="5">
        <v>45931</v>
      </c>
      <c r="B255" t="s">
        <v>146</v>
      </c>
      <c r="C255" t="s">
        <v>86</v>
      </c>
      <c r="D255" s="6">
        <f>(900000+SUMIFS('13_DIARIO'!J$2:J$1443,'13_DIARIO'!C$2:C$1443,B255,'13_DIARIO'!B$2:B$1443,"&lt;="&amp;A255))*1</f>
        <v>2437715.9276666665</v>
      </c>
      <c r="E255" s="6">
        <f>'12_MODELO'!U23</f>
        <v>2437715.9276666665</v>
      </c>
      <c r="F255" s="6">
        <f>D255-E255</f>
        <v>0.0</v>
      </c>
    </row>
    <row r="256" spans="1:6">
      <c r="A256" s="5">
        <v>45931</v>
      </c>
      <c r="B256" t="s">
        <v>159</v>
      </c>
      <c r="C256" t="s">
        <v>87</v>
      </c>
      <c r="D256" s="6">
        <f>(700000+SUMIFS('13_DIARIO'!J$2:J$1443,'13_DIARIO'!C$2:C$1443,B256,'13_DIARIO'!B$2:B$1443,"&lt;="&amp;A256))*1</f>
        <v>1846046.5573333327</v>
      </c>
      <c r="E256" s="6">
        <f>'12_MODELO'!V23</f>
        <v>1846046.5573333337</v>
      </c>
      <c r="F256" s="6">
        <f>D256-E256</f>
        <v>-9.313225746154785e-10</v>
      </c>
    </row>
    <row r="257" spans="1:6">
      <c r="A257" s="5">
        <v>45931</v>
      </c>
      <c r="B257" t="s">
        <v>208</v>
      </c>
      <c r="C257" t="s">
        <v>92</v>
      </c>
      <c r="D257" s="6">
        <f>(1500000+SUMIFS('13_DIARIO'!J$2:J$1443,'13_DIARIO'!C$2:C$1443,B257,'13_DIARIO'!B$2:B$1443,"&lt;="&amp;A257))*1</f>
        <v>2400000.0</v>
      </c>
      <c r="E257" s="6">
        <f>'12_MODELO'!AC23</f>
        <v>2400000.0</v>
      </c>
      <c r="F257" s="6">
        <f>D257-E257</f>
        <v>0.0</v>
      </c>
    </row>
    <row r="258" spans="1:6">
      <c r="A258" s="5">
        <v>45931</v>
      </c>
      <c r="B258" t="s">
        <v>188</v>
      </c>
      <c r="C258" t="s">
        <v>93</v>
      </c>
      <c r="D258" s="6">
        <f>(-300000+SUMIFS('13_DIARIO'!J$2:J$1443,'13_DIARIO'!C$2:C$1443,B258,'13_DIARIO'!B$2:B$1443,"&lt;="&amp;A258))*-1</f>
        <v>721980.0</v>
      </c>
      <c r="E258" s="6">
        <f>'12_MODELO'!AD23</f>
        <v>721980.0</v>
      </c>
      <c r="F258" s="6">
        <f>D258-E258</f>
        <v>0.0</v>
      </c>
    </row>
    <row r="259" spans="1:6">
      <c r="A259" s="5">
        <v>45931</v>
      </c>
      <c r="B259" t="s">
        <v>162</v>
      </c>
      <c r="C259" t="s">
        <v>88</v>
      </c>
      <c r="D259" s="6">
        <f>(-550000+SUMIFS('13_DIARIO'!J$2:J$1443,'13_DIARIO'!C$2:C$1443,B259,'13_DIARIO'!B$2:B$1443,"&lt;="&amp;A259))*-1</f>
        <v>1242531.3366666667</v>
      </c>
      <c r="E259" s="6">
        <f>'12_MODELO'!X23</f>
        <v>1242531.3366666667</v>
      </c>
      <c r="F259" s="6">
        <f>D259-E259</f>
        <v>0.0</v>
      </c>
    </row>
    <row r="260" spans="1:6">
      <c r="A260" s="5">
        <v>45931</v>
      </c>
      <c r="B260" t="s">
        <v>169</v>
      </c>
      <c r="C260" t="s">
        <v>89</v>
      </c>
      <c r="D260" s="6">
        <f>(-40000+SUMIFS('13_DIARIO'!J$2:J$1443,'13_DIARIO'!C$2:C$1443,B260,'13_DIARIO'!B$2:B$1443,"&lt;="&amp;A260))*-1</f>
        <v>22032.399999999994</v>
      </c>
      <c r="E260" s="6">
        <f>'12_MODELO'!Y23</f>
        <v>22032.4</v>
      </c>
      <c r="F260" s="6">
        <f>D260-E260</f>
        <v>-7.275957614183426e-12</v>
      </c>
    </row>
    <row r="261" spans="1:6">
      <c r="A261" s="5">
        <v>45931</v>
      </c>
      <c r="B261" t="s">
        <v>156</v>
      </c>
      <c r="C261" t="s">
        <v>90</v>
      </c>
      <c r="D261" s="6">
        <f>(-80000+SUMIFS('13_DIARIO'!J$2:J$1443,'13_DIARIO'!C$2:C$1443,B261,'13_DIARIO'!B$2:B$1443,"&lt;="&amp;A261))*-1</f>
        <v>132259.05565</v>
      </c>
      <c r="E261" s="6">
        <f>'12_MODELO'!Z23</f>
        <v>132259.05565</v>
      </c>
      <c r="F261" s="6">
        <f>D261-E261</f>
        <v>0.0</v>
      </c>
    </row>
    <row r="262" spans="1:6">
      <c r="A262" s="5">
        <v>45931</v>
      </c>
      <c r="B262" t="s">
        <v>197</v>
      </c>
      <c r="C262" t="s">
        <v>91</v>
      </c>
      <c r="D262" s="6">
        <f>(-50000+SUMIFS('13_DIARIO'!J$2:J$1443,'13_DIARIO'!C$2:C$1443,B262,'13_DIARIO'!B$2:B$1443,"&lt;="&amp;A262))*-1</f>
        <v>24184.06887899994</v>
      </c>
      <c r="E262" s="6">
        <f>'12_MODELO'!AA23</f>
        <v>24184.06887899994</v>
      </c>
      <c r="F262" s="6">
        <f>D262-E262</f>
        <v>0.0</v>
      </c>
    </row>
    <row r="263" spans="1:6">
      <c r="A263" s="5">
        <v>45931</v>
      </c>
      <c r="B263" t="s">
        <v>212</v>
      </c>
      <c r="C263" t="s">
        <v>94</v>
      </c>
      <c r="D263" s="6">
        <f>(-800000+SUMIFS('13_DIARIO'!J$2:J$1443,'13_DIARIO'!C$2:C$1443,B263,'13_DIARIO'!B$2:B$1443,"&lt;="&amp;A263))*-1</f>
        <v>754000.0</v>
      </c>
      <c r="E263" s="6">
        <f>'12_MODELO'!AG23</f>
        <v>754000.0</v>
      </c>
      <c r="F263" s="6">
        <f>D263-E263</f>
        <v>0.0</v>
      </c>
    </row>
    <row r="264" spans="1:6">
      <c r="A264" s="5">
        <v>45931</v>
      </c>
      <c r="B264" t="s">
        <v>925</v>
      </c>
      <c r="C264" t="s">
        <v>95</v>
      </c>
      <c r="D264" s="6">
        <f>(-3900000+SUMIFS('13_DIARIO'!J$2:J$1443,'13_DIARIO'!C$2:C$1443,B264,'13_DIARIO'!B$2:B$1443,"&lt;="&amp;A264))*-1</f>
        <v>3900000</v>
      </c>
      <c r="E264" s="6">
        <f>'12_MODELO'!AI23</f>
        <v>3900000.0</v>
      </c>
      <c r="F264" s="6">
        <f>D264-E264</f>
        <v>0.0</v>
      </c>
    </row>
    <row r="265" spans="1:6">
      <c r="A265" s="5">
        <v>45931</v>
      </c>
      <c r="B265" t="s">
        <v>217</v>
      </c>
      <c r="C265" t="s">
        <v>96</v>
      </c>
      <c r="D265" s="6">
        <f>(-380000+SUMIFS('13_DIARIO'!J$2:J$1443,'13_DIARIO'!C$2:C$1443,B265,'13_DIARIO'!B$2:B$1443,"&lt;="&amp;A265))*-1</f>
        <v>1097309.5366909993</v>
      </c>
      <c r="E265" s="6">
        <f>'12_MODELO'!AJ23</f>
        <v>1097309.5366910002</v>
      </c>
      <c r="F265" s="6">
        <f>D265-E265</f>
        <v>-9.313225746154785e-10</v>
      </c>
    </row>
    <row r="266" spans="1:6">
      <c r="A266" s="5">
        <v>45962</v>
      </c>
      <c r="B266" t="s">
        <v>173</v>
      </c>
      <c r="C266" t="s">
        <v>85</v>
      </c>
      <c r="D266" s="6">
        <f>(3000000+SUMIFS('13_DIARIO'!J$2:J$1443,'13_DIARIO'!C$2:C$1443,B266,'13_DIARIO'!B$2:B$1443,"&lt;="&amp;A266))*1</f>
        <v>789243.664024337</v>
      </c>
      <c r="E266" s="6">
        <f>'12_MODELO'!AV24</f>
        <v>789243.6640243335</v>
      </c>
      <c r="F266" s="6">
        <f>D266-E266</f>
        <v>3.4924596548080444e-09</v>
      </c>
    </row>
    <row r="267" spans="1:6">
      <c r="A267" s="5">
        <v>45962</v>
      </c>
      <c r="B267" t="s">
        <v>146</v>
      </c>
      <c r="C267" t="s">
        <v>86</v>
      </c>
      <c r="D267" s="6">
        <f>(900000+SUMIFS('13_DIARIO'!J$2:J$1443,'13_DIARIO'!C$2:C$1443,B267,'13_DIARIO'!B$2:B$1443,"&lt;="&amp;A267))*1</f>
        <v>2858249.728</v>
      </c>
      <c r="E267" s="6">
        <f>'12_MODELO'!U24</f>
        <v>2858249.728</v>
      </c>
      <c r="F267" s="6">
        <f>D267-E267</f>
        <v>0.0</v>
      </c>
    </row>
    <row r="268" spans="1:6">
      <c r="A268" s="5">
        <v>45962</v>
      </c>
      <c r="B268" t="s">
        <v>159</v>
      </c>
      <c r="C268" t="s">
        <v>87</v>
      </c>
      <c r="D268" s="6">
        <f>(700000+SUMIFS('13_DIARIO'!J$2:J$1443,'13_DIARIO'!C$2:C$1443,B268,'13_DIARIO'!B$2:B$1443,"&lt;="&amp;A268))*1</f>
        <v>2165343.3013333324</v>
      </c>
      <c r="E268" s="6">
        <f>'12_MODELO'!V24</f>
        <v>2165343.3013333334</v>
      </c>
      <c r="F268" s="6">
        <f>D268-E268</f>
        <v>-9.313225746154785e-10</v>
      </c>
    </row>
    <row r="269" spans="1:6">
      <c r="A269" s="5">
        <v>45962</v>
      </c>
      <c r="B269" t="s">
        <v>208</v>
      </c>
      <c r="C269" t="s">
        <v>92</v>
      </c>
      <c r="D269" s="6">
        <f>(1500000+SUMIFS('13_DIARIO'!J$2:J$1443,'13_DIARIO'!C$2:C$1443,B269,'13_DIARIO'!B$2:B$1443,"&lt;="&amp;A269))*1</f>
        <v>2418000.0</v>
      </c>
      <c r="E269" s="6">
        <f>'12_MODELO'!AC24</f>
        <v>2418000.0</v>
      </c>
      <c r="F269" s="6">
        <f>D269-E269</f>
        <v>0.0</v>
      </c>
    </row>
    <row r="270" spans="1:6">
      <c r="A270" s="5">
        <v>45962</v>
      </c>
      <c r="B270" t="s">
        <v>188</v>
      </c>
      <c r="C270" t="s">
        <v>93</v>
      </c>
      <c r="D270" s="6">
        <f>(-300000+SUMIFS('13_DIARIO'!J$2:J$1443,'13_DIARIO'!C$2:C$1443,B270,'13_DIARIO'!B$2:B$1443,"&lt;="&amp;A270))*-1</f>
        <v>745980.0</v>
      </c>
      <c r="E270" s="6">
        <f>'12_MODELO'!AD24</f>
        <v>745980.0</v>
      </c>
      <c r="F270" s="6">
        <f>D270-E270</f>
        <v>0.0</v>
      </c>
    </row>
    <row r="271" spans="1:6">
      <c r="A271" s="5">
        <v>45962</v>
      </c>
      <c r="B271" t="s">
        <v>162</v>
      </c>
      <c r="C271" t="s">
        <v>88</v>
      </c>
      <c r="D271" s="6">
        <f>(-550000+SUMIFS('13_DIARIO'!J$2:J$1443,'13_DIARIO'!C$2:C$1443,B271,'13_DIARIO'!B$2:B$1443,"&lt;="&amp;A271))*-1</f>
        <v>1457442.6066666667</v>
      </c>
      <c r="E271" s="6">
        <f>'12_MODELO'!X24</f>
        <v>1457442.6066666667</v>
      </c>
      <c r="F271" s="6">
        <f>D271-E271</f>
        <v>0.0</v>
      </c>
    </row>
    <row r="272" spans="1:6">
      <c r="A272" s="5">
        <v>45962</v>
      </c>
      <c r="B272" t="s">
        <v>169</v>
      </c>
      <c r="C272" t="s">
        <v>89</v>
      </c>
      <c r="D272" s="6">
        <f>(-40000+SUMIFS('13_DIARIO'!J$2:J$1443,'13_DIARIO'!C$2:C$1443,B272,'13_DIARIO'!B$2:B$1443,"&lt;="&amp;A272))*-1</f>
        <v>22032.399999999994</v>
      </c>
      <c r="E272" s="6">
        <f>'12_MODELO'!Y24</f>
        <v>22032.4</v>
      </c>
      <c r="F272" s="6">
        <f>D272-E272</f>
        <v>-7.275957614183426e-12</v>
      </c>
    </row>
    <row r="273" spans="1:6">
      <c r="A273" s="5">
        <v>45962</v>
      </c>
      <c r="B273" t="s">
        <v>156</v>
      </c>
      <c r="C273" t="s">
        <v>90</v>
      </c>
      <c r="D273" s="6">
        <f>(-80000+SUMIFS('13_DIARIO'!J$2:J$1443,'13_DIARIO'!C$2:C$1443,B273,'13_DIARIO'!B$2:B$1443,"&lt;="&amp;A273))*-1</f>
        <v>155075.2512</v>
      </c>
      <c r="E273" s="6">
        <f>'12_MODELO'!Z24</f>
        <v>155075.2512</v>
      </c>
      <c r="F273" s="6">
        <f>D273-E273</f>
        <v>0.0</v>
      </c>
    </row>
    <row r="274" spans="1:6">
      <c r="A274" s="5">
        <v>45962</v>
      </c>
      <c r="B274" t="s">
        <v>197</v>
      </c>
      <c r="C274" t="s">
        <v>91</v>
      </c>
      <c r="D274" s="6">
        <f>(-50000+SUMIFS('13_DIARIO'!J$2:J$1443,'13_DIARIO'!C$2:C$1443,B274,'13_DIARIO'!B$2:B$1443,"&lt;="&amp;A274))*-1</f>
        <v>39778.945591999975</v>
      </c>
      <c r="E274" s="6">
        <f>'12_MODELO'!AA24</f>
        <v>39778.945591999975</v>
      </c>
      <c r="F274" s="6">
        <f>D274-E274</f>
        <v>0.0</v>
      </c>
    </row>
    <row r="275" spans="1:6">
      <c r="A275" s="5">
        <v>45962</v>
      </c>
      <c r="B275" t="s">
        <v>212</v>
      </c>
      <c r="C275" t="s">
        <v>94</v>
      </c>
      <c r="D275" s="6">
        <f>(-800000+SUMIFS('13_DIARIO'!J$2:J$1443,'13_DIARIO'!C$2:C$1443,B275,'13_DIARIO'!B$2:B$1443,"&lt;="&amp;A275))*-1</f>
        <v>736000.0</v>
      </c>
      <c r="E275" s="6">
        <f>'12_MODELO'!AG24</f>
        <v>736000.0</v>
      </c>
      <c r="F275" s="6">
        <f>D275-E275</f>
        <v>0.0</v>
      </c>
    </row>
    <row r="276" spans="1:6">
      <c r="A276" s="5">
        <v>45962</v>
      </c>
      <c r="B276" t="s">
        <v>925</v>
      </c>
      <c r="C276" t="s">
        <v>95</v>
      </c>
      <c r="D276" s="6">
        <f>(-3900000+SUMIFS('13_DIARIO'!J$2:J$1443,'13_DIARIO'!C$2:C$1443,B276,'13_DIARIO'!B$2:B$1443,"&lt;="&amp;A276))*-1</f>
        <v>3900000</v>
      </c>
      <c r="E276" s="6">
        <f>'12_MODELO'!AI24</f>
        <v>3900000.0</v>
      </c>
      <c r="F276" s="6">
        <f>D276-E276</f>
        <v>0.0</v>
      </c>
    </row>
    <row r="277" spans="1:6">
      <c r="A277" s="5">
        <v>45962</v>
      </c>
      <c r="B277" t="s">
        <v>217</v>
      </c>
      <c r="C277" t="s">
        <v>96</v>
      </c>
      <c r="D277" s="6">
        <f>(-380000+SUMIFS('13_DIARIO'!J$2:J$1443,'13_DIARIO'!C$2:C$1443,B277,'13_DIARIO'!B$2:B$1443,"&lt;="&amp;A277))*-1</f>
        <v>1174527.4898989997</v>
      </c>
      <c r="E277" s="6">
        <f>'12_MODELO'!AJ24</f>
        <v>1174527.4898990002</v>
      </c>
      <c r="F277" s="6">
        <f>D277-E277</f>
        <v>-4.656612873077393e-10</v>
      </c>
    </row>
    <row r="278" spans="1:6">
      <c r="A278" s="5">
        <v>45992</v>
      </c>
      <c r="B278" t="s">
        <v>173</v>
      </c>
      <c r="C278" t="s">
        <v>85</v>
      </c>
      <c r="D278" s="6">
        <f>(3000000+SUMIFS('13_DIARIO'!J$2:J$1443,'13_DIARIO'!C$2:C$1443,B278,'13_DIARIO'!B$2:B$1443,"&lt;="&amp;A278))*1</f>
        <v>1000255.5938990044</v>
      </c>
      <c r="E278" s="6">
        <f>'12_MODELO'!AV25</f>
        <v>1000255.5938990002</v>
      </c>
      <c r="F278" s="6">
        <f>D278-E278</f>
        <v>4.190951585769653e-09</v>
      </c>
    </row>
    <row r="279" spans="1:6">
      <c r="A279" s="5">
        <v>45992</v>
      </c>
      <c r="B279" t="s">
        <v>146</v>
      </c>
      <c r="C279" t="s">
        <v>86</v>
      </c>
      <c r="D279" s="6">
        <f>(900000+SUMIFS('13_DIARIO'!J$2:J$1443,'13_DIARIO'!C$2:C$1443,B279,'13_DIARIO'!B$2:B$1443,"&lt;="&amp;A279))*1</f>
        <v>2655694.392</v>
      </c>
      <c r="E279" s="6">
        <f>'12_MODELO'!U25</f>
        <v>2655694.392</v>
      </c>
      <c r="F279" s="6">
        <f>D279-E279</f>
        <v>0.0</v>
      </c>
    </row>
    <row r="280" spans="1:6">
      <c r="A280" s="5">
        <v>45992</v>
      </c>
      <c r="B280" t="s">
        <v>159</v>
      </c>
      <c r="C280" t="s">
        <v>87</v>
      </c>
      <c r="D280" s="6">
        <f>(700000+SUMIFS('13_DIARIO'!J$2:J$1443,'13_DIARIO'!C$2:C$1443,B280,'13_DIARIO'!B$2:B$1443,"&lt;="&amp;A280))*1</f>
        <v>2013974.1439999987</v>
      </c>
      <c r="E280" s="6">
        <f>'12_MODELO'!V25</f>
        <v>2013974.1439999999</v>
      </c>
      <c r="F280" s="6">
        <f>D280-E280</f>
        <v>-1.1641532182693481e-09</v>
      </c>
    </row>
    <row r="281" spans="1:6">
      <c r="A281" s="5">
        <v>45992</v>
      </c>
      <c r="B281" t="s">
        <v>208</v>
      </c>
      <c r="C281" t="s">
        <v>92</v>
      </c>
      <c r="D281" s="6">
        <f>(1500000+SUMIFS('13_DIARIO'!J$2:J$1443,'13_DIARIO'!C$2:C$1443,B281,'13_DIARIO'!B$2:B$1443,"&lt;="&amp;A281))*1</f>
        <v>2508000.0</v>
      </c>
      <c r="E281" s="6">
        <f>'12_MODELO'!AC25</f>
        <v>2508000.0</v>
      </c>
      <c r="F281" s="6">
        <f>D281-E281</f>
        <v>0.0</v>
      </c>
    </row>
    <row r="282" spans="1:6">
      <c r="A282" s="5">
        <v>45992</v>
      </c>
      <c r="B282" t="s">
        <v>188</v>
      </c>
      <c r="C282" t="s">
        <v>93</v>
      </c>
      <c r="D282" s="6">
        <f>(-300000+SUMIFS('13_DIARIO'!J$2:J$1443,'13_DIARIO'!C$2:C$1443,B282,'13_DIARIO'!B$2:B$1443,"&lt;="&amp;A282))*-1</f>
        <v>770160.0</v>
      </c>
      <c r="E282" s="6">
        <f>'12_MODELO'!AD25</f>
        <v>770160.0</v>
      </c>
      <c r="F282" s="6">
        <f>D282-E282</f>
        <v>0.0</v>
      </c>
    </row>
    <row r="283" spans="1:6">
      <c r="A283" s="5">
        <v>45992</v>
      </c>
      <c r="B283" t="s">
        <v>162</v>
      </c>
      <c r="C283" t="s">
        <v>88</v>
      </c>
      <c r="D283" s="6">
        <f>(-550000+SUMIFS('13_DIARIO'!J$2:J$1443,'13_DIARIO'!C$2:C$1443,B283,'13_DIARIO'!B$2:B$1443,"&lt;="&amp;A283))*-1</f>
        <v>1355559.5199999998</v>
      </c>
      <c r="E283" s="6">
        <f>'12_MODELO'!X25</f>
        <v>1355559.5199999998</v>
      </c>
      <c r="F283" s="6">
        <f>D283-E283</f>
        <v>0.0</v>
      </c>
    </row>
    <row r="284" spans="1:6">
      <c r="A284" s="5">
        <v>45992</v>
      </c>
      <c r="B284" t="s">
        <v>169</v>
      </c>
      <c r="C284" t="s">
        <v>89</v>
      </c>
      <c r="D284" s="6">
        <f>(-40000+SUMIFS('13_DIARIO'!J$2:J$1443,'13_DIARIO'!C$2:C$1443,B284,'13_DIARIO'!B$2:B$1443,"&lt;="&amp;A284))*-1</f>
        <v>22032.399999999994</v>
      </c>
      <c r="E284" s="6">
        <f>'12_MODELO'!Y25</f>
        <v>22032.4</v>
      </c>
      <c r="F284" s="6">
        <f>D284-E284</f>
        <v>-7.275957614183426e-12</v>
      </c>
    </row>
    <row r="285" spans="1:6">
      <c r="A285" s="5">
        <v>45992</v>
      </c>
      <c r="B285" t="s">
        <v>156</v>
      </c>
      <c r="C285" t="s">
        <v>90</v>
      </c>
      <c r="D285" s="6">
        <f>(-80000+SUMIFS('13_DIARIO'!J$2:J$1443,'13_DIARIO'!C$2:C$1443,B285,'13_DIARIO'!B$2:B$1443,"&lt;="&amp;A285))*-1</f>
        <v>144085.5468</v>
      </c>
      <c r="E285" s="6">
        <f>'12_MODELO'!Z25</f>
        <v>144085.5468</v>
      </c>
      <c r="F285" s="6">
        <f>D285-E285</f>
        <v>0.0</v>
      </c>
    </row>
    <row r="286" spans="1:6">
      <c r="A286" s="5">
        <v>45992</v>
      </c>
      <c r="B286" t="s">
        <v>197</v>
      </c>
      <c r="C286" t="s">
        <v>91</v>
      </c>
      <c r="D286" s="6">
        <f>(-50000+SUMIFS('13_DIARIO'!J$2:J$1443,'13_DIARIO'!C$2:C$1443,B286,'13_DIARIO'!B$2:B$1443,"&lt;="&amp;A286))*-1</f>
        <v>31810.11888800001</v>
      </c>
      <c r="E286" s="6">
        <f>'12_MODELO'!AA25</f>
        <v>31810.118888000008</v>
      </c>
      <c r="F286" s="6">
        <f>D286-E286</f>
        <v>3.637978807091713e-12</v>
      </c>
    </row>
    <row r="287" spans="1:6">
      <c r="A287" s="5">
        <v>45992</v>
      </c>
      <c r="B287" t="s">
        <v>212</v>
      </c>
      <c r="C287" t="s">
        <v>94</v>
      </c>
      <c r="D287" s="6">
        <f>(-800000+SUMIFS('13_DIARIO'!J$2:J$1443,'13_DIARIO'!C$2:C$1443,B287,'13_DIARIO'!B$2:B$1443,"&lt;="&amp;A287))*-1</f>
        <v>718000.0</v>
      </c>
      <c r="E287" s="6">
        <f>'12_MODELO'!AG25</f>
        <v>718000.0</v>
      </c>
      <c r="F287" s="6">
        <f>D287-E287</f>
        <v>0.0</v>
      </c>
    </row>
    <row r="288" spans="1:6">
      <c r="A288" s="5">
        <v>45992</v>
      </c>
      <c r="B288" t="s">
        <v>925</v>
      </c>
      <c r="C288" t="s">
        <v>95</v>
      </c>
      <c r="D288" s="6">
        <f>(-3900000+SUMIFS('13_DIARIO'!J$2:J$1443,'13_DIARIO'!C$2:C$1443,B288,'13_DIARIO'!B$2:B$1443,"&lt;="&amp;A288))*-1</f>
        <v>3900000</v>
      </c>
      <c r="E288" s="6">
        <f>'12_MODELO'!AI25</f>
        <v>3900000.0</v>
      </c>
      <c r="F288" s="6">
        <f>D288-E288</f>
        <v>0.0</v>
      </c>
    </row>
    <row r="289" spans="1:6">
      <c r="A289" s="5">
        <v>45992</v>
      </c>
      <c r="B289" t="s">
        <v>217</v>
      </c>
      <c r="C289" t="s">
        <v>96</v>
      </c>
      <c r="D289" s="6">
        <f>(-380000+SUMIFS('13_DIARIO'!J$2:J$1443,'13_DIARIO'!C$2:C$1443,B289,'13_DIARIO'!B$2:B$1443,"&lt;="&amp;A289))*-1</f>
        <v>1236276.5442109997</v>
      </c>
      <c r="E289" s="6">
        <f>'12_MODELO'!AJ25</f>
        <v>1236276.5442110002</v>
      </c>
      <c r="F289" s="6">
        <f>D289-E289</f>
        <v>-4.656612873077393e-10</v>
      </c>
    </row>
  </sheetData>
  <autoFilter ref="A1:F28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A899"/>
    <pageSetUpPr fitToPage="1"/>
  </sheetPr>
  <dimension ref="B2:P47"/>
  <sheetViews>
    <sheetView showGridLines="0" workbookViewId="0"/>
  </sheetViews>
  <sheetFormatPr defaultRowHeight="15"/>
  <cols>
    <col min="1" max="1" width="3.7109375" customWidth="1"/>
    <col min="2" max="2" width="28.7109375" customWidth="1"/>
    <col min="3" max="16" width="12.7109375" customWidth="1"/>
  </cols>
  <sheetData>
    <row r="2" spans="2:16">
      <c r="B2" s="1" t="s">
        <v>930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16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6">
      <c r="B4" s="3" t="s">
        <v>931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spans="2:16">
      <c r="B6" s="2" t="s">
        <v>932</v>
      </c>
      <c r="C6" s="7" t="s">
        <v>78</v>
      </c>
      <c r="E6" s="2" t="s">
        <v>933</v>
      </c>
      <c r="F6" s="7">
        <v>2025</v>
      </c>
      <c r="H6" s="3" t="s">
        <v>934</v>
      </c>
      <c r="I6" s="3"/>
      <c r="J6" s="3"/>
      <c r="K6" s="3"/>
      <c r="L6" s="3"/>
      <c r="M6" s="3"/>
      <c r="N6" s="3"/>
      <c r="O6" s="3"/>
      <c r="P6" s="3"/>
    </row>
    <row r="7" spans="2:16">
      <c r="B7" s="3" t="str">
        <f>IF(COUNTIFS('12_MODELO'!B$2:B$97,C6,'12_MODELO'!A$2:A$97,"&gt;="&amp;DATE(F6,1,1),'12_MODELO'!A$2:A$97,"&lt;="&amp;DATE(F6,12,1))=12,"24 meses históricos • valores em R$ • orçamento e cenários integrados","Selecione um cenário disponível para este ano")</f>
        <v>24 meses históricos • valores em R$ • orçamento e cenários integrados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10" spans="2:16">
      <c r="B10" s="2" t="s">
        <v>935</v>
      </c>
      <c r="C10" s="2"/>
      <c r="D10" s="2"/>
      <c r="E10" s="2"/>
      <c r="G10" s="2" t="s">
        <v>101</v>
      </c>
      <c r="H10" s="2"/>
      <c r="I10" s="2"/>
      <c r="J10" s="2"/>
      <c r="L10" s="2" t="s">
        <v>936</v>
      </c>
      <c r="M10" s="2"/>
      <c r="N10" s="2"/>
      <c r="O10" s="2"/>
    </row>
    <row r="11" spans="2:16">
      <c r="B11" s="10">
        <f>SUMIFS('12_MODELO'!E$2:E$97,'12_MODELO'!B$2:B$97,'01_PAINEL'!$C$6,'12_MODELO'!A$2:A$97,"&gt;="&amp;DATE('01_PAINEL'!$F$6,1,1),'12_MODELO'!A$2:A$97,"&lt;="&amp;DATE('01_PAINEL'!$F$6,12,1))</f>
        <v>15545584.11015</v>
      </c>
      <c r="C11" s="10"/>
      <c r="D11" s="10"/>
      <c r="E11" s="10"/>
      <c r="G11" s="10">
        <f>SUMIFS('12_MODELO'!N$2:N$97,'12_MODELO'!B$2:B$97,'01_PAINEL'!$C$6,'12_MODELO'!A$2:A$97,"&gt;="&amp;DATE('01_PAINEL'!$F$6,1,1),'12_MODELO'!A$2:A$97,"&lt;="&amp;DATE('01_PAINEL'!$F$6,12,1))</f>
        <v>944009.9501499999</v>
      </c>
      <c r="H11" s="10"/>
      <c r="I11" s="10"/>
      <c r="J11" s="10"/>
      <c r="L11" s="9">
        <f>IFERROR(SUMIFS('12_MODELO'!N$2:N$97,'12_MODELO'!B$2:B$97,'01_PAINEL'!$C$6,'12_MODELO'!A$2:A$97,"&gt;="&amp;DATE('01_PAINEL'!$F$6,1,1),'12_MODELO'!A$2:A$97,"&lt;="&amp;DATE('01_PAINEL'!$F$6,12,1))/SUMIFS('12_MODELO'!E$2:E$97,'12_MODELO'!B$2:B$97,'01_PAINEL'!$C$6,'12_MODELO'!A$2:A$97,"&gt;="&amp;DATE('01_PAINEL'!$F$6,1,1),'12_MODELO'!A$2:A$97,"&lt;="&amp;DATE('01_PAINEL'!$F$6,12,1)),0)</f>
        <v>0.060725280147796976</v>
      </c>
      <c r="M11" s="9"/>
      <c r="N11" s="9"/>
      <c r="O11" s="9"/>
    </row>
    <row r="12" spans="2:16">
      <c r="B12" s="10"/>
      <c r="C12" s="10"/>
      <c r="D12" s="10"/>
      <c r="E12" s="10"/>
      <c r="G12" s="10"/>
      <c r="H12" s="10"/>
      <c r="I12" s="10"/>
      <c r="J12" s="10"/>
      <c r="L12" s="9"/>
      <c r="M12" s="9"/>
      <c r="N12" s="9"/>
      <c r="O12" s="9"/>
    </row>
    <row r="14" spans="2:16">
      <c r="B14" s="2" t="s">
        <v>937</v>
      </c>
      <c r="C14" s="2"/>
      <c r="D14" s="2"/>
      <c r="E14" s="2"/>
      <c r="G14" s="2" t="s">
        <v>938</v>
      </c>
      <c r="H14" s="2"/>
      <c r="I14" s="2"/>
      <c r="J14" s="2"/>
      <c r="L14" s="2" t="s">
        <v>939</v>
      </c>
      <c r="M14" s="2"/>
      <c r="N14" s="2"/>
      <c r="O14" s="2"/>
    </row>
    <row r="15" spans="2:16">
      <c r="B15" s="10">
        <f>SUMIFS('12_MODELO'!AV$2:AV$97,'12_MODELO'!B$2:B$97,'01_PAINEL'!$C$6,'12_MODELO'!A$2:A$97,DATE('01_PAINEL'!$F$6,12,1))</f>
        <v>1000255.5938990002</v>
      </c>
      <c r="C15" s="10"/>
      <c r="D15" s="10"/>
      <c r="E15" s="10"/>
      <c r="G15" s="10">
        <f>SUMIFS('12_MODELO'!BK$2:BK$97,'12_MODELO'!B$2:B$97,'01_PAINEL'!$C$6,'12_MODELO'!A$2:A$97,"&gt;="&amp;DATE('01_PAINEL'!$F$6,1,1),'12_MODELO'!A$2:A$97,"&lt;="&amp;DATE('01_PAINEL'!$F$6,12,1))</f>
        <v>-966467.2006510001</v>
      </c>
      <c r="H15" s="10"/>
      <c r="I15" s="10"/>
      <c r="J15" s="10"/>
      <c r="L15" s="10">
        <f>SUMIFS('12_MODELO'!BL$2:BL$97,'12_MODELO'!B$2:B$97,'01_PAINEL'!$C$6,'12_MODELO'!A$2:A$97,DATE('01_PAINEL'!$F$6,12,1))</f>
        <v>3116180.9503120007</v>
      </c>
      <c r="M15" s="10"/>
      <c r="N15" s="10"/>
      <c r="O15" s="10"/>
    </row>
    <row r="16" spans="2:16">
      <c r="B16" s="10"/>
      <c r="C16" s="10"/>
      <c r="D16" s="10"/>
      <c r="E16" s="10"/>
      <c r="G16" s="10"/>
      <c r="H16" s="10"/>
      <c r="I16" s="10"/>
      <c r="J16" s="10"/>
      <c r="L16" s="10"/>
      <c r="M16" s="10"/>
      <c r="N16" s="10"/>
      <c r="O16" s="10"/>
    </row>
    <row r="35" spans="10:16">
      <c r="J35" s="2" t="s">
        <v>989</v>
      </c>
      <c r="K35" s="2"/>
      <c r="L35" s="2"/>
      <c r="M35" s="2"/>
      <c r="N35" s="2"/>
      <c r="O35" s="2"/>
      <c r="P35" s="2"/>
    </row>
    <row r="36" spans="10:16">
      <c r="J36" s="2"/>
      <c r="K36" s="2"/>
      <c r="L36" s="2"/>
      <c r="M36" s="2"/>
      <c r="N36" s="2"/>
      <c r="O36" s="2"/>
      <c r="P36" s="2"/>
    </row>
    <row r="38" spans="10:16">
      <c r="J38" s="3" t="s">
        <v>990</v>
      </c>
      <c r="K38" s="3"/>
      <c r="L38" s="3"/>
      <c r="M38" s="3"/>
      <c r="N38" s="3"/>
      <c r="O38" s="3"/>
      <c r="P38" s="3"/>
    </row>
    <row r="39" spans="10:16">
      <c r="J39" s="3"/>
      <c r="K39" s="3"/>
      <c r="L39" s="3"/>
      <c r="M39" s="3"/>
      <c r="N39" s="3"/>
      <c r="O39" s="3"/>
      <c r="P39" s="3"/>
    </row>
    <row r="40" spans="10:16">
      <c r="J40" s="3"/>
      <c r="K40" s="3"/>
      <c r="L40" s="3"/>
      <c r="M40" s="3"/>
      <c r="N40" s="3"/>
      <c r="O40" s="3"/>
      <c r="P40" s="3"/>
    </row>
    <row r="41" spans="10:16">
      <c r="J41" s="3"/>
      <c r="K41" s="3"/>
      <c r="L41" s="3"/>
      <c r="M41" s="3"/>
      <c r="N41" s="3"/>
      <c r="O41" s="3"/>
      <c r="P41" s="3"/>
    </row>
    <row r="42" spans="10:16">
      <c r="J42" s="3"/>
      <c r="K42" s="3"/>
      <c r="L42" s="3"/>
      <c r="M42" s="3"/>
      <c r="N42" s="3"/>
      <c r="O42" s="3"/>
      <c r="P42" s="3"/>
    </row>
    <row r="44" spans="10:16">
      <c r="J44" s="3" t="s">
        <v>991</v>
      </c>
      <c r="K44" s="3"/>
      <c r="L44" s="3"/>
      <c r="M44" s="3"/>
      <c r="N44" s="3"/>
      <c r="O44" s="3"/>
      <c r="P44" s="3"/>
    </row>
    <row r="45" spans="10:16">
      <c r="J45" s="3"/>
      <c r="K45" s="3"/>
      <c r="L45" s="3"/>
      <c r="M45" s="3"/>
      <c r="N45" s="3"/>
      <c r="O45" s="3"/>
      <c r="P45" s="3"/>
    </row>
    <row r="46" spans="10:16">
      <c r="J46" s="3"/>
      <c r="K46" s="3"/>
      <c r="L46" s="3"/>
      <c r="M46" s="3"/>
      <c r="N46" s="3"/>
      <c r="O46" s="3"/>
      <c r="P46" s="3"/>
    </row>
    <row r="47" spans="10:16">
      <c r="J47" s="3"/>
      <c r="K47" s="3"/>
      <c r="L47" s="3"/>
      <c r="M47" s="3"/>
      <c r="N47" s="3"/>
      <c r="O47" s="3"/>
      <c r="P47" s="3"/>
    </row>
  </sheetData>
  <mergeCells count="19">
    <mergeCell ref="B2:P3"/>
    <mergeCell ref="B4:P4"/>
    <mergeCell ref="H6:P6"/>
    <mergeCell ref="B7:P7"/>
    <mergeCell ref="B10:E10"/>
    <mergeCell ref="B11:E12"/>
    <mergeCell ref="G10:J10"/>
    <mergeCell ref="G11:J12"/>
    <mergeCell ref="L10:O10"/>
    <mergeCell ref="L11:O12"/>
    <mergeCell ref="B14:E14"/>
    <mergeCell ref="B15:E16"/>
    <mergeCell ref="G14:J14"/>
    <mergeCell ref="G15:J16"/>
    <mergeCell ref="L14:O14"/>
    <mergeCell ref="L15:O16"/>
    <mergeCell ref="J35:P36"/>
    <mergeCell ref="J38:P42"/>
    <mergeCell ref="J44:P47"/>
  </mergeCells>
  <dataValidations count="2">
    <dataValidation type="list" allowBlank="1" showInputMessage="1" showErrorMessage="1" sqref="C6">
      <formula1>"Realizado,Orçamento,Forecast 6+6,Base 2026,Otimista 2026,Adverso 2026"</formula1>
    </dataValidation>
    <dataValidation type="list" allowBlank="1" showInputMessage="1" showErrorMessage="1" sqref="F6">
      <formula1>"2024,2025,2026"</formula1>
    </dataValidation>
  </dataValidations>
  <pageMargins left="0.7" right="0.7" top="0.75" bottom="0.75" header="0.3" footer="0.3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A899"/>
    <pageSetUpPr fitToPage="1"/>
  </sheetPr>
  <dimension ref="B2:O27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3.7109375" customWidth="1"/>
    <col min="2" max="2" width="32.7109375" customWidth="1"/>
    <col min="3" max="15" width="15.7109375" customWidth="1"/>
  </cols>
  <sheetData>
    <row r="2" spans="2:15">
      <c r="B2" s="1" t="s">
        <v>940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>
      <c r="B4" s="3" t="s">
        <v>941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2:15">
      <c r="C6" s="5">
        <f>DATE('01_PAINEL'!$F$6,1,1)</f>
        <v>45658</v>
      </c>
      <c r="D6" s="5">
        <f>DATE('01_PAINEL'!$F$6,2,1)</f>
        <v>45689</v>
      </c>
      <c r="E6" s="5">
        <f>DATE('01_PAINEL'!$F$6,3,1)</f>
        <v>45717</v>
      </c>
      <c r="F6" s="5">
        <f>DATE('01_PAINEL'!$F$6,4,1)</f>
        <v>45748</v>
      </c>
      <c r="G6" s="5">
        <f>DATE('01_PAINEL'!$F$6,5,1)</f>
        <v>45778</v>
      </c>
      <c r="H6" s="5">
        <f>DATE('01_PAINEL'!$F$6,6,1)</f>
        <v>45809</v>
      </c>
      <c r="I6" s="5">
        <f>DATE('01_PAINEL'!$F$6,7,1)</f>
        <v>45839</v>
      </c>
      <c r="J6" s="5">
        <f>DATE('01_PAINEL'!$F$6,8,1)</f>
        <v>45870</v>
      </c>
      <c r="K6" s="5">
        <f>DATE('01_PAINEL'!$F$6,9,1)</f>
        <v>45901</v>
      </c>
      <c r="L6" s="5">
        <f>DATE('01_PAINEL'!$F$6,10,1)</f>
        <v>45931</v>
      </c>
      <c r="M6" s="5">
        <f>DATE('01_PAINEL'!$F$6,11,1)</f>
        <v>45962</v>
      </c>
      <c r="N6" s="5">
        <f>DATE('01_PAINEL'!$F$6,12,1)</f>
        <v>45992</v>
      </c>
      <c r="O6" s="4" t="s">
        <v>942</v>
      </c>
    </row>
    <row r="8" spans="2:15">
      <c r="B8" s="11" t="s">
        <v>35</v>
      </c>
      <c r="C8" s="6">
        <f>SUMIFS('12_MODELO'!C$2:C$97,'12_MODELO'!B$2:B$97,'01_PAINEL'!$C$6,'12_MODELO'!A$2:A$97,C$6)</f>
        <v>1151091.49</v>
      </c>
      <c r="D8" s="6">
        <f>SUMIFS('12_MODELO'!C$2:C$97,'12_MODELO'!B$2:B$97,'01_PAINEL'!$C$6,'12_MODELO'!A$2:A$97,D$6)</f>
        <v>1176731.76</v>
      </c>
      <c r="E8" s="6">
        <f>SUMIFS('12_MODELO'!C$2:C$97,'12_MODELO'!B$2:B$97,'01_PAINEL'!$C$6,'12_MODELO'!A$2:A$97,E$6)</f>
        <v>1389953.08</v>
      </c>
      <c r="F8" s="6">
        <f>SUMIFS('12_MODELO'!C$2:C$97,'12_MODELO'!B$2:B$97,'01_PAINEL'!$C$6,'12_MODELO'!A$2:A$97,F$6)</f>
        <v>1384297.22</v>
      </c>
      <c r="G8" s="6">
        <f>SUMIFS('12_MODELO'!C$2:C$97,'12_MODELO'!B$2:B$97,'01_PAINEL'!$C$6,'12_MODELO'!A$2:A$97,G$6)</f>
        <v>1449678.53</v>
      </c>
      <c r="H8" s="6">
        <f>SUMIFS('12_MODELO'!C$2:C$97,'12_MODELO'!B$2:B$97,'01_PAINEL'!$C$6,'12_MODELO'!A$2:A$97,H$6)</f>
        <v>1471160.97</v>
      </c>
      <c r="I8" s="6">
        <f>SUMIFS('12_MODELO'!C$2:C$97,'12_MODELO'!B$2:B$97,'01_PAINEL'!$C$6,'12_MODELO'!A$2:A$97,I$6)</f>
        <v>1207312.48</v>
      </c>
      <c r="J8" s="6">
        <f>SUMIFS('12_MODELO'!C$2:C$97,'12_MODELO'!B$2:B$97,'01_PAINEL'!$C$6,'12_MODELO'!A$2:A$97,J$6)</f>
        <v>1298644.84</v>
      </c>
      <c r="K8" s="6">
        <f>SUMIFS('12_MODELO'!C$2:C$97,'12_MODELO'!B$2:B$97,'01_PAINEL'!$C$6,'12_MODELO'!A$2:A$97,K$6)</f>
        <v>1385311.35</v>
      </c>
      <c r="L8" s="6">
        <f>SUMIFS('12_MODELO'!C$2:C$97,'12_MODELO'!B$2:B$97,'01_PAINEL'!$C$6,'12_MODELO'!A$2:A$97,L$6)</f>
        <v>1555988.89</v>
      </c>
      <c r="M8" s="6">
        <f>SUMIFS('12_MODELO'!C$2:C$97,'12_MODELO'!B$2:B$97,'01_PAINEL'!$C$6,'12_MODELO'!A$2:A$97,M$6)</f>
        <v>1824414.72</v>
      </c>
      <c r="N8" s="6">
        <f>SUMIFS('12_MODELO'!C$2:C$97,'12_MODELO'!B$2:B$97,'01_PAINEL'!$C$6,'12_MODELO'!A$2:A$97,N$6)</f>
        <v>1695124.08</v>
      </c>
      <c r="O8" s="10">
        <f>SUM(C8:N8)</f>
        <v>16989709.41</v>
      </c>
    </row>
    <row r="9" spans="2:15">
      <c r="B9" s="11" t="s">
        <v>97</v>
      </c>
      <c r="C9" s="6">
        <f>SUMIFS('12_MODELO'!D$2:D$97,'12_MODELO'!B$2:B$97,'01_PAINEL'!$C$6,'12_MODELO'!A$2:A$97,C$6)</f>
        <v>97842.77665</v>
      </c>
      <c r="D9" s="6">
        <f>SUMIFS('12_MODELO'!D$2:D$97,'12_MODELO'!B$2:B$97,'01_PAINEL'!$C$6,'12_MODELO'!A$2:A$97,D$6)</f>
        <v>100022.1996</v>
      </c>
      <c r="E9" s="6">
        <f>SUMIFS('12_MODELO'!D$2:D$97,'12_MODELO'!B$2:B$97,'01_PAINEL'!$C$6,'12_MODELO'!A$2:A$97,E$6)</f>
        <v>118146.01180000002</v>
      </c>
      <c r="F9" s="6">
        <f>SUMIFS('12_MODELO'!D$2:D$97,'12_MODELO'!B$2:B$97,'01_PAINEL'!$C$6,'12_MODELO'!A$2:A$97,F$6)</f>
        <v>117665.26370000001</v>
      </c>
      <c r="G9" s="6">
        <f>SUMIFS('12_MODELO'!D$2:D$97,'12_MODELO'!B$2:B$97,'01_PAINEL'!$C$6,'12_MODELO'!A$2:A$97,G$6)</f>
        <v>123222.67505</v>
      </c>
      <c r="H9" s="6">
        <f>SUMIFS('12_MODELO'!D$2:D$97,'12_MODELO'!B$2:B$97,'01_PAINEL'!$C$6,'12_MODELO'!A$2:A$97,H$6)</f>
        <v>125048.68245000001</v>
      </c>
      <c r="I9" s="6">
        <f>SUMIFS('12_MODELO'!D$2:D$97,'12_MODELO'!B$2:B$97,'01_PAINEL'!$C$6,'12_MODELO'!A$2:A$97,I$6)</f>
        <v>102621.5608</v>
      </c>
      <c r="J9" s="6">
        <f>SUMIFS('12_MODELO'!D$2:D$97,'12_MODELO'!B$2:B$97,'01_PAINEL'!$C$6,'12_MODELO'!A$2:A$97,J$6)</f>
        <v>110384.81140000002</v>
      </c>
      <c r="K9" s="6">
        <f>SUMIFS('12_MODELO'!D$2:D$97,'12_MODELO'!B$2:B$97,'01_PAINEL'!$C$6,'12_MODELO'!A$2:A$97,K$6)</f>
        <v>117751.46475000001</v>
      </c>
      <c r="L9" s="6">
        <f>SUMIFS('12_MODELO'!D$2:D$97,'12_MODELO'!B$2:B$97,'01_PAINEL'!$C$6,'12_MODELO'!A$2:A$97,L$6)</f>
        <v>132259.05565</v>
      </c>
      <c r="M9" s="6">
        <f>SUMIFS('12_MODELO'!D$2:D$97,'12_MODELO'!B$2:B$97,'01_PAINEL'!$C$6,'12_MODELO'!A$2:A$97,M$6)</f>
        <v>155075.2512</v>
      </c>
      <c r="N9" s="6">
        <f>SUMIFS('12_MODELO'!D$2:D$97,'12_MODELO'!B$2:B$97,'01_PAINEL'!$C$6,'12_MODELO'!A$2:A$97,N$6)</f>
        <v>144085.5468</v>
      </c>
      <c r="O9" s="10">
        <f>SUM(C9:N9)</f>
        <v>1444125.29985</v>
      </c>
    </row>
    <row r="10" spans="2:15">
      <c r="B10" s="2" t="s">
        <v>98</v>
      </c>
      <c r="C10" s="6">
        <f>SUMIFS('12_MODELO'!E$2:E$97,'12_MODELO'!B$2:B$97,'01_PAINEL'!$C$6,'12_MODELO'!A$2:A$97,C$6)</f>
        <v>1053248.71335</v>
      </c>
      <c r="D10" s="6">
        <f>SUMIFS('12_MODELO'!E$2:E$97,'12_MODELO'!B$2:B$97,'01_PAINEL'!$C$6,'12_MODELO'!A$2:A$97,D$6)</f>
        <v>1076709.5604</v>
      </c>
      <c r="E10" s="6">
        <f>SUMIFS('12_MODELO'!E$2:E$97,'12_MODELO'!B$2:B$97,'01_PAINEL'!$C$6,'12_MODELO'!A$2:A$97,E$6)</f>
        <v>1271807.0682</v>
      </c>
      <c r="F10" s="6">
        <f>SUMIFS('12_MODELO'!E$2:E$97,'12_MODELO'!B$2:B$97,'01_PAINEL'!$C$6,'12_MODELO'!A$2:A$97,F$6)</f>
        <v>1266631.9563</v>
      </c>
      <c r="G10" s="6">
        <f>SUMIFS('12_MODELO'!E$2:E$97,'12_MODELO'!B$2:B$97,'01_PAINEL'!$C$6,'12_MODELO'!A$2:A$97,G$6)</f>
        <v>1326455.85495</v>
      </c>
      <c r="H10" s="6">
        <f>SUMIFS('12_MODELO'!E$2:E$97,'12_MODELO'!B$2:B$97,'01_PAINEL'!$C$6,'12_MODELO'!A$2:A$97,H$6)</f>
        <v>1346112.28755</v>
      </c>
      <c r="I10" s="6">
        <f>SUMIFS('12_MODELO'!E$2:E$97,'12_MODELO'!B$2:B$97,'01_PAINEL'!$C$6,'12_MODELO'!A$2:A$97,I$6)</f>
        <v>1104690.9192</v>
      </c>
      <c r="J10" s="6">
        <f>SUMIFS('12_MODELO'!E$2:E$97,'12_MODELO'!B$2:B$97,'01_PAINEL'!$C$6,'12_MODELO'!A$2:A$97,J$6)</f>
        <v>1188260.0286</v>
      </c>
      <c r="K10" s="6">
        <f>SUMIFS('12_MODELO'!E$2:E$97,'12_MODELO'!B$2:B$97,'01_PAINEL'!$C$6,'12_MODELO'!A$2:A$97,K$6)</f>
        <v>1267559.88525</v>
      </c>
      <c r="L10" s="6">
        <f>SUMIFS('12_MODELO'!E$2:E$97,'12_MODELO'!B$2:B$97,'01_PAINEL'!$C$6,'12_MODELO'!A$2:A$97,L$6)</f>
        <v>1423729.83435</v>
      </c>
      <c r="M10" s="6">
        <f>SUMIFS('12_MODELO'!E$2:E$97,'12_MODELO'!B$2:B$97,'01_PAINEL'!$C$6,'12_MODELO'!A$2:A$97,M$6)</f>
        <v>1669339.4688</v>
      </c>
      <c r="N10" s="6">
        <f>SUMIFS('12_MODELO'!E$2:E$97,'12_MODELO'!B$2:B$97,'01_PAINEL'!$C$6,'12_MODELO'!A$2:A$97,N$6)</f>
        <v>1551038.5332</v>
      </c>
      <c r="O10" s="10">
        <f>SUM(C10:N10)</f>
        <v>15545584.11015</v>
      </c>
    </row>
    <row r="11" spans="2:15">
      <c r="B11" s="11" t="s">
        <v>36</v>
      </c>
      <c r="C11" s="6">
        <f>SUMIFS('12_MODELO'!F$2:F$97,'12_MODELO'!B$2:B$97,'01_PAINEL'!$C$6,'12_MODELO'!A$2:A$97,C$6)</f>
        <v>786981.58</v>
      </c>
      <c r="D11" s="6">
        <f>SUMIFS('12_MODELO'!F$2:F$97,'12_MODELO'!B$2:B$97,'01_PAINEL'!$C$6,'12_MODELO'!A$2:A$97,D$6)</f>
        <v>805807.26</v>
      </c>
      <c r="E11" s="6">
        <f>SUMIFS('12_MODELO'!F$2:F$97,'12_MODELO'!B$2:B$97,'01_PAINEL'!$C$6,'12_MODELO'!A$2:A$97,E$6)</f>
        <v>952291.92</v>
      </c>
      <c r="F11" s="6">
        <f>SUMIFS('12_MODELO'!F$2:F$97,'12_MODELO'!B$2:B$97,'01_PAINEL'!$C$6,'12_MODELO'!A$2:A$97,F$6)</f>
        <v>950090.68</v>
      </c>
      <c r="G11" s="6">
        <f>SUMIFS('12_MODELO'!F$2:F$97,'12_MODELO'!B$2:B$97,'01_PAINEL'!$C$6,'12_MODELO'!A$2:A$97,G$6)</f>
        <v>991818.4</v>
      </c>
      <c r="H11" s="6">
        <f>SUMIFS('12_MODELO'!F$2:F$97,'12_MODELO'!B$2:B$97,'01_PAINEL'!$C$6,'12_MODELO'!A$2:A$97,H$6)</f>
        <v>1007209.94</v>
      </c>
      <c r="I11" s="6">
        <f>SUMIFS('12_MODELO'!F$2:F$97,'12_MODELO'!B$2:B$97,'01_PAINEL'!$C$6,'12_MODELO'!A$2:A$97,I$6)</f>
        <v>820084.68</v>
      </c>
      <c r="J11" s="6">
        <f>SUMIFS('12_MODELO'!F$2:F$97,'12_MODELO'!B$2:B$97,'01_PAINEL'!$C$6,'12_MODELO'!A$2:A$97,J$6)</f>
        <v>883132.1</v>
      </c>
      <c r="K11" s="6">
        <f>SUMIFS('12_MODELO'!F$2:F$97,'12_MODELO'!B$2:B$97,'01_PAINEL'!$C$6,'12_MODELO'!A$2:A$97,K$6)</f>
        <v>941100.92</v>
      </c>
      <c r="L11" s="6">
        <f>SUMIFS('12_MODELO'!F$2:F$97,'12_MODELO'!B$2:B$97,'01_PAINEL'!$C$6,'12_MODELO'!A$2:A$97,L$6)</f>
        <v>1065026.86</v>
      </c>
      <c r="M11" s="6">
        <f>SUMIFS('12_MODELO'!F$2:F$97,'12_MODELO'!B$2:B$97,'01_PAINEL'!$C$6,'12_MODELO'!A$2:A$97,M$6)</f>
        <v>1249236.52</v>
      </c>
      <c r="N11" s="6">
        <f>SUMIFS('12_MODELO'!F$2:F$97,'12_MODELO'!B$2:B$97,'01_PAINEL'!$C$6,'12_MODELO'!A$2:A$97,N$6)</f>
        <v>1161908.16</v>
      </c>
      <c r="O11" s="10">
        <f>SUM(C11:N11)</f>
        <v>11614689.02</v>
      </c>
    </row>
    <row r="12" spans="2:15">
      <c r="B12" s="11" t="s">
        <v>99</v>
      </c>
      <c r="C12" s="6">
        <f>SUMIFS('12_MODELO'!G$2:G$97,'12_MODELO'!B$2:B$97,'01_PAINEL'!$C$6,'12_MODELO'!A$2:A$97,C$6)</f>
        <v>266267.13335000013</v>
      </c>
      <c r="D12" s="6">
        <f>SUMIFS('12_MODELO'!G$2:G$97,'12_MODELO'!B$2:B$97,'01_PAINEL'!$C$6,'12_MODELO'!A$2:A$97,D$6)</f>
        <v>270902.30040000007</v>
      </c>
      <c r="E12" s="6">
        <f>SUMIFS('12_MODELO'!G$2:G$97,'12_MODELO'!B$2:B$97,'01_PAINEL'!$C$6,'12_MODELO'!A$2:A$97,E$6)</f>
        <v>319515.14820000005</v>
      </c>
      <c r="F12" s="6">
        <f>SUMIFS('12_MODELO'!G$2:G$97,'12_MODELO'!B$2:B$97,'01_PAINEL'!$C$6,'12_MODELO'!A$2:A$97,F$6)</f>
        <v>316541.2762999999</v>
      </c>
      <c r="G12" s="6">
        <f>SUMIFS('12_MODELO'!G$2:G$97,'12_MODELO'!B$2:B$97,'01_PAINEL'!$C$6,'12_MODELO'!A$2:A$97,G$6)</f>
        <v>334637.45495000004</v>
      </c>
      <c r="H12" s="6">
        <f>SUMIFS('12_MODELO'!G$2:G$97,'12_MODELO'!B$2:B$97,'01_PAINEL'!$C$6,'12_MODELO'!A$2:A$97,H$6)</f>
        <v>338902.34755000006</v>
      </c>
      <c r="I12" s="6">
        <f>SUMIFS('12_MODELO'!G$2:G$97,'12_MODELO'!B$2:B$97,'01_PAINEL'!$C$6,'12_MODELO'!A$2:A$97,I$6)</f>
        <v>284606.23919999984</v>
      </c>
      <c r="J12" s="6">
        <f>SUMIFS('12_MODELO'!G$2:G$97,'12_MODELO'!B$2:B$97,'01_PAINEL'!$C$6,'12_MODELO'!A$2:A$97,J$6)</f>
        <v>305127.9286000001</v>
      </c>
      <c r="K12" s="6">
        <f>SUMIFS('12_MODELO'!G$2:G$97,'12_MODELO'!B$2:B$97,'01_PAINEL'!$C$6,'12_MODELO'!A$2:A$97,K$6)</f>
        <v>326458.96525</v>
      </c>
      <c r="L12" s="6">
        <f>SUMIFS('12_MODELO'!G$2:G$97,'12_MODELO'!B$2:B$97,'01_PAINEL'!$C$6,'12_MODELO'!A$2:A$97,L$6)</f>
        <v>358702.9743499998</v>
      </c>
      <c r="M12" s="6">
        <f>SUMIFS('12_MODELO'!G$2:G$97,'12_MODELO'!B$2:B$97,'01_PAINEL'!$C$6,'12_MODELO'!A$2:A$97,M$6)</f>
        <v>420102.9487999999</v>
      </c>
      <c r="N12" s="6">
        <f>SUMIFS('12_MODELO'!G$2:G$97,'12_MODELO'!B$2:B$97,'01_PAINEL'!$C$6,'12_MODELO'!A$2:A$97,N$6)</f>
        <v>389130.37320000003</v>
      </c>
      <c r="O12" s="10">
        <f>SUM(C12:N12)</f>
        <v>3930895.09015</v>
      </c>
    </row>
    <row r="13" spans="2:15">
      <c r="B13" s="11" t="s">
        <v>51</v>
      </c>
      <c r="C13" s="6">
        <f>SUMIFS('12_MODELO'!H$2:H$97,'12_MODELO'!B$2:B$97,'01_PAINEL'!$C$6,'12_MODELO'!A$2:A$97,C$6)</f>
        <v>105925.0</v>
      </c>
      <c r="D13" s="6">
        <f>SUMIFS('12_MODELO'!H$2:H$97,'12_MODELO'!B$2:B$97,'01_PAINEL'!$C$6,'12_MODELO'!A$2:A$97,D$6)</f>
        <v>105925.0</v>
      </c>
      <c r="E13" s="6">
        <f>SUMIFS('12_MODELO'!H$2:H$97,'12_MODELO'!B$2:B$97,'01_PAINEL'!$C$6,'12_MODELO'!A$2:A$97,E$6)</f>
        <v>105925.0</v>
      </c>
      <c r="F13" s="6">
        <f>SUMIFS('12_MODELO'!H$2:H$97,'12_MODELO'!B$2:B$97,'01_PAINEL'!$C$6,'12_MODELO'!A$2:A$97,F$6)</f>
        <v>105925.0</v>
      </c>
      <c r="G13" s="6">
        <f>SUMIFS('12_MODELO'!H$2:H$97,'12_MODELO'!B$2:B$97,'01_PAINEL'!$C$6,'12_MODELO'!A$2:A$97,G$6)</f>
        <v>105925.0</v>
      </c>
      <c r="H13" s="6">
        <f>SUMIFS('12_MODELO'!H$2:H$97,'12_MODELO'!B$2:B$97,'01_PAINEL'!$C$6,'12_MODELO'!A$2:A$97,H$6)</f>
        <v>105925.0</v>
      </c>
      <c r="I13" s="6">
        <f>SUMIFS('12_MODELO'!H$2:H$97,'12_MODELO'!B$2:B$97,'01_PAINEL'!$C$6,'12_MODELO'!A$2:A$97,I$6)</f>
        <v>110162.0</v>
      </c>
      <c r="J13" s="6">
        <f>SUMIFS('12_MODELO'!H$2:H$97,'12_MODELO'!B$2:B$97,'01_PAINEL'!$C$6,'12_MODELO'!A$2:A$97,J$6)</f>
        <v>110162.0</v>
      </c>
      <c r="K13" s="6">
        <f>SUMIFS('12_MODELO'!H$2:H$97,'12_MODELO'!B$2:B$97,'01_PAINEL'!$C$6,'12_MODELO'!A$2:A$97,K$6)</f>
        <v>110162.0</v>
      </c>
      <c r="L13" s="6">
        <f>SUMIFS('12_MODELO'!H$2:H$97,'12_MODELO'!B$2:B$97,'01_PAINEL'!$C$6,'12_MODELO'!A$2:A$97,L$6)</f>
        <v>110162.0</v>
      </c>
      <c r="M13" s="6">
        <f>SUMIFS('12_MODELO'!H$2:H$97,'12_MODELO'!B$2:B$97,'01_PAINEL'!$C$6,'12_MODELO'!A$2:A$97,M$6)</f>
        <v>110162.0</v>
      </c>
      <c r="N13" s="6">
        <f>SUMIFS('12_MODELO'!H$2:H$97,'12_MODELO'!B$2:B$97,'01_PAINEL'!$C$6,'12_MODELO'!A$2:A$97,N$6)</f>
        <v>110162.0</v>
      </c>
      <c r="O13" s="10">
        <f>SUM(C13:N13)</f>
        <v>1296522.0</v>
      </c>
    </row>
    <row r="14" spans="2:15">
      <c r="B14" s="11" t="s">
        <v>52</v>
      </c>
      <c r="C14" s="6">
        <f>SUMIFS('12_MODELO'!I$2:I$97,'12_MODELO'!B$2:B$97,'01_PAINEL'!$C$6,'12_MODELO'!A$2:A$97,C$6)</f>
        <v>41439.29</v>
      </c>
      <c r="D14" s="6">
        <f>SUMIFS('12_MODELO'!I$2:I$97,'12_MODELO'!B$2:B$97,'01_PAINEL'!$C$6,'12_MODELO'!A$2:A$97,D$6)</f>
        <v>42362.34</v>
      </c>
      <c r="E14" s="6">
        <f>SUMIFS('12_MODELO'!I$2:I$97,'12_MODELO'!B$2:B$97,'01_PAINEL'!$C$6,'12_MODELO'!A$2:A$97,E$6)</f>
        <v>50038.31</v>
      </c>
      <c r="F14" s="6">
        <f>SUMIFS('12_MODELO'!I$2:I$97,'12_MODELO'!B$2:B$97,'01_PAINEL'!$C$6,'12_MODELO'!A$2:A$97,F$6)</f>
        <v>49834.7</v>
      </c>
      <c r="G14" s="6">
        <f>SUMIFS('12_MODELO'!I$2:I$97,'12_MODELO'!B$2:B$97,'01_PAINEL'!$C$6,'12_MODELO'!A$2:A$97,G$6)</f>
        <v>52188.43</v>
      </c>
      <c r="H14" s="6">
        <f>SUMIFS('12_MODELO'!I$2:I$97,'12_MODELO'!B$2:B$97,'01_PAINEL'!$C$6,'12_MODELO'!A$2:A$97,H$6)</f>
        <v>52961.79</v>
      </c>
      <c r="I14" s="6">
        <f>SUMIFS('12_MODELO'!I$2:I$97,'12_MODELO'!B$2:B$97,'01_PAINEL'!$C$6,'12_MODELO'!A$2:A$97,I$6)</f>
        <v>43463.25</v>
      </c>
      <c r="J14" s="6">
        <f>SUMIFS('12_MODELO'!I$2:I$97,'12_MODELO'!B$2:B$97,'01_PAINEL'!$C$6,'12_MODELO'!A$2:A$97,J$6)</f>
        <v>46751.21</v>
      </c>
      <c r="K14" s="6">
        <f>SUMIFS('12_MODELO'!I$2:I$97,'12_MODELO'!B$2:B$97,'01_PAINEL'!$C$6,'12_MODELO'!A$2:A$97,K$6)</f>
        <v>49871.21</v>
      </c>
      <c r="L14" s="6">
        <f>SUMIFS('12_MODELO'!I$2:I$97,'12_MODELO'!B$2:B$97,'01_PAINEL'!$C$6,'12_MODELO'!A$2:A$97,L$6)</f>
        <v>56015.6</v>
      </c>
      <c r="M14" s="6">
        <f>SUMIFS('12_MODELO'!I$2:I$97,'12_MODELO'!B$2:B$97,'01_PAINEL'!$C$6,'12_MODELO'!A$2:A$97,M$6)</f>
        <v>65678.93</v>
      </c>
      <c r="N14" s="6">
        <f>SUMIFS('12_MODELO'!I$2:I$97,'12_MODELO'!B$2:B$97,'01_PAINEL'!$C$6,'12_MODELO'!A$2:A$97,N$6)</f>
        <v>61024.47</v>
      </c>
      <c r="O14" s="10">
        <f>SUM(C14:N14)</f>
        <v>611629.53</v>
      </c>
    </row>
    <row r="15" spans="2:15">
      <c r="B15" s="11" t="s">
        <v>54</v>
      </c>
      <c r="C15" s="6">
        <f>SUMIFS('12_MODELO'!J$2:J$97,'12_MODELO'!B$2:B$97,'01_PAINEL'!$C$6,'12_MODELO'!A$2:A$97,C$6)</f>
        <v>33920.0</v>
      </c>
      <c r="D15" s="6">
        <f>SUMIFS('12_MODELO'!J$2:J$97,'12_MODELO'!B$2:B$97,'01_PAINEL'!$C$6,'12_MODELO'!A$2:A$97,D$6)</f>
        <v>33920.0</v>
      </c>
      <c r="E15" s="6">
        <f>SUMIFS('12_MODELO'!J$2:J$97,'12_MODELO'!B$2:B$97,'01_PAINEL'!$C$6,'12_MODELO'!A$2:A$97,E$6)</f>
        <v>33920.0</v>
      </c>
      <c r="F15" s="6">
        <f>SUMIFS('12_MODELO'!J$2:J$97,'12_MODELO'!B$2:B$97,'01_PAINEL'!$C$6,'12_MODELO'!A$2:A$97,F$6)</f>
        <v>33920.0</v>
      </c>
      <c r="G15" s="6">
        <f>SUMIFS('12_MODELO'!J$2:J$97,'12_MODELO'!B$2:B$97,'01_PAINEL'!$C$6,'12_MODELO'!A$2:A$97,G$6)</f>
        <v>33920.0</v>
      </c>
      <c r="H15" s="6">
        <f>SUMIFS('12_MODELO'!J$2:J$97,'12_MODELO'!B$2:B$97,'01_PAINEL'!$C$6,'12_MODELO'!A$2:A$97,H$6)</f>
        <v>33920.0</v>
      </c>
      <c r="I15" s="6">
        <f>SUMIFS('12_MODELO'!J$2:J$97,'12_MODELO'!B$2:B$97,'01_PAINEL'!$C$6,'12_MODELO'!A$2:A$97,I$6)</f>
        <v>33920.0</v>
      </c>
      <c r="J15" s="6">
        <f>SUMIFS('12_MODELO'!J$2:J$97,'12_MODELO'!B$2:B$97,'01_PAINEL'!$C$6,'12_MODELO'!A$2:A$97,J$6)</f>
        <v>33920.0</v>
      </c>
      <c r="K15" s="6">
        <f>SUMIFS('12_MODELO'!J$2:J$97,'12_MODELO'!B$2:B$97,'01_PAINEL'!$C$6,'12_MODELO'!A$2:A$97,K$6)</f>
        <v>33920.0</v>
      </c>
      <c r="L15" s="6">
        <f>SUMIFS('12_MODELO'!J$2:J$97,'12_MODELO'!B$2:B$97,'01_PAINEL'!$C$6,'12_MODELO'!A$2:A$97,L$6)</f>
        <v>33920.0</v>
      </c>
      <c r="M15" s="6">
        <f>SUMIFS('12_MODELO'!J$2:J$97,'12_MODELO'!B$2:B$97,'01_PAINEL'!$C$6,'12_MODELO'!A$2:A$97,M$6)</f>
        <v>33920.0</v>
      </c>
      <c r="N15" s="6">
        <f>SUMIFS('12_MODELO'!J$2:J$97,'12_MODELO'!B$2:B$97,'01_PAINEL'!$C$6,'12_MODELO'!A$2:A$97,N$6)</f>
        <v>33920.0</v>
      </c>
      <c r="O15" s="10">
        <f>SUM(C15:N15)</f>
        <v>407040.0</v>
      </c>
    </row>
    <row r="16" spans="2:15">
      <c r="B16" s="11" t="s">
        <v>56</v>
      </c>
      <c r="C16" s="6">
        <f>SUMIFS('12_MODELO'!K$2:K$97,'12_MODELO'!B$2:B$97,'01_PAINEL'!$C$6,'12_MODELO'!A$2:A$97,C$6)</f>
        <v>20160.0</v>
      </c>
      <c r="D16" s="6">
        <f>SUMIFS('12_MODELO'!K$2:K$97,'12_MODELO'!B$2:B$97,'01_PAINEL'!$C$6,'12_MODELO'!A$2:A$97,D$6)</f>
        <v>20160.0</v>
      </c>
      <c r="E16" s="6">
        <f>SUMIFS('12_MODELO'!K$2:K$97,'12_MODELO'!B$2:B$97,'01_PAINEL'!$C$6,'12_MODELO'!A$2:A$97,E$6)</f>
        <v>20160.0</v>
      </c>
      <c r="F16" s="6">
        <f>SUMIFS('12_MODELO'!K$2:K$97,'12_MODELO'!B$2:B$97,'01_PAINEL'!$C$6,'12_MODELO'!A$2:A$97,F$6)</f>
        <v>48160.0</v>
      </c>
      <c r="G16" s="6">
        <f>SUMIFS('12_MODELO'!K$2:K$97,'12_MODELO'!B$2:B$97,'01_PAINEL'!$C$6,'12_MODELO'!A$2:A$97,G$6)</f>
        <v>48160.0</v>
      </c>
      <c r="H16" s="6">
        <f>SUMIFS('12_MODELO'!K$2:K$97,'12_MODELO'!B$2:B$97,'01_PAINEL'!$C$6,'12_MODELO'!A$2:A$97,H$6)</f>
        <v>20160.0</v>
      </c>
      <c r="I16" s="6">
        <f>SUMIFS('12_MODELO'!K$2:K$97,'12_MODELO'!B$2:B$97,'01_PAINEL'!$C$6,'12_MODELO'!A$2:A$97,I$6)</f>
        <v>20160.0</v>
      </c>
      <c r="J16" s="6">
        <f>SUMIFS('12_MODELO'!K$2:K$97,'12_MODELO'!B$2:B$97,'01_PAINEL'!$C$6,'12_MODELO'!A$2:A$97,J$6)</f>
        <v>20160.0</v>
      </c>
      <c r="K16" s="6">
        <f>SUMIFS('12_MODELO'!K$2:K$97,'12_MODELO'!B$2:B$97,'01_PAINEL'!$C$6,'12_MODELO'!A$2:A$97,K$6)</f>
        <v>20160.0</v>
      </c>
      <c r="L16" s="6">
        <f>SUMIFS('12_MODELO'!K$2:K$97,'12_MODELO'!B$2:B$97,'01_PAINEL'!$C$6,'12_MODELO'!A$2:A$97,L$6)</f>
        <v>20160.0</v>
      </c>
      <c r="M16" s="6">
        <f>SUMIFS('12_MODELO'!K$2:K$97,'12_MODELO'!B$2:B$97,'01_PAINEL'!$C$6,'12_MODELO'!A$2:A$97,M$6)</f>
        <v>20160.0</v>
      </c>
      <c r="N16" s="6">
        <f>SUMIFS('12_MODELO'!K$2:K$97,'12_MODELO'!B$2:B$97,'01_PAINEL'!$C$6,'12_MODELO'!A$2:A$97,N$6)</f>
        <v>20160.0</v>
      </c>
      <c r="O16" s="10">
        <f>SUM(C16:N16)</f>
        <v>297920.0</v>
      </c>
    </row>
    <row r="17" spans="2:15">
      <c r="B17" s="11" t="s">
        <v>66</v>
      </c>
      <c r="C17" s="6">
        <f>SUMIFS('12_MODELO'!L$2:L$97,'12_MODELO'!B$2:B$97,'01_PAINEL'!$C$6,'12_MODELO'!A$2:A$97,C$6)</f>
        <v>25324.01</v>
      </c>
      <c r="D17" s="6">
        <f>SUMIFS('12_MODELO'!L$2:L$97,'12_MODELO'!B$2:B$97,'01_PAINEL'!$C$6,'12_MODELO'!A$2:A$97,D$6)</f>
        <v>25888.1</v>
      </c>
      <c r="E17" s="6">
        <f>SUMIFS('12_MODELO'!L$2:L$97,'12_MODELO'!B$2:B$97,'01_PAINEL'!$C$6,'12_MODELO'!A$2:A$97,E$6)</f>
        <v>30578.97</v>
      </c>
      <c r="F17" s="6">
        <f>SUMIFS('12_MODELO'!L$2:L$97,'12_MODELO'!B$2:B$97,'01_PAINEL'!$C$6,'12_MODELO'!A$2:A$97,F$6)</f>
        <v>30454.54</v>
      </c>
      <c r="G17" s="6">
        <f>SUMIFS('12_MODELO'!L$2:L$97,'12_MODELO'!B$2:B$97,'01_PAINEL'!$C$6,'12_MODELO'!A$2:A$97,G$6)</f>
        <v>31892.93</v>
      </c>
      <c r="H17" s="6">
        <f>SUMIFS('12_MODELO'!L$2:L$97,'12_MODELO'!B$2:B$97,'01_PAINEL'!$C$6,'12_MODELO'!A$2:A$97,H$6)</f>
        <v>32365.54</v>
      </c>
      <c r="I17" s="6">
        <f>SUMIFS('12_MODELO'!L$2:L$97,'12_MODELO'!B$2:B$97,'01_PAINEL'!$C$6,'12_MODELO'!A$2:A$97,I$6)</f>
        <v>26560.87</v>
      </c>
      <c r="J17" s="6">
        <f>SUMIFS('12_MODELO'!L$2:L$97,'12_MODELO'!B$2:B$97,'01_PAINEL'!$C$6,'12_MODELO'!A$2:A$97,J$6)</f>
        <v>28570.19</v>
      </c>
      <c r="K17" s="6">
        <f>SUMIFS('12_MODELO'!L$2:L$97,'12_MODELO'!B$2:B$97,'01_PAINEL'!$C$6,'12_MODELO'!A$2:A$97,K$6)</f>
        <v>30476.85</v>
      </c>
      <c r="L17" s="6">
        <f>SUMIFS('12_MODELO'!L$2:L$97,'12_MODELO'!B$2:B$97,'01_PAINEL'!$C$6,'12_MODELO'!A$2:A$97,L$6)</f>
        <v>34231.76</v>
      </c>
      <c r="M17" s="6">
        <f>SUMIFS('12_MODELO'!L$2:L$97,'12_MODELO'!B$2:B$97,'01_PAINEL'!$C$6,'12_MODELO'!A$2:A$97,M$6)</f>
        <v>40137.12</v>
      </c>
      <c r="N17" s="6">
        <f>SUMIFS('12_MODELO'!L$2:L$97,'12_MODELO'!B$2:B$97,'01_PAINEL'!$C$6,'12_MODELO'!A$2:A$97,N$6)</f>
        <v>37292.73</v>
      </c>
      <c r="O17" s="10">
        <f>SUM(C17:N17)</f>
        <v>373773.61</v>
      </c>
    </row>
    <row r="18" spans="2:15">
      <c r="B18" s="11" t="s">
        <v>100</v>
      </c>
      <c r="C18" s="6">
        <f>SUMIFS('12_MODELO'!M$2:M$97,'12_MODELO'!B$2:B$97,'01_PAINEL'!$C$6,'12_MODELO'!A$2:A$97,C$6)</f>
        <v>226768.3</v>
      </c>
      <c r="D18" s="6">
        <f>SUMIFS('12_MODELO'!M$2:M$97,'12_MODELO'!B$2:B$97,'01_PAINEL'!$C$6,'12_MODELO'!A$2:A$97,D$6)</f>
        <v>228255.44</v>
      </c>
      <c r="E18" s="6">
        <f>SUMIFS('12_MODELO'!M$2:M$97,'12_MODELO'!B$2:B$97,'01_PAINEL'!$C$6,'12_MODELO'!A$2:A$97,E$6)</f>
        <v>240622.28</v>
      </c>
      <c r="F18" s="6">
        <f>SUMIFS('12_MODELO'!M$2:M$97,'12_MODELO'!B$2:B$97,'01_PAINEL'!$C$6,'12_MODELO'!A$2:A$97,F$6)</f>
        <v>268294.24</v>
      </c>
      <c r="G18" s="6">
        <f>SUMIFS('12_MODELO'!M$2:M$97,'12_MODELO'!B$2:B$97,'01_PAINEL'!$C$6,'12_MODELO'!A$2:A$97,G$6)</f>
        <v>272086.36</v>
      </c>
      <c r="H18" s="6">
        <f>SUMIFS('12_MODELO'!M$2:M$97,'12_MODELO'!B$2:B$97,'01_PAINEL'!$C$6,'12_MODELO'!A$2:A$97,H$6)</f>
        <v>245332.33000000002</v>
      </c>
      <c r="I18" s="6">
        <f>SUMIFS('12_MODELO'!M$2:M$97,'12_MODELO'!B$2:B$97,'01_PAINEL'!$C$6,'12_MODELO'!A$2:A$97,I$6)</f>
        <v>234266.12</v>
      </c>
      <c r="J18" s="6">
        <f>SUMIFS('12_MODELO'!M$2:M$97,'12_MODELO'!B$2:B$97,'01_PAINEL'!$C$6,'12_MODELO'!A$2:A$97,J$6)</f>
        <v>239563.4</v>
      </c>
      <c r="K18" s="6">
        <f>SUMIFS('12_MODELO'!M$2:M$97,'12_MODELO'!B$2:B$97,'01_PAINEL'!$C$6,'12_MODELO'!A$2:A$97,K$6)</f>
        <v>244590.06</v>
      </c>
      <c r="L18" s="6">
        <f>SUMIFS('12_MODELO'!M$2:M$97,'12_MODELO'!B$2:B$97,'01_PAINEL'!$C$6,'12_MODELO'!A$2:A$97,L$6)</f>
        <v>254489.36</v>
      </c>
      <c r="M18" s="6">
        <f>SUMIFS('12_MODELO'!M$2:M$97,'12_MODELO'!B$2:B$97,'01_PAINEL'!$C$6,'12_MODELO'!A$2:A$97,M$6)</f>
        <v>270058.05</v>
      </c>
      <c r="N18" s="6">
        <f>SUMIFS('12_MODELO'!M$2:M$97,'12_MODELO'!B$2:B$97,'01_PAINEL'!$C$6,'12_MODELO'!A$2:A$97,N$6)</f>
        <v>262559.2</v>
      </c>
      <c r="O18" s="10">
        <f>SUM(C18:N18)</f>
        <v>2986885.14</v>
      </c>
    </row>
    <row r="19" spans="2:15">
      <c r="B19" s="2" t="s">
        <v>101</v>
      </c>
      <c r="C19" s="6">
        <f>SUMIFS('12_MODELO'!N$2:N$97,'12_MODELO'!B$2:B$97,'01_PAINEL'!$C$6,'12_MODELO'!A$2:A$97,C$6)</f>
        <v>39498.833350000146</v>
      </c>
      <c r="D19" s="6">
        <f>SUMIFS('12_MODELO'!N$2:N$97,'12_MODELO'!B$2:B$97,'01_PAINEL'!$C$6,'12_MODELO'!A$2:A$97,D$6)</f>
        <v>42646.86040000006</v>
      </c>
      <c r="E19" s="6">
        <f>SUMIFS('12_MODELO'!N$2:N$97,'12_MODELO'!B$2:B$97,'01_PAINEL'!$C$6,'12_MODELO'!A$2:A$97,E$6)</f>
        <v>78892.86820000006</v>
      </c>
      <c r="F19" s="6">
        <f>SUMIFS('12_MODELO'!N$2:N$97,'12_MODELO'!B$2:B$97,'01_PAINEL'!$C$6,'12_MODELO'!A$2:A$97,F$6)</f>
        <v>48247.03629999992</v>
      </c>
      <c r="G19" s="6">
        <f>SUMIFS('12_MODELO'!N$2:N$97,'12_MODELO'!B$2:B$97,'01_PAINEL'!$C$6,'12_MODELO'!A$2:A$97,G$6)</f>
        <v>62551.09495000006</v>
      </c>
      <c r="H19" s="6">
        <f>SUMIFS('12_MODELO'!N$2:N$97,'12_MODELO'!B$2:B$97,'01_PAINEL'!$C$6,'12_MODELO'!A$2:A$97,H$6)</f>
        <v>93570.01755000005</v>
      </c>
      <c r="I19" s="6">
        <f>SUMIFS('12_MODELO'!N$2:N$97,'12_MODELO'!B$2:B$97,'01_PAINEL'!$C$6,'12_MODELO'!A$2:A$97,I$6)</f>
        <v>50340.11919999984</v>
      </c>
      <c r="J19" s="6">
        <f>SUMIFS('12_MODELO'!N$2:N$97,'12_MODELO'!B$2:B$97,'01_PAINEL'!$C$6,'12_MODELO'!A$2:A$97,J$6)</f>
        <v>65564.5286000001</v>
      </c>
      <c r="K19" s="6">
        <f>SUMIFS('12_MODELO'!N$2:N$97,'12_MODELO'!B$2:B$97,'01_PAINEL'!$C$6,'12_MODELO'!A$2:A$97,K$6)</f>
        <v>81868.90525000001</v>
      </c>
      <c r="L19" s="6">
        <f>SUMIFS('12_MODELO'!N$2:N$97,'12_MODELO'!B$2:B$97,'01_PAINEL'!$C$6,'12_MODELO'!A$2:A$97,L$6)</f>
        <v>104213.61434999981</v>
      </c>
      <c r="M19" s="6">
        <f>SUMIFS('12_MODELO'!N$2:N$97,'12_MODELO'!B$2:B$97,'01_PAINEL'!$C$6,'12_MODELO'!A$2:A$97,M$6)</f>
        <v>150044.8987999999</v>
      </c>
      <c r="N19" s="6">
        <f>SUMIFS('12_MODELO'!N$2:N$97,'12_MODELO'!B$2:B$97,'01_PAINEL'!$C$6,'12_MODELO'!A$2:A$97,N$6)</f>
        <v>126571.17320000002</v>
      </c>
      <c r="O19" s="10">
        <f>SUM(C19:N19)</f>
        <v>944009.9501499999</v>
      </c>
    </row>
    <row r="20" spans="2:15">
      <c r="B20" s="11" t="s">
        <v>102</v>
      </c>
      <c r="C20" s="6">
        <f>SUMIFS('12_MODELO'!O$2:O$97,'12_MODELO'!B$2:B$97,'01_PAINEL'!$C$6,'12_MODELO'!A$2:A$97,C$6)</f>
        <v>20040.0</v>
      </c>
      <c r="D20" s="6">
        <f>SUMIFS('12_MODELO'!O$2:O$97,'12_MODELO'!B$2:B$97,'01_PAINEL'!$C$6,'12_MODELO'!A$2:A$97,D$6)</f>
        <v>20220.0</v>
      </c>
      <c r="E20" s="6">
        <f>SUMIFS('12_MODELO'!O$2:O$97,'12_MODELO'!B$2:B$97,'01_PAINEL'!$C$6,'12_MODELO'!A$2:A$97,E$6)</f>
        <v>20400.0</v>
      </c>
      <c r="F20" s="6">
        <f>SUMIFS('12_MODELO'!O$2:O$97,'12_MODELO'!B$2:B$97,'01_PAINEL'!$C$6,'12_MODELO'!A$2:A$97,F$6)</f>
        <v>21300.0</v>
      </c>
      <c r="G20" s="6">
        <f>SUMIFS('12_MODELO'!O$2:O$97,'12_MODELO'!B$2:B$97,'01_PAINEL'!$C$6,'12_MODELO'!A$2:A$97,G$6)</f>
        <v>21480.0</v>
      </c>
      <c r="H20" s="6">
        <f>SUMIFS('12_MODELO'!O$2:O$97,'12_MODELO'!B$2:B$97,'01_PAINEL'!$C$6,'12_MODELO'!A$2:A$97,H$6)</f>
        <v>21660.0</v>
      </c>
      <c r="I20" s="6">
        <f>SUMIFS('12_MODELO'!O$2:O$97,'12_MODELO'!B$2:B$97,'01_PAINEL'!$C$6,'12_MODELO'!A$2:A$97,I$6)</f>
        <v>22560.0</v>
      </c>
      <c r="J20" s="6">
        <f>SUMIFS('12_MODELO'!O$2:O$97,'12_MODELO'!B$2:B$97,'01_PAINEL'!$C$6,'12_MODELO'!A$2:A$97,J$6)</f>
        <v>22740.0</v>
      </c>
      <c r="K20" s="6">
        <f>SUMIFS('12_MODELO'!O$2:O$97,'12_MODELO'!B$2:B$97,'01_PAINEL'!$C$6,'12_MODELO'!A$2:A$97,K$6)</f>
        <v>22920.0</v>
      </c>
      <c r="L20" s="6">
        <f>SUMIFS('12_MODELO'!O$2:O$97,'12_MODELO'!B$2:B$97,'01_PAINEL'!$C$6,'12_MODELO'!A$2:A$97,L$6)</f>
        <v>23820.0</v>
      </c>
      <c r="M20" s="6">
        <f>SUMIFS('12_MODELO'!O$2:O$97,'12_MODELO'!B$2:B$97,'01_PAINEL'!$C$6,'12_MODELO'!A$2:A$97,M$6)</f>
        <v>24000.0</v>
      </c>
      <c r="N20" s="6">
        <f>SUMIFS('12_MODELO'!O$2:O$97,'12_MODELO'!B$2:B$97,'01_PAINEL'!$C$6,'12_MODELO'!A$2:A$97,N$6)</f>
        <v>24180.0</v>
      </c>
      <c r="O20" s="10">
        <f>SUM(C20:N20)</f>
        <v>265320.0</v>
      </c>
    </row>
    <row r="21" spans="2:15">
      <c r="B21" s="11" t="s">
        <v>103</v>
      </c>
      <c r="C21" s="6">
        <f>SUMIFS('12_MODELO'!P$2:P$97,'12_MODELO'!B$2:B$97,'01_PAINEL'!$C$6,'12_MODELO'!A$2:A$97,C$6)</f>
        <v>19458.833350000146</v>
      </c>
      <c r="D21" s="6">
        <f>SUMIFS('12_MODELO'!P$2:P$97,'12_MODELO'!B$2:B$97,'01_PAINEL'!$C$6,'12_MODELO'!A$2:A$97,D$6)</f>
        <v>22426.860400000063</v>
      </c>
      <c r="E21" s="6">
        <f>SUMIFS('12_MODELO'!P$2:P$97,'12_MODELO'!B$2:B$97,'01_PAINEL'!$C$6,'12_MODELO'!A$2:A$97,E$6)</f>
        <v>58492.868200000055</v>
      </c>
      <c r="F21" s="6">
        <f>SUMIFS('12_MODELO'!P$2:P$97,'12_MODELO'!B$2:B$97,'01_PAINEL'!$C$6,'12_MODELO'!A$2:A$97,F$6)</f>
        <v>26947.03629999992</v>
      </c>
      <c r="G21" s="6">
        <f>SUMIFS('12_MODELO'!P$2:P$97,'12_MODELO'!B$2:B$97,'01_PAINEL'!$C$6,'12_MODELO'!A$2:A$97,G$6)</f>
        <v>41071.09495000006</v>
      </c>
      <c r="H21" s="6">
        <f>SUMIFS('12_MODELO'!P$2:P$97,'12_MODELO'!B$2:B$97,'01_PAINEL'!$C$6,'12_MODELO'!A$2:A$97,H$6)</f>
        <v>71910.01755000005</v>
      </c>
      <c r="I21" s="6">
        <f>SUMIFS('12_MODELO'!P$2:P$97,'12_MODELO'!B$2:B$97,'01_PAINEL'!$C$6,'12_MODELO'!A$2:A$97,I$6)</f>
        <v>27780.11919999984</v>
      </c>
      <c r="J21" s="6">
        <f>SUMIFS('12_MODELO'!P$2:P$97,'12_MODELO'!B$2:B$97,'01_PAINEL'!$C$6,'12_MODELO'!A$2:A$97,J$6)</f>
        <v>42824.52860000011</v>
      </c>
      <c r="K21" s="6">
        <f>SUMIFS('12_MODELO'!P$2:P$97,'12_MODELO'!B$2:B$97,'01_PAINEL'!$C$6,'12_MODELO'!A$2:A$97,K$6)</f>
        <v>58948.90525000001</v>
      </c>
      <c r="L21" s="6">
        <f>SUMIFS('12_MODELO'!P$2:P$97,'12_MODELO'!B$2:B$97,'01_PAINEL'!$C$6,'12_MODELO'!A$2:A$97,L$6)</f>
        <v>80393.61434999981</v>
      </c>
      <c r="M21" s="6">
        <f>SUMIFS('12_MODELO'!P$2:P$97,'12_MODELO'!B$2:B$97,'01_PAINEL'!$C$6,'12_MODELO'!A$2:A$97,M$6)</f>
        <v>126044.89879999991</v>
      </c>
      <c r="N21" s="6">
        <f>SUMIFS('12_MODELO'!P$2:P$97,'12_MODELO'!B$2:B$97,'01_PAINEL'!$C$6,'12_MODELO'!A$2:A$97,N$6)</f>
        <v>102391.17320000002</v>
      </c>
      <c r="O21" s="10">
        <f>SUM(C21:N21)</f>
        <v>678689.9501499999</v>
      </c>
    </row>
    <row r="22" spans="2:15">
      <c r="B22" s="11" t="s">
        <v>104</v>
      </c>
      <c r="C22" s="6">
        <f>SUMIFS('12_MODELO'!Q$2:Q$97,'12_MODELO'!B$2:B$97,'01_PAINEL'!$C$6,'12_MODELO'!A$2:A$97,C$6)</f>
        <v>7008.0</v>
      </c>
      <c r="D22" s="6">
        <f>SUMIFS('12_MODELO'!Q$2:Q$97,'12_MODELO'!B$2:B$97,'01_PAINEL'!$C$6,'12_MODELO'!A$2:A$97,D$6)</f>
        <v>6792.0</v>
      </c>
      <c r="E22" s="6">
        <f>SUMIFS('12_MODELO'!Q$2:Q$97,'12_MODELO'!B$2:B$97,'01_PAINEL'!$C$6,'12_MODELO'!A$2:A$97,E$6)</f>
        <v>6576.0</v>
      </c>
      <c r="F22" s="6">
        <f>SUMIFS('12_MODELO'!Q$2:Q$97,'12_MODELO'!B$2:B$97,'01_PAINEL'!$C$6,'12_MODELO'!A$2:A$97,F$6)</f>
        <v>6360.0</v>
      </c>
      <c r="G22" s="6">
        <f>SUMIFS('12_MODELO'!Q$2:Q$97,'12_MODELO'!B$2:B$97,'01_PAINEL'!$C$6,'12_MODELO'!A$2:A$97,G$6)</f>
        <v>10344.0</v>
      </c>
      <c r="H22" s="6">
        <f>SUMIFS('12_MODELO'!Q$2:Q$97,'12_MODELO'!B$2:B$97,'01_PAINEL'!$C$6,'12_MODELO'!A$2:A$97,H$6)</f>
        <v>10128.0</v>
      </c>
      <c r="I22" s="6">
        <f>SUMIFS('12_MODELO'!Q$2:Q$97,'12_MODELO'!B$2:B$97,'01_PAINEL'!$C$6,'12_MODELO'!A$2:A$97,I$6)</f>
        <v>9912.0</v>
      </c>
      <c r="J22" s="6">
        <f>SUMIFS('12_MODELO'!Q$2:Q$97,'12_MODELO'!B$2:B$97,'01_PAINEL'!$C$6,'12_MODELO'!A$2:A$97,J$6)</f>
        <v>9696.0</v>
      </c>
      <c r="K22" s="6">
        <f>SUMIFS('12_MODELO'!Q$2:Q$97,'12_MODELO'!B$2:B$97,'01_PAINEL'!$C$6,'12_MODELO'!A$2:A$97,K$6)</f>
        <v>9480.0</v>
      </c>
      <c r="L22" s="6">
        <f>SUMIFS('12_MODELO'!Q$2:Q$97,'12_MODELO'!B$2:B$97,'01_PAINEL'!$C$6,'12_MODELO'!A$2:A$97,L$6)</f>
        <v>9264.0</v>
      </c>
      <c r="M22" s="6">
        <f>SUMIFS('12_MODELO'!Q$2:Q$97,'12_MODELO'!B$2:B$97,'01_PAINEL'!$C$6,'12_MODELO'!A$2:A$97,M$6)</f>
        <v>9048.0</v>
      </c>
      <c r="N22" s="6">
        <f>SUMIFS('12_MODELO'!Q$2:Q$97,'12_MODELO'!B$2:B$97,'01_PAINEL'!$C$6,'12_MODELO'!A$2:A$97,N$6)</f>
        <v>8832.0</v>
      </c>
      <c r="O22" s="10">
        <f>SUM(C22:N22)</f>
        <v>103440.0</v>
      </c>
    </row>
    <row r="23" spans="2:15">
      <c r="B23" s="11" t="s">
        <v>105</v>
      </c>
      <c r="C23" s="6">
        <f>SUMIFS('12_MODELO'!R$2:R$97,'12_MODELO'!B$2:B$97,'01_PAINEL'!$C$6,'12_MODELO'!A$2:A$97,C$6)</f>
        <v>12450.833350000146</v>
      </c>
      <c r="D23" s="6">
        <f>SUMIFS('12_MODELO'!R$2:R$97,'12_MODELO'!B$2:B$97,'01_PAINEL'!$C$6,'12_MODELO'!A$2:A$97,D$6)</f>
        <v>15634.860400000063</v>
      </c>
      <c r="E23" s="6">
        <f>SUMIFS('12_MODELO'!R$2:R$97,'12_MODELO'!B$2:B$97,'01_PAINEL'!$C$6,'12_MODELO'!A$2:A$97,E$6)</f>
        <v>51916.868200000055</v>
      </c>
      <c r="F23" s="6">
        <f>SUMIFS('12_MODELO'!R$2:R$97,'12_MODELO'!B$2:B$97,'01_PAINEL'!$C$6,'12_MODELO'!A$2:A$97,F$6)</f>
        <v>20587.03629999992</v>
      </c>
      <c r="G23" s="6">
        <f>SUMIFS('12_MODELO'!R$2:R$97,'12_MODELO'!B$2:B$97,'01_PAINEL'!$C$6,'12_MODELO'!A$2:A$97,G$6)</f>
        <v>30727.094950000057</v>
      </c>
      <c r="H23" s="6">
        <f>SUMIFS('12_MODELO'!R$2:R$97,'12_MODELO'!B$2:B$97,'01_PAINEL'!$C$6,'12_MODELO'!A$2:A$97,H$6)</f>
        <v>61782.01755000005</v>
      </c>
      <c r="I23" s="6">
        <f>SUMIFS('12_MODELO'!R$2:R$97,'12_MODELO'!B$2:B$97,'01_PAINEL'!$C$6,'12_MODELO'!A$2:A$97,I$6)</f>
        <v>17868.11919999984</v>
      </c>
      <c r="J23" s="6">
        <f>SUMIFS('12_MODELO'!R$2:R$97,'12_MODELO'!B$2:B$97,'01_PAINEL'!$C$6,'12_MODELO'!A$2:A$97,J$6)</f>
        <v>33128.52860000011</v>
      </c>
      <c r="K23" s="6">
        <f>SUMIFS('12_MODELO'!R$2:R$97,'12_MODELO'!B$2:B$97,'01_PAINEL'!$C$6,'12_MODELO'!A$2:A$97,K$6)</f>
        <v>49468.90525000001</v>
      </c>
      <c r="L23" s="6">
        <f>SUMIFS('12_MODELO'!R$2:R$97,'12_MODELO'!B$2:B$97,'01_PAINEL'!$C$6,'12_MODELO'!A$2:A$97,L$6)</f>
        <v>71129.61434999981</v>
      </c>
      <c r="M23" s="6">
        <f>SUMIFS('12_MODELO'!R$2:R$97,'12_MODELO'!B$2:B$97,'01_PAINEL'!$C$6,'12_MODELO'!A$2:A$97,M$6)</f>
        <v>116996.89879999991</v>
      </c>
      <c r="N23" s="6">
        <f>SUMIFS('12_MODELO'!R$2:R$97,'12_MODELO'!B$2:B$97,'01_PAINEL'!$C$6,'12_MODELO'!A$2:A$97,N$6)</f>
        <v>93559.17320000002</v>
      </c>
      <c r="O23" s="10">
        <f>SUM(C23:N23)</f>
        <v>575249.9501499999</v>
      </c>
    </row>
    <row r="24" spans="2:15">
      <c r="B24" s="11" t="s">
        <v>943</v>
      </c>
      <c r="C24" s="6">
        <f>SUMIFS('12_MODELO'!S$2:S$97,'12_MODELO'!B$2:B$97,'01_PAINEL'!$C$6,'12_MODELO'!A$2:A$97,C$6)</f>
        <v>4233.28333900005</v>
      </c>
      <c r="D24" s="6">
        <f>SUMIFS('12_MODELO'!S$2:S$97,'12_MODELO'!B$2:B$97,'01_PAINEL'!$C$6,'12_MODELO'!A$2:A$97,D$6)</f>
        <v>5315.852536000022</v>
      </c>
      <c r="E24" s="6">
        <f>SUMIFS('12_MODELO'!S$2:S$97,'12_MODELO'!B$2:B$97,'01_PAINEL'!$C$6,'12_MODELO'!A$2:A$97,E$6)</f>
        <v>17651.73518800002</v>
      </c>
      <c r="F24" s="6">
        <f>SUMIFS('12_MODELO'!S$2:S$97,'12_MODELO'!B$2:B$97,'01_PAINEL'!$C$6,'12_MODELO'!A$2:A$97,F$6)</f>
        <v>6999.5923419999735</v>
      </c>
      <c r="G24" s="6">
        <f>SUMIFS('12_MODELO'!S$2:S$97,'12_MODELO'!B$2:B$97,'01_PAINEL'!$C$6,'12_MODELO'!A$2:A$97,G$6)</f>
        <v>10447.21228300002</v>
      </c>
      <c r="H24" s="6">
        <f>SUMIFS('12_MODELO'!S$2:S$97,'12_MODELO'!B$2:B$97,'01_PAINEL'!$C$6,'12_MODELO'!A$2:A$97,H$6)</f>
        <v>21005.885967000017</v>
      </c>
      <c r="I24" s="6">
        <f>SUMIFS('12_MODELO'!S$2:S$97,'12_MODELO'!B$2:B$97,'01_PAINEL'!$C$6,'12_MODELO'!A$2:A$97,I$6)</f>
        <v>6075.160527999947</v>
      </c>
      <c r="J24" s="6">
        <f>SUMIFS('12_MODELO'!S$2:S$97,'12_MODELO'!B$2:B$97,'01_PAINEL'!$C$6,'12_MODELO'!A$2:A$97,J$6)</f>
        <v>11263.699724000036</v>
      </c>
      <c r="K24" s="6">
        <f>SUMIFS('12_MODELO'!S$2:S$97,'12_MODELO'!B$2:B$97,'01_PAINEL'!$C$6,'12_MODELO'!A$2:A$97,K$6)</f>
        <v>16819.427785000003</v>
      </c>
      <c r="L24" s="6">
        <f>SUMIFS('12_MODELO'!S$2:S$97,'12_MODELO'!B$2:B$97,'01_PAINEL'!$C$6,'12_MODELO'!A$2:A$97,L$6)</f>
        <v>24184.06887899994</v>
      </c>
      <c r="M24" s="6">
        <f>SUMIFS('12_MODELO'!S$2:S$97,'12_MODELO'!B$2:B$97,'01_PAINEL'!$C$6,'12_MODELO'!A$2:A$97,M$6)</f>
        <v>39778.945591999975</v>
      </c>
      <c r="N24" s="6">
        <f>SUMIFS('12_MODELO'!S$2:S$97,'12_MODELO'!B$2:B$97,'01_PAINEL'!$C$6,'12_MODELO'!A$2:A$97,N$6)</f>
        <v>31810.118888000008</v>
      </c>
      <c r="O24" s="10">
        <f>SUM(C24:N24)</f>
        <v>195584.98305100002</v>
      </c>
    </row>
    <row r="25" spans="2:15">
      <c r="B25" s="2" t="s">
        <v>107</v>
      </c>
      <c r="C25" s="6">
        <f>SUMIFS('12_MODELO'!T$2:T$97,'12_MODELO'!B$2:B$97,'01_PAINEL'!$C$6,'12_MODELO'!A$2:A$97,C$6)</f>
        <v>8217.550011000098</v>
      </c>
      <c r="D25" s="6">
        <f>SUMIFS('12_MODELO'!T$2:T$97,'12_MODELO'!B$2:B$97,'01_PAINEL'!$C$6,'12_MODELO'!A$2:A$97,D$6)</f>
        <v>10319.007864000041</v>
      </c>
      <c r="E25" s="6">
        <f>SUMIFS('12_MODELO'!T$2:T$97,'12_MODELO'!B$2:B$97,'01_PAINEL'!$C$6,'12_MODELO'!A$2:A$97,E$6)</f>
        <v>34265.133012000035</v>
      </c>
      <c r="F25" s="6">
        <f>SUMIFS('12_MODELO'!T$2:T$97,'12_MODELO'!B$2:B$97,'01_PAINEL'!$C$6,'12_MODELO'!A$2:A$97,F$6)</f>
        <v>13587.443957999945</v>
      </c>
      <c r="G25" s="6">
        <f>SUMIFS('12_MODELO'!T$2:T$97,'12_MODELO'!B$2:B$97,'01_PAINEL'!$C$6,'12_MODELO'!A$2:A$97,G$6)</f>
        <v>20279.882667000034</v>
      </c>
      <c r="H25" s="6">
        <f>SUMIFS('12_MODELO'!T$2:T$97,'12_MODELO'!B$2:B$97,'01_PAINEL'!$C$6,'12_MODELO'!A$2:A$97,H$6)</f>
        <v>40776.13158300003</v>
      </c>
      <c r="I25" s="6">
        <f>SUMIFS('12_MODELO'!T$2:T$97,'12_MODELO'!B$2:B$97,'01_PAINEL'!$C$6,'12_MODELO'!A$2:A$97,I$6)</f>
        <v>11792.958671999895</v>
      </c>
      <c r="J25" s="6">
        <f>SUMIFS('12_MODELO'!T$2:T$97,'12_MODELO'!B$2:B$97,'01_PAINEL'!$C$6,'12_MODELO'!A$2:A$97,J$6)</f>
        <v>21864.828876000072</v>
      </c>
      <c r="K25" s="6">
        <f>SUMIFS('12_MODELO'!T$2:T$97,'12_MODELO'!B$2:B$97,'01_PAINEL'!$C$6,'12_MODELO'!A$2:A$97,K$6)</f>
        <v>32649.477465000007</v>
      </c>
      <c r="L25" s="6">
        <f>SUMIFS('12_MODELO'!T$2:T$97,'12_MODELO'!B$2:B$97,'01_PAINEL'!$C$6,'12_MODELO'!A$2:A$97,L$6)</f>
        <v>46945.545470999874</v>
      </c>
      <c r="M25" s="6">
        <f>SUMIFS('12_MODELO'!T$2:T$97,'12_MODELO'!B$2:B$97,'01_PAINEL'!$C$6,'12_MODELO'!A$2:A$97,M$6)</f>
        <v>77217.95320799993</v>
      </c>
      <c r="N25" s="6">
        <f>SUMIFS('12_MODELO'!T$2:T$97,'12_MODELO'!B$2:B$97,'01_PAINEL'!$C$6,'12_MODELO'!A$2:A$97,N$6)</f>
        <v>61749.05431200001</v>
      </c>
      <c r="O25" s="10">
        <f>SUM(C25:N25)</f>
        <v>379664.967099</v>
      </c>
    </row>
    <row r="26" spans="2:15">
      <c r="B26" s="11" t="s">
        <v>125</v>
      </c>
      <c r="C26" s="9">
        <f>SUMIFS('12_MODELO'!BI$2:BI$97,'12_MODELO'!B$2:B$97,'01_PAINEL'!$C$6,'12_MODELO'!A$2:A$97,C$6)</f>
        <v>0.03750190515245802</v>
      </c>
      <c r="D26" s="9">
        <f>SUMIFS('12_MODELO'!BI$2:BI$97,'12_MODELO'!B$2:B$97,'01_PAINEL'!$C$6,'12_MODELO'!A$2:A$97,D$6)</f>
        <v>0.039608509080347215</v>
      </c>
      <c r="E26" s="9">
        <f>SUMIFS('12_MODELO'!BI$2:BI$97,'12_MODELO'!B$2:B$97,'01_PAINEL'!$C$6,'12_MODELO'!A$2:A$97,E$6)</f>
        <v>0.06203210390366665</v>
      </c>
      <c r="F26" s="9">
        <f>SUMIFS('12_MODELO'!BI$2:BI$97,'12_MODELO'!B$2:B$97,'01_PAINEL'!$C$6,'12_MODELO'!A$2:A$97,F$6)</f>
        <v>0.038090809299440004</v>
      </c>
      <c r="G26" s="9">
        <f>SUMIFS('12_MODELO'!BI$2:BI$97,'12_MODELO'!B$2:B$97,'01_PAINEL'!$C$6,'12_MODELO'!A$2:A$97,G$6)</f>
        <v>0.04715655987839707</v>
      </c>
      <c r="H26" s="9">
        <f>SUMIFS('12_MODELO'!BI$2:BI$97,'12_MODELO'!B$2:B$97,'01_PAINEL'!$C$6,'12_MODELO'!A$2:A$97,H$6)</f>
        <v>0.06951130185454495</v>
      </c>
      <c r="I26" s="9">
        <f>SUMIFS('12_MODELO'!BI$2:BI$97,'12_MODELO'!B$2:B$97,'01_PAINEL'!$C$6,'12_MODELO'!A$2:A$97,I$6)</f>
        <v>0.04556941523195952</v>
      </c>
      <c r="J26" s="9">
        <f>SUMIFS('12_MODELO'!BI$2:BI$97,'12_MODELO'!B$2:B$97,'01_PAINEL'!$C$6,'12_MODELO'!A$2:A$97,J$6)</f>
        <v>0.05517692005280005</v>
      </c>
      <c r="K26" s="9">
        <f>SUMIFS('12_MODELO'!BI$2:BI$97,'12_MODELO'!B$2:B$97,'01_PAINEL'!$C$6,'12_MODELO'!A$2:A$97,K$6)</f>
        <v>0.06458780070485826</v>
      </c>
      <c r="L26" s="9">
        <f>SUMIFS('12_MODELO'!BI$2:BI$97,'12_MODELO'!B$2:B$97,'01_PAINEL'!$C$6,'12_MODELO'!A$2:A$97,L$6)</f>
        <v>0.07319760521670761</v>
      </c>
      <c r="M26" s="9">
        <f>SUMIFS('12_MODELO'!BI$2:BI$97,'12_MODELO'!B$2:B$97,'01_PAINEL'!$C$6,'12_MODELO'!A$2:A$97,M$6)</f>
        <v>0.08988279592278452</v>
      </c>
      <c r="N26" s="9">
        <f>SUMIFS('12_MODELO'!BI$2:BI$97,'12_MODELO'!B$2:B$97,'01_PAINEL'!$C$6,'12_MODELO'!A$2:A$97,N$6)</f>
        <v>0.08160414489436749</v>
      </c>
      <c r="O26" s="9">
        <f>IFERROR(SUMIFS('12_MODELO'!N$2:N$97,'12_MODELO'!B$2:B$97,'01_PAINEL'!$C$6,'12_MODELO'!A$2:A$97,"&gt;="&amp;DATE('01_PAINEL'!$F$6,1,1),'12_MODELO'!A$2:A$97,"&lt;="&amp;DATE('01_PAINEL'!$F$6,12,1))/SUMIFS('12_MODELO'!E$2:E$97,'12_MODELO'!B$2:B$97,'01_PAINEL'!$C$6,'12_MODELO'!A$2:A$97,"&gt;="&amp;DATE('01_PAINEL'!$F$6,1,1),'12_MODELO'!A$2:A$97,"&lt;="&amp;DATE('01_PAINEL'!$F$6,12,1)),0)</f>
        <v>0.060725280147796976</v>
      </c>
    </row>
    <row r="27" spans="2:15">
      <c r="B27" s="11" t="s">
        <v>126</v>
      </c>
      <c r="C27" s="9">
        <f>SUMIFS('12_MODELO'!BJ$2:BJ$97,'12_MODELO'!B$2:B$97,'01_PAINEL'!$C$6,'12_MODELO'!A$2:A$97,C$6)</f>
        <v>0.0078020983143317285</v>
      </c>
      <c r="D27" s="9">
        <f>SUMIFS('12_MODELO'!BJ$2:BJ$97,'12_MODELO'!B$2:B$97,'01_PAINEL'!$C$6,'12_MODELO'!A$2:A$97,D$6)</f>
        <v>0.009583836016247972</v>
      </c>
      <c r="E27" s="9">
        <f>SUMIFS('12_MODELO'!BJ$2:BJ$97,'12_MODELO'!B$2:B$97,'01_PAINEL'!$C$6,'12_MODELO'!A$2:A$97,E$6)</f>
        <v>0.026942084116968922</v>
      </c>
      <c r="F27" s="9">
        <f>SUMIFS('12_MODELO'!BJ$2:BJ$97,'12_MODELO'!B$2:B$97,'01_PAINEL'!$C$6,'12_MODELO'!A$2:A$97,F$6)</f>
        <v>0.010727223397782155</v>
      </c>
      <c r="G27" s="9">
        <f>SUMIFS('12_MODELO'!BJ$2:BJ$97,'12_MODELO'!B$2:B$97,'01_PAINEL'!$C$6,'12_MODELO'!A$2:A$97,G$6)</f>
        <v>0.015288773155413056</v>
      </c>
      <c r="H27" s="9">
        <f>SUMIFS('12_MODELO'!BJ$2:BJ$97,'12_MODELO'!B$2:B$97,'01_PAINEL'!$C$6,'12_MODELO'!A$2:A$97,H$6)</f>
        <v>0.03029177577541832</v>
      </c>
      <c r="I27" s="9">
        <f>SUMIFS('12_MODELO'!BJ$2:BJ$97,'12_MODELO'!B$2:B$97,'01_PAINEL'!$C$6,'12_MODELO'!A$2:A$97,I$6)</f>
        <v>0.010675346802470481</v>
      </c>
      <c r="J27" s="9">
        <f>SUMIFS('12_MODELO'!BJ$2:BJ$97,'12_MODELO'!B$2:B$97,'01_PAINEL'!$C$6,'12_MODELO'!A$2:A$97,J$6)</f>
        <v>0.01840071057659077</v>
      </c>
      <c r="K27" s="9">
        <f>SUMIFS('12_MODELO'!BJ$2:BJ$97,'12_MODELO'!B$2:B$97,'01_PAINEL'!$C$6,'12_MODELO'!A$2:A$97,K$6)</f>
        <v>0.025757739610512028</v>
      </c>
      <c r="L27" s="9">
        <f>SUMIFS('12_MODELO'!BJ$2:BJ$97,'12_MODELO'!B$2:B$97,'01_PAINEL'!$C$6,'12_MODELO'!A$2:A$97,L$6)</f>
        <v>0.03297363329639906</v>
      </c>
      <c r="M27" s="9">
        <f>SUMIFS('12_MODELO'!BJ$2:BJ$97,'12_MODELO'!B$2:B$97,'01_PAINEL'!$C$6,'12_MODELO'!A$2:A$97,M$6)</f>
        <v>0.04625659109558336</v>
      </c>
      <c r="N27" s="9">
        <f>SUMIFS('12_MODELO'!BJ$2:BJ$97,'12_MODELO'!B$2:B$97,'01_PAINEL'!$C$6,'12_MODELO'!A$2:A$97,N$6)</f>
        <v>0.03981142504861143</v>
      </c>
      <c r="O27" s="9">
        <f>IFERROR(SUMIFS('12_MODELO'!T$2:T$97,'12_MODELO'!B$2:B$97,'01_PAINEL'!$C$6,'12_MODELO'!A$2:A$97,"&gt;="&amp;DATE('01_PAINEL'!$F$6,1,1),'12_MODELO'!A$2:A$97,"&lt;="&amp;DATE('01_PAINEL'!$F$6,12,1))/SUMIFS('12_MODELO'!E$2:E$97,'12_MODELO'!B$2:B$97,'01_PAINEL'!$C$6,'12_MODELO'!A$2:A$97,"&gt;="&amp;DATE('01_PAINEL'!$F$6,1,1),'12_MODELO'!A$2:A$97,"&lt;="&amp;DATE('01_PAINEL'!$F$6,12,1)),0)</f>
        <v>0.024422689067766176</v>
      </c>
    </row>
  </sheetData>
  <mergeCells count="2">
    <mergeCell ref="B2:O3"/>
    <mergeCell ref="B4:O4"/>
  </mergeCells>
  <pageMargins left="0.7" right="0.7" top="0.75" bottom="0.75" header="0.3" footer="0.3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A899"/>
    <pageSetUpPr fitToPage="1"/>
  </sheetPr>
  <dimension ref="B2:O29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3.7109375" customWidth="1"/>
    <col min="2" max="2" width="32.7109375" customWidth="1"/>
    <col min="3" max="15" width="15.7109375" customWidth="1"/>
  </cols>
  <sheetData>
    <row r="2" spans="2:15">
      <c r="B2" s="1" t="s">
        <v>944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>
      <c r="B4" s="3" t="s">
        <v>941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2:15">
      <c r="C6" s="5">
        <f>DATE('01_PAINEL'!$F$6,1,1)</f>
        <v>45658</v>
      </c>
      <c r="D6" s="5">
        <f>DATE('01_PAINEL'!$F$6,2,1)</f>
        <v>45689</v>
      </c>
      <c r="E6" s="5">
        <f>DATE('01_PAINEL'!$F$6,3,1)</f>
        <v>45717</v>
      </c>
      <c r="F6" s="5">
        <f>DATE('01_PAINEL'!$F$6,4,1)</f>
        <v>45748</v>
      </c>
      <c r="G6" s="5">
        <f>DATE('01_PAINEL'!$F$6,5,1)</f>
        <v>45778</v>
      </c>
      <c r="H6" s="5">
        <f>DATE('01_PAINEL'!$F$6,6,1)</f>
        <v>45809</v>
      </c>
      <c r="I6" s="5">
        <f>DATE('01_PAINEL'!$F$6,7,1)</f>
        <v>45839</v>
      </c>
      <c r="J6" s="5">
        <f>DATE('01_PAINEL'!$F$6,8,1)</f>
        <v>45870</v>
      </c>
      <c r="K6" s="5">
        <f>DATE('01_PAINEL'!$F$6,9,1)</f>
        <v>45901</v>
      </c>
      <c r="L6" s="5">
        <f>DATE('01_PAINEL'!$F$6,10,1)</f>
        <v>45931</v>
      </c>
      <c r="M6" s="5">
        <f>DATE('01_PAINEL'!$F$6,11,1)</f>
        <v>45962</v>
      </c>
      <c r="N6" s="5">
        <f>DATE('01_PAINEL'!$F$6,12,1)</f>
        <v>45992</v>
      </c>
      <c r="O6" s="4" t="s">
        <v>945</v>
      </c>
    </row>
    <row r="8" spans="2:15">
      <c r="B8" s="2" t="s">
        <v>85</v>
      </c>
      <c r="C8" s="6">
        <f>SUMIFS('12_MODELO'!AV$2:AV$97,'12_MODELO'!B$2:B$97,'01_PAINEL'!$C$6,'12_MODELO'!A$2:A$97,C$6)</f>
        <v>1707637.290778667</v>
      </c>
      <c r="D8" s="6">
        <f>SUMIFS('12_MODELO'!AV$2:AV$97,'12_MODELO'!B$2:B$97,'01_PAINEL'!$C$6,'12_MODELO'!A$2:A$97,D$6)</f>
        <v>1654600.6491230004</v>
      </c>
      <c r="E8" s="6">
        <f>SUMIFS('12_MODELO'!AV$2:AV$97,'12_MODELO'!B$2:B$97,'01_PAINEL'!$C$6,'12_MODELO'!A$2:A$97,E$6)</f>
        <v>1214670.768320333</v>
      </c>
      <c r="F8" s="6">
        <f>SUMIFS('12_MODELO'!AV$2:AV$97,'12_MODELO'!B$2:B$97,'01_PAINEL'!$C$6,'12_MODELO'!A$2:A$97,F$6)</f>
        <v>1562533.5379990004</v>
      </c>
      <c r="G8" s="6">
        <f>SUMIFS('12_MODELO'!AV$2:AV$97,'12_MODELO'!B$2:B$97,'01_PAINEL'!$C$6,'12_MODELO'!A$2:A$97,G$6)</f>
        <v>1451222.024957</v>
      </c>
      <c r="H8" s="6">
        <f>SUMIFS('12_MODELO'!AV$2:AV$97,'12_MODELO'!B$2:B$97,'01_PAINEL'!$C$6,'12_MODELO'!A$2:A$97,H$6)</f>
        <v>1375665.142290667</v>
      </c>
      <c r="I8" s="6">
        <f>SUMIFS('12_MODELO'!AV$2:AV$97,'12_MODELO'!B$2:B$97,'01_PAINEL'!$C$6,'12_MODELO'!A$2:A$97,I$6)</f>
        <v>1060377.6342070003</v>
      </c>
      <c r="J8" s="6">
        <f>SUMIFS('12_MODELO'!AV$2:AV$97,'12_MODELO'!B$2:B$97,'01_PAINEL'!$C$6,'12_MODELO'!A$2:A$97,J$6)</f>
        <v>842526.8548790005</v>
      </c>
      <c r="K8" s="6">
        <f>SUMIFS('12_MODELO'!AV$2:AV$97,'12_MODELO'!B$2:B$97,'01_PAINEL'!$C$6,'12_MODELO'!A$2:A$97,K$6)</f>
        <v>577513.7557550005</v>
      </c>
      <c r="L8" s="6">
        <f>SUMIFS('12_MODELO'!AV$2:AV$97,'12_MODELO'!B$2:B$97,'01_PAINEL'!$C$6,'12_MODELO'!A$2:A$97,L$6)</f>
        <v>1210533.9128866668</v>
      </c>
      <c r="M8" s="6">
        <f>SUMIFS('12_MODELO'!AV$2:AV$97,'12_MODELO'!B$2:B$97,'01_PAINEL'!$C$6,'12_MODELO'!A$2:A$97,M$6)</f>
        <v>789243.6640243335</v>
      </c>
      <c r="N8" s="6">
        <f>SUMIFS('12_MODELO'!AV$2:AV$97,'12_MODELO'!B$2:B$97,'01_PAINEL'!$C$6,'12_MODELO'!A$2:A$97,N$6)</f>
        <v>1000255.5938990002</v>
      </c>
      <c r="O8" s="10">
        <f>N8</f>
        <v>1000255.5938990002</v>
      </c>
    </row>
    <row r="9" spans="2:15">
      <c r="B9" s="11" t="s">
        <v>86</v>
      </c>
      <c r="C9" s="6">
        <f>SUMIFS('12_MODELO'!U$2:U$97,'12_MODELO'!B$2:B$97,'01_PAINEL'!$C$6,'12_MODELO'!A$2:A$97,C$6)</f>
        <v>1803376.6676666667</v>
      </c>
      <c r="D9" s="6">
        <f>SUMIFS('12_MODELO'!U$2:U$97,'12_MODELO'!B$2:B$97,'01_PAINEL'!$C$6,'12_MODELO'!A$2:A$97,D$6)</f>
        <v>1843546.4239999999</v>
      </c>
      <c r="E9" s="6">
        <f>SUMIFS('12_MODELO'!U$2:U$97,'12_MODELO'!B$2:B$97,'01_PAINEL'!$C$6,'12_MODELO'!A$2:A$97,E$6)</f>
        <v>2177593.158666667</v>
      </c>
      <c r="F9" s="6">
        <f>SUMIFS('12_MODELO'!U$2:U$97,'12_MODELO'!B$2:B$97,'01_PAINEL'!$C$6,'12_MODELO'!A$2:A$97,F$6)</f>
        <v>2168732.311333333</v>
      </c>
      <c r="G9" s="6">
        <f>SUMIFS('12_MODELO'!U$2:U$97,'12_MODELO'!B$2:B$97,'01_PAINEL'!$C$6,'12_MODELO'!A$2:A$97,G$6)</f>
        <v>2271163.030333333</v>
      </c>
      <c r="H9" s="6">
        <f>SUMIFS('12_MODELO'!U$2:U$97,'12_MODELO'!B$2:B$97,'01_PAINEL'!$C$6,'12_MODELO'!A$2:A$97,H$6)</f>
        <v>2304818.853</v>
      </c>
      <c r="I9" s="6">
        <f>SUMIFS('12_MODELO'!U$2:U$97,'12_MODELO'!B$2:B$97,'01_PAINEL'!$C$6,'12_MODELO'!A$2:A$97,I$6)</f>
        <v>2414624.96</v>
      </c>
      <c r="J9" s="6">
        <f>SUMIFS('12_MODELO'!U$2:U$97,'12_MODELO'!B$2:B$97,'01_PAINEL'!$C$6,'12_MODELO'!A$2:A$97,J$6)</f>
        <v>2597289.68</v>
      </c>
      <c r="K9" s="6">
        <f>SUMIFS('12_MODELO'!U$2:U$97,'12_MODELO'!B$2:B$97,'01_PAINEL'!$C$6,'12_MODELO'!A$2:A$97,K$6)</f>
        <v>2770622.7</v>
      </c>
      <c r="L9" s="6">
        <f>SUMIFS('12_MODELO'!U$2:U$97,'12_MODELO'!B$2:B$97,'01_PAINEL'!$C$6,'12_MODELO'!A$2:A$97,L$6)</f>
        <v>2437715.9276666665</v>
      </c>
      <c r="M9" s="6">
        <f>SUMIFS('12_MODELO'!U$2:U$97,'12_MODELO'!B$2:B$97,'01_PAINEL'!$C$6,'12_MODELO'!A$2:A$97,M$6)</f>
        <v>2858249.728</v>
      </c>
      <c r="N9" s="6">
        <f>SUMIFS('12_MODELO'!U$2:U$97,'12_MODELO'!B$2:B$97,'01_PAINEL'!$C$6,'12_MODELO'!A$2:A$97,N$6)</f>
        <v>2655694.392</v>
      </c>
      <c r="O9" s="10">
        <f>N9</f>
        <v>2655694.392</v>
      </c>
    </row>
    <row r="10" spans="2:15">
      <c r="B10" s="11" t="s">
        <v>87</v>
      </c>
      <c r="C10" s="6">
        <f>SUMIFS('12_MODELO'!V$2:V$97,'12_MODELO'!B$2:B$97,'01_PAINEL'!$C$6,'12_MODELO'!A$2:A$97,C$6)</f>
        <v>1364101.4053333332</v>
      </c>
      <c r="D10" s="6">
        <f>SUMIFS('12_MODELO'!V$2:V$97,'12_MODELO'!B$2:B$97,'01_PAINEL'!$C$6,'12_MODELO'!A$2:A$97,D$6)</f>
        <v>1396732.584</v>
      </c>
      <c r="E10" s="6">
        <f>SUMIFS('12_MODELO'!V$2:V$97,'12_MODELO'!B$2:B$97,'01_PAINEL'!$C$6,'12_MODELO'!A$2:A$97,E$6)</f>
        <v>1650639.3280000002</v>
      </c>
      <c r="F10" s="6">
        <f>SUMIFS('12_MODELO'!V$2:V$97,'12_MODELO'!B$2:B$97,'01_PAINEL'!$C$6,'12_MODELO'!A$2:A$97,F$6)</f>
        <v>1646823.8453333334</v>
      </c>
      <c r="G10" s="6">
        <f>SUMIFS('12_MODELO'!V$2:V$97,'12_MODELO'!B$2:B$97,'01_PAINEL'!$C$6,'12_MODELO'!A$2:A$97,G$6)</f>
        <v>1719151.8933333335</v>
      </c>
      <c r="H10" s="6">
        <f>SUMIFS('12_MODELO'!V$2:V$97,'12_MODELO'!B$2:B$97,'01_PAINEL'!$C$6,'12_MODELO'!A$2:A$97,H$6)</f>
        <v>1745830.5626666665</v>
      </c>
      <c r="I10" s="6">
        <f>SUMIFS('12_MODELO'!V$2:V$97,'12_MODELO'!B$2:B$97,'01_PAINEL'!$C$6,'12_MODELO'!A$2:A$97,I$6)</f>
        <v>1694841.672</v>
      </c>
      <c r="J10" s="6">
        <f>SUMIFS('12_MODELO'!V$2:V$97,'12_MODELO'!B$2:B$97,'01_PAINEL'!$C$6,'12_MODELO'!A$2:A$97,J$6)</f>
        <v>1825139.673333333</v>
      </c>
      <c r="K10" s="6">
        <f>SUMIFS('12_MODELO'!V$2:V$97,'12_MODELO'!B$2:B$97,'01_PAINEL'!$C$6,'12_MODELO'!A$2:A$97,K$6)</f>
        <v>1944941.9013333332</v>
      </c>
      <c r="L10" s="6">
        <f>SUMIFS('12_MODELO'!V$2:V$97,'12_MODELO'!B$2:B$97,'01_PAINEL'!$C$6,'12_MODELO'!A$2:A$97,L$6)</f>
        <v>1846046.5573333337</v>
      </c>
      <c r="M10" s="6">
        <f>SUMIFS('12_MODELO'!V$2:V$97,'12_MODELO'!B$2:B$97,'01_PAINEL'!$C$6,'12_MODELO'!A$2:A$97,M$6)</f>
        <v>2165343.3013333334</v>
      </c>
      <c r="N10" s="6">
        <f>SUMIFS('12_MODELO'!V$2:V$97,'12_MODELO'!B$2:B$97,'01_PAINEL'!$C$6,'12_MODELO'!A$2:A$97,N$6)</f>
        <v>2013974.1439999999</v>
      </c>
      <c r="O10" s="10">
        <f>N10</f>
        <v>2013974.1439999999</v>
      </c>
    </row>
    <row r="11" spans="2:15">
      <c r="B11" s="11" t="s">
        <v>131</v>
      </c>
      <c r="C11" s="6">
        <f>SUMIFS('12_MODELO'!BO$2:BO$97,'12_MODELO'!B$2:B$97,'01_PAINEL'!$C$6,'12_MODELO'!A$2:A$97,C$6)</f>
        <v>4875115.3637786675</v>
      </c>
      <c r="D11" s="6">
        <f>SUMIFS('12_MODELO'!BO$2:BO$97,'12_MODELO'!B$2:B$97,'01_PAINEL'!$C$6,'12_MODELO'!A$2:A$97,D$6)</f>
        <v>4894879.657123</v>
      </c>
      <c r="E11" s="6">
        <f>SUMIFS('12_MODELO'!BO$2:BO$97,'12_MODELO'!B$2:B$97,'01_PAINEL'!$C$6,'12_MODELO'!A$2:A$97,E$6)</f>
        <v>5042903.254987</v>
      </c>
      <c r="F11" s="6">
        <f>SUMIFS('12_MODELO'!BO$2:BO$97,'12_MODELO'!B$2:B$97,'01_PAINEL'!$C$6,'12_MODELO'!A$2:A$97,F$6)</f>
        <v>5378089.694665667</v>
      </c>
      <c r="G11" s="6">
        <f>SUMIFS('12_MODELO'!BO$2:BO$97,'12_MODELO'!B$2:B$97,'01_PAINEL'!$C$6,'12_MODELO'!A$2:A$97,G$6)</f>
        <v>5441536.948623667</v>
      </c>
      <c r="H11" s="6">
        <f>SUMIFS('12_MODELO'!BO$2:BO$97,'12_MODELO'!B$2:B$97,'01_PAINEL'!$C$6,'12_MODELO'!A$2:A$97,H$6)</f>
        <v>5426314.5579573335</v>
      </c>
      <c r="I11" s="6">
        <f>SUMIFS('12_MODELO'!BO$2:BO$97,'12_MODELO'!B$2:B$97,'01_PAINEL'!$C$6,'12_MODELO'!A$2:A$97,I$6)</f>
        <v>5169844.266207</v>
      </c>
      <c r="J11" s="6">
        <f>SUMIFS('12_MODELO'!BO$2:BO$97,'12_MODELO'!B$2:B$97,'01_PAINEL'!$C$6,'12_MODELO'!A$2:A$97,J$6)</f>
        <v>5264956.208212334</v>
      </c>
      <c r="K11" s="6">
        <f>SUMIFS('12_MODELO'!BO$2:BO$97,'12_MODELO'!B$2:B$97,'01_PAINEL'!$C$6,'12_MODELO'!A$2:A$97,K$6)</f>
        <v>5293078.357088334</v>
      </c>
      <c r="L11" s="6">
        <f>SUMIFS('12_MODELO'!BO$2:BO$97,'12_MODELO'!B$2:B$97,'01_PAINEL'!$C$6,'12_MODELO'!A$2:A$97,L$6)</f>
        <v>5494296.3978866665</v>
      </c>
      <c r="M11" s="6">
        <f>SUMIFS('12_MODELO'!BO$2:BO$97,'12_MODELO'!B$2:B$97,'01_PAINEL'!$C$6,'12_MODELO'!A$2:A$97,M$6)</f>
        <v>5812836.693357667</v>
      </c>
      <c r="N11" s="6">
        <f>SUMIFS('12_MODELO'!BO$2:BO$97,'12_MODELO'!B$2:B$97,'01_PAINEL'!$C$6,'12_MODELO'!A$2:A$97,N$6)</f>
        <v>5669924.129899001</v>
      </c>
      <c r="O11" s="10">
        <f>N11</f>
        <v>5669924.129899001</v>
      </c>
    </row>
    <row r="12" spans="2:15">
      <c r="B12" s="11" t="s">
        <v>92</v>
      </c>
      <c r="C12" s="6">
        <f>SUMIFS('12_MODELO'!AC$2:AC$97,'12_MODELO'!B$2:B$97,'01_PAINEL'!$C$6,'12_MODELO'!A$2:A$97,C$6)</f>
        <v>2022000.0</v>
      </c>
      <c r="D12" s="6">
        <f>SUMIFS('12_MODELO'!AC$2:AC$97,'12_MODELO'!B$2:B$97,'01_PAINEL'!$C$6,'12_MODELO'!A$2:A$97,D$6)</f>
        <v>2040000.0</v>
      </c>
      <c r="E12" s="6">
        <f>SUMIFS('12_MODELO'!AC$2:AC$97,'12_MODELO'!B$2:B$97,'01_PAINEL'!$C$6,'12_MODELO'!A$2:A$97,E$6)</f>
        <v>2130000.0</v>
      </c>
      <c r="F12" s="6">
        <f>SUMIFS('12_MODELO'!AC$2:AC$97,'12_MODELO'!B$2:B$97,'01_PAINEL'!$C$6,'12_MODELO'!A$2:A$97,F$6)</f>
        <v>2148000.0</v>
      </c>
      <c r="G12" s="6">
        <f>SUMIFS('12_MODELO'!AC$2:AC$97,'12_MODELO'!B$2:B$97,'01_PAINEL'!$C$6,'12_MODELO'!A$2:A$97,G$6)</f>
        <v>2166000.0</v>
      </c>
      <c r="H12" s="6">
        <f>SUMIFS('12_MODELO'!AC$2:AC$97,'12_MODELO'!B$2:B$97,'01_PAINEL'!$C$6,'12_MODELO'!A$2:A$97,H$6)</f>
        <v>2256000.0</v>
      </c>
      <c r="I12" s="6">
        <f>SUMIFS('12_MODELO'!AC$2:AC$97,'12_MODELO'!B$2:B$97,'01_PAINEL'!$C$6,'12_MODELO'!A$2:A$97,I$6)</f>
        <v>2274000.0</v>
      </c>
      <c r="J12" s="6">
        <f>SUMIFS('12_MODELO'!AC$2:AC$97,'12_MODELO'!B$2:B$97,'01_PAINEL'!$C$6,'12_MODELO'!A$2:A$97,J$6)</f>
        <v>2292000.0</v>
      </c>
      <c r="K12" s="6">
        <f>SUMIFS('12_MODELO'!AC$2:AC$97,'12_MODELO'!B$2:B$97,'01_PAINEL'!$C$6,'12_MODELO'!A$2:A$97,K$6)</f>
        <v>2382000.0</v>
      </c>
      <c r="L12" s="6">
        <f>SUMIFS('12_MODELO'!AC$2:AC$97,'12_MODELO'!B$2:B$97,'01_PAINEL'!$C$6,'12_MODELO'!A$2:A$97,L$6)</f>
        <v>2400000.0</v>
      </c>
      <c r="M12" s="6">
        <f>SUMIFS('12_MODELO'!AC$2:AC$97,'12_MODELO'!B$2:B$97,'01_PAINEL'!$C$6,'12_MODELO'!A$2:A$97,M$6)</f>
        <v>2418000.0</v>
      </c>
      <c r="N12" s="6">
        <f>SUMIFS('12_MODELO'!AC$2:AC$97,'12_MODELO'!B$2:B$97,'01_PAINEL'!$C$6,'12_MODELO'!A$2:A$97,N$6)</f>
        <v>2508000.0</v>
      </c>
      <c r="O12" s="10">
        <f>N12</f>
        <v>2508000.0</v>
      </c>
    </row>
    <row r="13" spans="2:15">
      <c r="B13" s="11" t="s">
        <v>93</v>
      </c>
      <c r="C13" s="6">
        <f>SUMIFS('12_MODELO'!AD$2:AD$97,'12_MODELO'!B$2:B$97,'01_PAINEL'!$C$6,'12_MODELO'!A$2:A$97,C$6)</f>
        <v>524880.0</v>
      </c>
      <c r="D13" s="6">
        <f>SUMIFS('12_MODELO'!AD$2:AD$97,'12_MODELO'!B$2:B$97,'01_PAINEL'!$C$6,'12_MODELO'!A$2:A$97,D$6)</f>
        <v>545100.0</v>
      </c>
      <c r="E13" s="6">
        <f>SUMIFS('12_MODELO'!AD$2:AD$97,'12_MODELO'!B$2:B$97,'01_PAINEL'!$C$6,'12_MODELO'!A$2:A$97,E$6)</f>
        <v>565500.0</v>
      </c>
      <c r="F13" s="6">
        <f>SUMIFS('12_MODELO'!AD$2:AD$97,'12_MODELO'!B$2:B$97,'01_PAINEL'!$C$6,'12_MODELO'!A$2:A$97,F$6)</f>
        <v>586800.0</v>
      </c>
      <c r="G13" s="6">
        <f>SUMIFS('12_MODELO'!AD$2:AD$97,'12_MODELO'!B$2:B$97,'01_PAINEL'!$C$6,'12_MODELO'!A$2:A$97,G$6)</f>
        <v>608280.0</v>
      </c>
      <c r="H13" s="6">
        <f>SUMIFS('12_MODELO'!AD$2:AD$97,'12_MODELO'!B$2:B$97,'01_PAINEL'!$C$6,'12_MODELO'!A$2:A$97,H$6)</f>
        <v>629940.0</v>
      </c>
      <c r="I13" s="6">
        <f>SUMIFS('12_MODELO'!AD$2:AD$97,'12_MODELO'!B$2:B$97,'01_PAINEL'!$C$6,'12_MODELO'!A$2:A$97,I$6)</f>
        <v>652500.0</v>
      </c>
      <c r="J13" s="6">
        <f>SUMIFS('12_MODELO'!AD$2:AD$97,'12_MODELO'!B$2:B$97,'01_PAINEL'!$C$6,'12_MODELO'!A$2:A$97,J$6)</f>
        <v>675240.0</v>
      </c>
      <c r="K13" s="6">
        <f>SUMIFS('12_MODELO'!AD$2:AD$97,'12_MODELO'!B$2:B$97,'01_PAINEL'!$C$6,'12_MODELO'!A$2:A$97,K$6)</f>
        <v>698160.0</v>
      </c>
      <c r="L13" s="6">
        <f>SUMIFS('12_MODELO'!AD$2:AD$97,'12_MODELO'!B$2:B$97,'01_PAINEL'!$C$6,'12_MODELO'!A$2:A$97,L$6)</f>
        <v>721980.0</v>
      </c>
      <c r="M13" s="6">
        <f>SUMIFS('12_MODELO'!AD$2:AD$97,'12_MODELO'!B$2:B$97,'01_PAINEL'!$C$6,'12_MODELO'!A$2:A$97,M$6)</f>
        <v>745980.0</v>
      </c>
      <c r="N13" s="6">
        <f>SUMIFS('12_MODELO'!AD$2:AD$97,'12_MODELO'!B$2:B$97,'01_PAINEL'!$C$6,'12_MODELO'!A$2:A$97,N$6)</f>
        <v>770160.0</v>
      </c>
      <c r="O13" s="10">
        <f>N13</f>
        <v>770160.0</v>
      </c>
    </row>
    <row r="14" spans="2:15">
      <c r="B14" s="11" t="s">
        <v>132</v>
      </c>
      <c r="C14" s="6">
        <f>SUMIFS('12_MODELO'!BP$2:BP$97,'12_MODELO'!B$2:B$97,'01_PAINEL'!$C$6,'12_MODELO'!A$2:A$97,C$6)</f>
        <v>1497120.0</v>
      </c>
      <c r="D14" s="6">
        <f>SUMIFS('12_MODELO'!BP$2:BP$97,'12_MODELO'!B$2:B$97,'01_PAINEL'!$C$6,'12_MODELO'!A$2:A$97,D$6)</f>
        <v>1494900.0</v>
      </c>
      <c r="E14" s="6">
        <f>SUMIFS('12_MODELO'!BP$2:BP$97,'12_MODELO'!B$2:B$97,'01_PAINEL'!$C$6,'12_MODELO'!A$2:A$97,E$6)</f>
        <v>1564500.0</v>
      </c>
      <c r="F14" s="6">
        <f>SUMIFS('12_MODELO'!BP$2:BP$97,'12_MODELO'!B$2:B$97,'01_PAINEL'!$C$6,'12_MODELO'!A$2:A$97,F$6)</f>
        <v>1561200.0</v>
      </c>
      <c r="G14" s="6">
        <f>SUMIFS('12_MODELO'!BP$2:BP$97,'12_MODELO'!B$2:B$97,'01_PAINEL'!$C$6,'12_MODELO'!A$2:A$97,G$6)</f>
        <v>1557720.0</v>
      </c>
      <c r="H14" s="6">
        <f>SUMIFS('12_MODELO'!BP$2:BP$97,'12_MODELO'!B$2:B$97,'01_PAINEL'!$C$6,'12_MODELO'!A$2:A$97,H$6)</f>
        <v>1626060.0</v>
      </c>
      <c r="I14" s="6">
        <f>SUMIFS('12_MODELO'!BP$2:BP$97,'12_MODELO'!B$2:B$97,'01_PAINEL'!$C$6,'12_MODELO'!A$2:A$97,I$6)</f>
        <v>1621500.0</v>
      </c>
      <c r="J14" s="6">
        <f>SUMIFS('12_MODELO'!BP$2:BP$97,'12_MODELO'!B$2:B$97,'01_PAINEL'!$C$6,'12_MODELO'!A$2:A$97,J$6)</f>
        <v>1616760.0</v>
      </c>
      <c r="K14" s="6">
        <f>SUMIFS('12_MODELO'!BP$2:BP$97,'12_MODELO'!B$2:B$97,'01_PAINEL'!$C$6,'12_MODELO'!A$2:A$97,K$6)</f>
        <v>1683840.0</v>
      </c>
      <c r="L14" s="6">
        <f>SUMIFS('12_MODELO'!BP$2:BP$97,'12_MODELO'!B$2:B$97,'01_PAINEL'!$C$6,'12_MODELO'!A$2:A$97,L$6)</f>
        <v>1678020.0</v>
      </c>
      <c r="M14" s="6">
        <f>SUMIFS('12_MODELO'!BP$2:BP$97,'12_MODELO'!B$2:B$97,'01_PAINEL'!$C$6,'12_MODELO'!A$2:A$97,M$6)</f>
        <v>1672020.0</v>
      </c>
      <c r="N14" s="6">
        <f>SUMIFS('12_MODELO'!BP$2:BP$97,'12_MODELO'!B$2:B$97,'01_PAINEL'!$C$6,'12_MODELO'!A$2:A$97,N$6)</f>
        <v>1737840.0</v>
      </c>
      <c r="O14" s="10">
        <f>N14</f>
        <v>1737840.0</v>
      </c>
    </row>
    <row r="15" spans="2:15">
      <c r="B15" s="2" t="s">
        <v>120</v>
      </c>
      <c r="C15" s="6">
        <f>SUMIFS('12_MODELO'!AW$2:AW$97,'12_MODELO'!B$2:B$97,'01_PAINEL'!$C$6,'12_MODELO'!A$2:A$97,C$6)</f>
        <v>6372235.3637786675</v>
      </c>
      <c r="D15" s="6">
        <f>SUMIFS('12_MODELO'!AW$2:AW$97,'12_MODELO'!B$2:B$97,'01_PAINEL'!$C$6,'12_MODELO'!A$2:A$97,D$6)</f>
        <v>6389779.657123</v>
      </c>
      <c r="E15" s="6">
        <f>SUMIFS('12_MODELO'!AW$2:AW$97,'12_MODELO'!B$2:B$97,'01_PAINEL'!$C$6,'12_MODELO'!A$2:A$97,E$6)</f>
        <v>6607403.254987</v>
      </c>
      <c r="F15" s="6">
        <f>SUMIFS('12_MODELO'!AW$2:AW$97,'12_MODELO'!B$2:B$97,'01_PAINEL'!$C$6,'12_MODELO'!A$2:A$97,F$6)</f>
        <v>6939289.694665667</v>
      </c>
      <c r="G15" s="6">
        <f>SUMIFS('12_MODELO'!AW$2:AW$97,'12_MODELO'!B$2:B$97,'01_PAINEL'!$C$6,'12_MODELO'!A$2:A$97,G$6)</f>
        <v>6999256.948623667</v>
      </c>
      <c r="H15" s="6">
        <f>SUMIFS('12_MODELO'!AW$2:AW$97,'12_MODELO'!B$2:B$97,'01_PAINEL'!$C$6,'12_MODELO'!A$2:A$97,H$6)</f>
        <v>7052374.5579573335</v>
      </c>
      <c r="I15" s="6">
        <f>SUMIFS('12_MODELO'!AW$2:AW$97,'12_MODELO'!B$2:B$97,'01_PAINEL'!$C$6,'12_MODELO'!A$2:A$97,I$6)</f>
        <v>6791344.266207</v>
      </c>
      <c r="J15" s="6">
        <f>SUMIFS('12_MODELO'!AW$2:AW$97,'12_MODELO'!B$2:B$97,'01_PAINEL'!$C$6,'12_MODELO'!A$2:A$97,J$6)</f>
        <v>6881716.208212334</v>
      </c>
      <c r="K15" s="6">
        <f>SUMIFS('12_MODELO'!AW$2:AW$97,'12_MODELO'!B$2:B$97,'01_PAINEL'!$C$6,'12_MODELO'!A$2:A$97,K$6)</f>
        <v>6976918.357088334</v>
      </c>
      <c r="L15" s="6">
        <f>SUMIFS('12_MODELO'!AW$2:AW$97,'12_MODELO'!B$2:B$97,'01_PAINEL'!$C$6,'12_MODELO'!A$2:A$97,L$6)</f>
        <v>7172316.3978866665</v>
      </c>
      <c r="M15" s="6">
        <f>SUMIFS('12_MODELO'!AW$2:AW$97,'12_MODELO'!B$2:B$97,'01_PAINEL'!$C$6,'12_MODELO'!A$2:A$97,M$6)</f>
        <v>7484856.693357667</v>
      </c>
      <c r="N15" s="6">
        <f>SUMIFS('12_MODELO'!AW$2:AW$97,'12_MODELO'!B$2:B$97,'01_PAINEL'!$C$6,'12_MODELO'!A$2:A$97,N$6)</f>
        <v>7407764.129899001</v>
      </c>
      <c r="O15" s="10">
        <f>N15</f>
        <v>7407764.129899001</v>
      </c>
    </row>
    <row r="16" spans="2:15">
      <c r="B16" s="11" t="s">
        <v>88</v>
      </c>
      <c r="C16" s="6">
        <f>SUMIFS('12_MODELO'!X$2:X$97,'12_MODELO'!B$2:B$97,'01_PAINEL'!$C$6,'12_MODELO'!A$2:A$97,C$6)</f>
        <v>918145.1766666665</v>
      </c>
      <c r="D16" s="6">
        <f>SUMIFS('12_MODELO'!X$2:X$97,'12_MODELO'!B$2:B$97,'01_PAINEL'!$C$6,'12_MODELO'!A$2:A$97,D$6)</f>
        <v>940108.4700000001</v>
      </c>
      <c r="E16" s="6">
        <f>SUMIFS('12_MODELO'!X$2:X$97,'12_MODELO'!B$2:B$97,'01_PAINEL'!$C$6,'12_MODELO'!A$2:A$97,E$6)</f>
        <v>1111007.24</v>
      </c>
      <c r="F16" s="6">
        <f>SUMIFS('12_MODELO'!X$2:X$97,'12_MODELO'!B$2:B$97,'01_PAINEL'!$C$6,'12_MODELO'!A$2:A$97,F$6)</f>
        <v>1108439.1266666667</v>
      </c>
      <c r="G16" s="6">
        <f>SUMIFS('12_MODELO'!X$2:X$97,'12_MODELO'!B$2:B$97,'01_PAINEL'!$C$6,'12_MODELO'!A$2:A$97,G$6)</f>
        <v>1157121.4666666666</v>
      </c>
      <c r="H16" s="6">
        <f>SUMIFS('12_MODELO'!X$2:X$97,'12_MODELO'!B$2:B$97,'01_PAINEL'!$C$6,'12_MODELO'!A$2:A$97,H$6)</f>
        <v>1175078.2633333332</v>
      </c>
      <c r="I16" s="6">
        <f>SUMIFS('12_MODELO'!X$2:X$97,'12_MODELO'!B$2:B$97,'01_PAINEL'!$C$6,'12_MODELO'!A$2:A$97,I$6)</f>
        <v>956765.4600000001</v>
      </c>
      <c r="J16" s="6">
        <f>SUMIFS('12_MODELO'!X$2:X$97,'12_MODELO'!B$2:B$97,'01_PAINEL'!$C$6,'12_MODELO'!A$2:A$97,J$6)</f>
        <v>1030320.7833333333</v>
      </c>
      <c r="K16" s="6">
        <f>SUMIFS('12_MODELO'!X$2:X$97,'12_MODELO'!B$2:B$97,'01_PAINEL'!$C$6,'12_MODELO'!A$2:A$97,K$6)</f>
        <v>1097951.0733333335</v>
      </c>
      <c r="L16" s="6">
        <f>SUMIFS('12_MODELO'!X$2:X$97,'12_MODELO'!B$2:B$97,'01_PAINEL'!$C$6,'12_MODELO'!A$2:A$97,L$6)</f>
        <v>1242531.3366666667</v>
      </c>
      <c r="M16" s="6">
        <f>SUMIFS('12_MODELO'!X$2:X$97,'12_MODELO'!B$2:B$97,'01_PAINEL'!$C$6,'12_MODELO'!A$2:A$97,M$6)</f>
        <v>1457442.6066666667</v>
      </c>
      <c r="N16" s="6">
        <f>SUMIFS('12_MODELO'!X$2:X$97,'12_MODELO'!B$2:B$97,'01_PAINEL'!$C$6,'12_MODELO'!A$2:A$97,N$6)</f>
        <v>1355559.5199999998</v>
      </c>
      <c r="O16" s="10">
        <f>N16</f>
        <v>1355559.5199999998</v>
      </c>
    </row>
    <row r="17" spans="2:15">
      <c r="B17" s="11" t="s">
        <v>89</v>
      </c>
      <c r="C17" s="6">
        <f>SUMIFS('12_MODELO'!Y$2:Y$97,'12_MODELO'!B$2:B$97,'01_PAINEL'!$C$6,'12_MODELO'!A$2:A$97,C$6)</f>
        <v>21185.0</v>
      </c>
      <c r="D17" s="6">
        <f>SUMIFS('12_MODELO'!Y$2:Y$97,'12_MODELO'!B$2:B$97,'01_PAINEL'!$C$6,'12_MODELO'!A$2:A$97,D$6)</f>
        <v>21185.0</v>
      </c>
      <c r="E17" s="6">
        <f>SUMIFS('12_MODELO'!Y$2:Y$97,'12_MODELO'!B$2:B$97,'01_PAINEL'!$C$6,'12_MODELO'!A$2:A$97,E$6)</f>
        <v>21185.0</v>
      </c>
      <c r="F17" s="6">
        <f>SUMIFS('12_MODELO'!Y$2:Y$97,'12_MODELO'!B$2:B$97,'01_PAINEL'!$C$6,'12_MODELO'!A$2:A$97,F$6)</f>
        <v>21185.0</v>
      </c>
      <c r="G17" s="6">
        <f>SUMIFS('12_MODELO'!Y$2:Y$97,'12_MODELO'!B$2:B$97,'01_PAINEL'!$C$6,'12_MODELO'!A$2:A$97,G$6)</f>
        <v>21185.0</v>
      </c>
      <c r="H17" s="6">
        <f>SUMIFS('12_MODELO'!Y$2:Y$97,'12_MODELO'!B$2:B$97,'01_PAINEL'!$C$6,'12_MODELO'!A$2:A$97,H$6)</f>
        <v>21185.0</v>
      </c>
      <c r="I17" s="6">
        <f>SUMIFS('12_MODELO'!Y$2:Y$97,'12_MODELO'!B$2:B$97,'01_PAINEL'!$C$6,'12_MODELO'!A$2:A$97,I$6)</f>
        <v>22032.4</v>
      </c>
      <c r="J17" s="6">
        <f>SUMIFS('12_MODELO'!Y$2:Y$97,'12_MODELO'!B$2:B$97,'01_PAINEL'!$C$6,'12_MODELO'!A$2:A$97,J$6)</f>
        <v>22032.4</v>
      </c>
      <c r="K17" s="6">
        <f>SUMIFS('12_MODELO'!Y$2:Y$97,'12_MODELO'!B$2:B$97,'01_PAINEL'!$C$6,'12_MODELO'!A$2:A$97,K$6)</f>
        <v>22032.4</v>
      </c>
      <c r="L17" s="6">
        <f>SUMIFS('12_MODELO'!Y$2:Y$97,'12_MODELO'!B$2:B$97,'01_PAINEL'!$C$6,'12_MODELO'!A$2:A$97,L$6)</f>
        <v>22032.4</v>
      </c>
      <c r="M17" s="6">
        <f>SUMIFS('12_MODELO'!Y$2:Y$97,'12_MODELO'!B$2:B$97,'01_PAINEL'!$C$6,'12_MODELO'!A$2:A$97,M$6)</f>
        <v>22032.4</v>
      </c>
      <c r="N17" s="6">
        <f>SUMIFS('12_MODELO'!Y$2:Y$97,'12_MODELO'!B$2:B$97,'01_PAINEL'!$C$6,'12_MODELO'!A$2:A$97,N$6)</f>
        <v>22032.4</v>
      </c>
      <c r="O17" s="10">
        <f>N17</f>
        <v>22032.4</v>
      </c>
    </row>
    <row r="18" spans="2:15">
      <c r="B18" s="11" t="s">
        <v>90</v>
      </c>
      <c r="C18" s="6">
        <f>SUMIFS('12_MODELO'!Z$2:Z$97,'12_MODELO'!B$2:B$97,'01_PAINEL'!$C$6,'12_MODELO'!A$2:A$97,C$6)</f>
        <v>97842.77665</v>
      </c>
      <c r="D18" s="6">
        <f>SUMIFS('12_MODELO'!Z$2:Z$97,'12_MODELO'!B$2:B$97,'01_PAINEL'!$C$6,'12_MODELO'!A$2:A$97,D$6)</f>
        <v>100022.1996</v>
      </c>
      <c r="E18" s="6">
        <f>SUMIFS('12_MODELO'!Z$2:Z$97,'12_MODELO'!B$2:B$97,'01_PAINEL'!$C$6,'12_MODELO'!A$2:A$97,E$6)</f>
        <v>118146.01180000002</v>
      </c>
      <c r="F18" s="6">
        <f>SUMIFS('12_MODELO'!Z$2:Z$97,'12_MODELO'!B$2:B$97,'01_PAINEL'!$C$6,'12_MODELO'!A$2:A$97,F$6)</f>
        <v>117665.26370000001</v>
      </c>
      <c r="G18" s="6">
        <f>SUMIFS('12_MODELO'!Z$2:Z$97,'12_MODELO'!B$2:B$97,'01_PAINEL'!$C$6,'12_MODELO'!A$2:A$97,G$6)</f>
        <v>123222.67505</v>
      </c>
      <c r="H18" s="6">
        <f>SUMIFS('12_MODELO'!Z$2:Z$97,'12_MODELO'!B$2:B$97,'01_PAINEL'!$C$6,'12_MODELO'!A$2:A$97,H$6)</f>
        <v>125048.68245000001</v>
      </c>
      <c r="I18" s="6">
        <f>SUMIFS('12_MODELO'!Z$2:Z$97,'12_MODELO'!B$2:B$97,'01_PAINEL'!$C$6,'12_MODELO'!A$2:A$97,I$6)</f>
        <v>102621.5608</v>
      </c>
      <c r="J18" s="6">
        <f>SUMIFS('12_MODELO'!Z$2:Z$97,'12_MODELO'!B$2:B$97,'01_PAINEL'!$C$6,'12_MODELO'!A$2:A$97,J$6)</f>
        <v>110384.81140000002</v>
      </c>
      <c r="K18" s="6">
        <f>SUMIFS('12_MODELO'!Z$2:Z$97,'12_MODELO'!B$2:B$97,'01_PAINEL'!$C$6,'12_MODELO'!A$2:A$97,K$6)</f>
        <v>117751.46475000001</v>
      </c>
      <c r="L18" s="6">
        <f>SUMIFS('12_MODELO'!Z$2:Z$97,'12_MODELO'!B$2:B$97,'01_PAINEL'!$C$6,'12_MODELO'!A$2:A$97,L$6)</f>
        <v>132259.05565</v>
      </c>
      <c r="M18" s="6">
        <f>SUMIFS('12_MODELO'!Z$2:Z$97,'12_MODELO'!B$2:B$97,'01_PAINEL'!$C$6,'12_MODELO'!A$2:A$97,M$6)</f>
        <v>155075.2512</v>
      </c>
      <c r="N18" s="6">
        <f>SUMIFS('12_MODELO'!Z$2:Z$97,'12_MODELO'!B$2:B$97,'01_PAINEL'!$C$6,'12_MODELO'!A$2:A$97,N$6)</f>
        <v>144085.5468</v>
      </c>
      <c r="O18" s="10">
        <f>N18</f>
        <v>144085.5468</v>
      </c>
    </row>
    <row r="19" spans="2:15">
      <c r="B19" s="11" t="s">
        <v>91</v>
      </c>
      <c r="C19" s="6">
        <f>SUMIFS('12_MODELO'!AA$2:AA$97,'12_MODELO'!B$2:B$97,'01_PAINEL'!$C$6,'12_MODELO'!A$2:A$97,C$6)</f>
        <v>4233.28333900005</v>
      </c>
      <c r="D19" s="6">
        <f>SUMIFS('12_MODELO'!AA$2:AA$97,'12_MODELO'!B$2:B$97,'01_PAINEL'!$C$6,'12_MODELO'!A$2:A$97,D$6)</f>
        <v>5315.852536000022</v>
      </c>
      <c r="E19" s="6">
        <f>SUMIFS('12_MODELO'!AA$2:AA$97,'12_MODELO'!B$2:B$97,'01_PAINEL'!$C$6,'12_MODELO'!A$2:A$97,E$6)</f>
        <v>17651.73518800002</v>
      </c>
      <c r="F19" s="6">
        <f>SUMIFS('12_MODELO'!AA$2:AA$97,'12_MODELO'!B$2:B$97,'01_PAINEL'!$C$6,'12_MODELO'!A$2:A$97,F$6)</f>
        <v>6999.5923419999735</v>
      </c>
      <c r="G19" s="6">
        <f>SUMIFS('12_MODELO'!AA$2:AA$97,'12_MODELO'!B$2:B$97,'01_PAINEL'!$C$6,'12_MODELO'!A$2:A$97,G$6)</f>
        <v>10447.21228300002</v>
      </c>
      <c r="H19" s="6">
        <f>SUMIFS('12_MODELO'!AA$2:AA$97,'12_MODELO'!B$2:B$97,'01_PAINEL'!$C$6,'12_MODELO'!A$2:A$97,H$6)</f>
        <v>21005.885967000017</v>
      </c>
      <c r="I19" s="6">
        <f>SUMIFS('12_MODELO'!AA$2:AA$97,'12_MODELO'!B$2:B$97,'01_PAINEL'!$C$6,'12_MODELO'!A$2:A$97,I$6)</f>
        <v>6075.160527999947</v>
      </c>
      <c r="J19" s="6">
        <f>SUMIFS('12_MODELO'!AA$2:AA$97,'12_MODELO'!B$2:B$97,'01_PAINEL'!$C$6,'12_MODELO'!A$2:A$97,J$6)</f>
        <v>11263.699724000036</v>
      </c>
      <c r="K19" s="6">
        <f>SUMIFS('12_MODELO'!AA$2:AA$97,'12_MODELO'!B$2:B$97,'01_PAINEL'!$C$6,'12_MODELO'!A$2:A$97,K$6)</f>
        <v>16819.427785000003</v>
      </c>
      <c r="L19" s="6">
        <f>SUMIFS('12_MODELO'!AA$2:AA$97,'12_MODELO'!B$2:B$97,'01_PAINEL'!$C$6,'12_MODELO'!A$2:A$97,L$6)</f>
        <v>24184.06887899994</v>
      </c>
      <c r="M19" s="6">
        <f>SUMIFS('12_MODELO'!AA$2:AA$97,'12_MODELO'!B$2:B$97,'01_PAINEL'!$C$6,'12_MODELO'!A$2:A$97,M$6)</f>
        <v>39778.945591999975</v>
      </c>
      <c r="N19" s="6">
        <f>SUMIFS('12_MODELO'!AA$2:AA$97,'12_MODELO'!B$2:B$97,'01_PAINEL'!$C$6,'12_MODELO'!A$2:A$97,N$6)</f>
        <v>31810.118888000008</v>
      </c>
      <c r="O19" s="10">
        <f>N19</f>
        <v>31810.118888000008</v>
      </c>
    </row>
    <row r="20" spans="2:15">
      <c r="B20" s="11" t="s">
        <v>133</v>
      </c>
      <c r="C20" s="6">
        <f>SUMIFS('12_MODELO'!BQ$2:BQ$97,'12_MODELO'!B$2:B$97,'01_PAINEL'!$C$6,'12_MODELO'!A$2:A$97,C$6)</f>
        <v>216000.0</v>
      </c>
      <c r="D20" s="6">
        <f>SUMIFS('12_MODELO'!BQ$2:BQ$97,'12_MODELO'!B$2:B$97,'01_PAINEL'!$C$6,'12_MODELO'!A$2:A$97,D$6)</f>
        <v>216000.0</v>
      </c>
      <c r="E20" s="6">
        <f>SUMIFS('12_MODELO'!BQ$2:BQ$97,'12_MODELO'!B$2:B$97,'01_PAINEL'!$C$6,'12_MODELO'!A$2:A$97,E$6)</f>
        <v>216000.0</v>
      </c>
      <c r="F20" s="6">
        <f>SUMIFS('12_MODELO'!BQ$2:BQ$97,'12_MODELO'!B$2:B$97,'01_PAINEL'!$C$6,'12_MODELO'!A$2:A$97,F$6)</f>
        <v>216000.0</v>
      </c>
      <c r="G20" s="6">
        <f>SUMIFS('12_MODELO'!BQ$2:BQ$97,'12_MODELO'!B$2:B$97,'01_PAINEL'!$C$6,'12_MODELO'!A$2:A$97,G$6)</f>
        <v>216000.0</v>
      </c>
      <c r="H20" s="6">
        <f>SUMIFS('12_MODELO'!BQ$2:BQ$97,'12_MODELO'!B$2:B$97,'01_PAINEL'!$C$6,'12_MODELO'!A$2:A$97,H$6)</f>
        <v>216000.0</v>
      </c>
      <c r="I20" s="6">
        <f>SUMIFS('12_MODELO'!BQ$2:BQ$97,'12_MODELO'!B$2:B$97,'01_PAINEL'!$C$6,'12_MODELO'!A$2:A$97,I$6)</f>
        <v>216000.0</v>
      </c>
      <c r="J20" s="6">
        <f>SUMIFS('12_MODELO'!BQ$2:BQ$97,'12_MODELO'!B$2:B$97,'01_PAINEL'!$C$6,'12_MODELO'!A$2:A$97,J$6)</f>
        <v>216000.0</v>
      </c>
      <c r="K20" s="6">
        <f>SUMIFS('12_MODELO'!BQ$2:BQ$97,'12_MODELO'!B$2:B$97,'01_PAINEL'!$C$6,'12_MODELO'!A$2:A$97,K$6)</f>
        <v>216000.0</v>
      </c>
      <c r="L20" s="6">
        <f>SUMIFS('12_MODELO'!BQ$2:BQ$97,'12_MODELO'!B$2:B$97,'01_PAINEL'!$C$6,'12_MODELO'!A$2:A$97,L$6)</f>
        <v>216000.0</v>
      </c>
      <c r="M20" s="6">
        <f>SUMIFS('12_MODELO'!BQ$2:BQ$97,'12_MODELO'!B$2:B$97,'01_PAINEL'!$C$6,'12_MODELO'!A$2:A$97,M$6)</f>
        <v>216000.0</v>
      </c>
      <c r="N20" s="6">
        <f>SUMIFS('12_MODELO'!BQ$2:BQ$97,'12_MODELO'!B$2:B$97,'01_PAINEL'!$C$6,'12_MODELO'!A$2:A$97,N$6)</f>
        <v>216000.0</v>
      </c>
      <c r="O20" s="10">
        <f>N20</f>
        <v>216000.0</v>
      </c>
    </row>
    <row r="21" spans="2:15">
      <c r="B21" s="11" t="s">
        <v>135</v>
      </c>
      <c r="C21" s="6">
        <f>SUMIFS('12_MODELO'!BS$2:BS$97,'12_MODELO'!B$2:B$97,'01_PAINEL'!$C$6,'12_MODELO'!A$2:A$97,C$6)</f>
        <v>1257406.2366556665</v>
      </c>
      <c r="D21" s="6">
        <f>SUMIFS('12_MODELO'!BS$2:BS$97,'12_MODELO'!B$2:B$97,'01_PAINEL'!$C$6,'12_MODELO'!A$2:A$97,D$6)</f>
        <v>1282631.5221360002</v>
      </c>
      <c r="E21" s="6">
        <f>SUMIFS('12_MODELO'!BS$2:BS$97,'12_MODELO'!B$2:B$97,'01_PAINEL'!$C$6,'12_MODELO'!A$2:A$97,E$6)</f>
        <v>1483989.986988</v>
      </c>
      <c r="F21" s="6">
        <f>SUMIFS('12_MODELO'!BS$2:BS$97,'12_MODELO'!B$2:B$97,'01_PAINEL'!$C$6,'12_MODELO'!A$2:A$97,F$6)</f>
        <v>1470288.9827086665</v>
      </c>
      <c r="G21" s="6">
        <f>SUMIFS('12_MODELO'!BS$2:BS$97,'12_MODELO'!B$2:B$97,'01_PAINEL'!$C$6,'12_MODELO'!A$2:A$97,G$6)</f>
        <v>1527976.3539996664</v>
      </c>
      <c r="H21" s="6">
        <f>SUMIFS('12_MODELO'!BS$2:BS$97,'12_MODELO'!B$2:B$97,'01_PAINEL'!$C$6,'12_MODELO'!A$2:A$97,H$6)</f>
        <v>1558317.8317503333</v>
      </c>
      <c r="I21" s="6">
        <f>SUMIFS('12_MODELO'!BS$2:BS$97,'12_MODELO'!B$2:B$97,'01_PAINEL'!$C$6,'12_MODELO'!A$2:A$97,I$6)</f>
        <v>1303494.581328</v>
      </c>
      <c r="J21" s="6">
        <f>SUMIFS('12_MODELO'!BS$2:BS$97,'12_MODELO'!B$2:B$97,'01_PAINEL'!$C$6,'12_MODELO'!A$2:A$97,J$6)</f>
        <v>1390001.6944573333</v>
      </c>
      <c r="K21" s="6">
        <f>SUMIFS('12_MODELO'!BS$2:BS$97,'12_MODELO'!B$2:B$97,'01_PAINEL'!$C$6,'12_MODELO'!A$2:A$97,K$6)</f>
        <v>1470554.3658683335</v>
      </c>
      <c r="L21" s="6">
        <f>SUMIFS('12_MODELO'!BS$2:BS$97,'12_MODELO'!B$2:B$97,'01_PAINEL'!$C$6,'12_MODELO'!A$2:A$97,L$6)</f>
        <v>1637006.8611956667</v>
      </c>
      <c r="M21" s="6">
        <f>SUMIFS('12_MODELO'!BS$2:BS$97,'12_MODELO'!B$2:B$97,'01_PAINEL'!$C$6,'12_MODELO'!A$2:A$97,M$6)</f>
        <v>1890329.2034586668</v>
      </c>
      <c r="N21" s="6">
        <f>SUMIFS('12_MODELO'!BS$2:BS$97,'12_MODELO'!B$2:B$97,'01_PAINEL'!$C$6,'12_MODELO'!A$2:A$97,N$6)</f>
        <v>1769487.5856879996</v>
      </c>
      <c r="O21" s="10">
        <f>N21</f>
        <v>1769487.5856879996</v>
      </c>
    </row>
    <row r="22" spans="2:15">
      <c r="B22" s="11" t="s">
        <v>134</v>
      </c>
      <c r="C22" s="6">
        <f>SUMIFS('12_MODELO'!BR$2:BR$97,'12_MODELO'!B$2:B$97,'01_PAINEL'!$C$6,'12_MODELO'!A$2:A$97,C$6)</f>
        <v>350000.0</v>
      </c>
      <c r="D22" s="6">
        <f>SUMIFS('12_MODELO'!BR$2:BR$97,'12_MODELO'!B$2:B$97,'01_PAINEL'!$C$6,'12_MODELO'!A$2:A$97,D$6)</f>
        <v>332000.0</v>
      </c>
      <c r="E22" s="6">
        <f>SUMIFS('12_MODELO'!BR$2:BR$97,'12_MODELO'!B$2:B$97,'01_PAINEL'!$C$6,'12_MODELO'!A$2:A$97,E$6)</f>
        <v>314000.0</v>
      </c>
      <c r="F22" s="6">
        <f>SUMIFS('12_MODELO'!BR$2:BR$97,'12_MODELO'!B$2:B$97,'01_PAINEL'!$C$6,'12_MODELO'!A$2:A$97,F$6)</f>
        <v>646000.0</v>
      </c>
      <c r="G22" s="6">
        <f>SUMIFS('12_MODELO'!BR$2:BR$97,'12_MODELO'!B$2:B$97,'01_PAINEL'!$C$6,'12_MODELO'!A$2:A$97,G$6)</f>
        <v>628000.0</v>
      </c>
      <c r="H22" s="6">
        <f>SUMIFS('12_MODELO'!BR$2:BR$97,'12_MODELO'!B$2:B$97,'01_PAINEL'!$C$6,'12_MODELO'!A$2:A$97,H$6)</f>
        <v>610000.0</v>
      </c>
      <c r="I22" s="6">
        <f>SUMIFS('12_MODELO'!BR$2:BR$97,'12_MODELO'!B$2:B$97,'01_PAINEL'!$C$6,'12_MODELO'!A$2:A$97,I$6)</f>
        <v>592000.0</v>
      </c>
      <c r="J22" s="6">
        <f>SUMIFS('12_MODELO'!BR$2:BR$97,'12_MODELO'!B$2:B$97,'01_PAINEL'!$C$6,'12_MODELO'!A$2:A$97,J$6)</f>
        <v>574000.0</v>
      </c>
      <c r="K22" s="6">
        <f>SUMIFS('12_MODELO'!BR$2:BR$97,'12_MODELO'!B$2:B$97,'01_PAINEL'!$C$6,'12_MODELO'!A$2:A$97,K$6)</f>
        <v>556000.0</v>
      </c>
      <c r="L22" s="6">
        <f>SUMIFS('12_MODELO'!BR$2:BR$97,'12_MODELO'!B$2:B$97,'01_PAINEL'!$C$6,'12_MODELO'!A$2:A$97,L$6)</f>
        <v>538000.0</v>
      </c>
      <c r="M22" s="6">
        <f>SUMIFS('12_MODELO'!BR$2:BR$97,'12_MODELO'!B$2:B$97,'01_PAINEL'!$C$6,'12_MODELO'!A$2:A$97,M$6)</f>
        <v>520000.0</v>
      </c>
      <c r="N22" s="6">
        <f>SUMIFS('12_MODELO'!BR$2:BR$97,'12_MODELO'!B$2:B$97,'01_PAINEL'!$C$6,'12_MODELO'!A$2:A$97,N$6)</f>
        <v>502000.0</v>
      </c>
      <c r="O22" s="10">
        <f>N22</f>
        <v>502000.0</v>
      </c>
    </row>
    <row r="23" spans="2:15">
      <c r="B23" s="11" t="s">
        <v>136</v>
      </c>
      <c r="C23" s="6">
        <f>SUMIFS('12_MODELO'!BT$2:BT$97,'12_MODELO'!B$2:B$97,'01_PAINEL'!$C$6,'12_MODELO'!A$2:A$97,C$6)</f>
        <v>350000.0</v>
      </c>
      <c r="D23" s="6">
        <f>SUMIFS('12_MODELO'!BT$2:BT$97,'12_MODELO'!B$2:B$97,'01_PAINEL'!$C$6,'12_MODELO'!A$2:A$97,D$6)</f>
        <v>332000.0</v>
      </c>
      <c r="E23" s="6">
        <f>SUMIFS('12_MODELO'!BT$2:BT$97,'12_MODELO'!B$2:B$97,'01_PAINEL'!$C$6,'12_MODELO'!A$2:A$97,E$6)</f>
        <v>314000.0</v>
      </c>
      <c r="F23" s="6">
        <f>SUMIFS('12_MODELO'!BT$2:BT$97,'12_MODELO'!B$2:B$97,'01_PAINEL'!$C$6,'12_MODELO'!A$2:A$97,F$6)</f>
        <v>646000.0</v>
      </c>
      <c r="G23" s="6">
        <f>SUMIFS('12_MODELO'!BT$2:BT$97,'12_MODELO'!B$2:B$97,'01_PAINEL'!$C$6,'12_MODELO'!A$2:A$97,G$6)</f>
        <v>628000.0</v>
      </c>
      <c r="H23" s="6">
        <f>SUMIFS('12_MODELO'!BT$2:BT$97,'12_MODELO'!B$2:B$97,'01_PAINEL'!$C$6,'12_MODELO'!A$2:A$97,H$6)</f>
        <v>610000.0</v>
      </c>
      <c r="I23" s="6">
        <f>SUMIFS('12_MODELO'!BT$2:BT$97,'12_MODELO'!B$2:B$97,'01_PAINEL'!$C$6,'12_MODELO'!A$2:A$97,I$6)</f>
        <v>592000.0</v>
      </c>
      <c r="J23" s="6">
        <f>SUMIFS('12_MODELO'!BT$2:BT$97,'12_MODELO'!B$2:B$97,'01_PAINEL'!$C$6,'12_MODELO'!A$2:A$97,J$6)</f>
        <v>574000.0</v>
      </c>
      <c r="K23" s="6">
        <f>SUMIFS('12_MODELO'!BT$2:BT$97,'12_MODELO'!B$2:B$97,'01_PAINEL'!$C$6,'12_MODELO'!A$2:A$97,K$6)</f>
        <v>556000.0</v>
      </c>
      <c r="L23" s="6">
        <f>SUMIFS('12_MODELO'!BT$2:BT$97,'12_MODELO'!B$2:B$97,'01_PAINEL'!$C$6,'12_MODELO'!A$2:A$97,L$6)</f>
        <v>538000.0</v>
      </c>
      <c r="M23" s="6">
        <f>SUMIFS('12_MODELO'!BT$2:BT$97,'12_MODELO'!B$2:B$97,'01_PAINEL'!$C$6,'12_MODELO'!A$2:A$97,M$6)</f>
        <v>520000.0</v>
      </c>
      <c r="N23" s="6">
        <f>SUMIFS('12_MODELO'!BT$2:BT$97,'12_MODELO'!B$2:B$97,'01_PAINEL'!$C$6,'12_MODELO'!A$2:A$97,N$6)</f>
        <v>502000.0</v>
      </c>
      <c r="O23" s="10">
        <f>N23</f>
        <v>502000.0</v>
      </c>
    </row>
    <row r="24" spans="2:15">
      <c r="B24" s="11" t="s">
        <v>94</v>
      </c>
      <c r="C24" s="6">
        <f>SUMIFS('12_MODELO'!AG$2:AG$97,'12_MODELO'!B$2:B$97,'01_PAINEL'!$C$6,'12_MODELO'!A$2:A$97,C$6)</f>
        <v>566000.0</v>
      </c>
      <c r="D24" s="6">
        <f>SUMIFS('12_MODELO'!AG$2:AG$97,'12_MODELO'!B$2:B$97,'01_PAINEL'!$C$6,'12_MODELO'!A$2:A$97,D$6)</f>
        <v>548000.0</v>
      </c>
      <c r="E24" s="6">
        <f>SUMIFS('12_MODELO'!AG$2:AG$97,'12_MODELO'!B$2:B$97,'01_PAINEL'!$C$6,'12_MODELO'!A$2:A$97,E$6)</f>
        <v>530000.0</v>
      </c>
      <c r="F24" s="6">
        <f>SUMIFS('12_MODELO'!AG$2:AG$97,'12_MODELO'!B$2:B$97,'01_PAINEL'!$C$6,'12_MODELO'!A$2:A$97,F$6)</f>
        <v>862000.0</v>
      </c>
      <c r="G24" s="6">
        <f>SUMIFS('12_MODELO'!AG$2:AG$97,'12_MODELO'!B$2:B$97,'01_PAINEL'!$C$6,'12_MODELO'!A$2:A$97,G$6)</f>
        <v>844000.0</v>
      </c>
      <c r="H24" s="6">
        <f>SUMIFS('12_MODELO'!AG$2:AG$97,'12_MODELO'!B$2:B$97,'01_PAINEL'!$C$6,'12_MODELO'!A$2:A$97,H$6)</f>
        <v>826000.0</v>
      </c>
      <c r="I24" s="6">
        <f>SUMIFS('12_MODELO'!AG$2:AG$97,'12_MODELO'!B$2:B$97,'01_PAINEL'!$C$6,'12_MODELO'!A$2:A$97,I$6)</f>
        <v>808000.0</v>
      </c>
      <c r="J24" s="6">
        <f>SUMIFS('12_MODELO'!AG$2:AG$97,'12_MODELO'!B$2:B$97,'01_PAINEL'!$C$6,'12_MODELO'!A$2:A$97,J$6)</f>
        <v>790000.0</v>
      </c>
      <c r="K24" s="6">
        <f>SUMIFS('12_MODELO'!AG$2:AG$97,'12_MODELO'!B$2:B$97,'01_PAINEL'!$C$6,'12_MODELO'!A$2:A$97,K$6)</f>
        <v>772000.0</v>
      </c>
      <c r="L24" s="6">
        <f>SUMIFS('12_MODELO'!AG$2:AG$97,'12_MODELO'!B$2:B$97,'01_PAINEL'!$C$6,'12_MODELO'!A$2:A$97,L$6)</f>
        <v>754000.0</v>
      </c>
      <c r="M24" s="6">
        <f>SUMIFS('12_MODELO'!AG$2:AG$97,'12_MODELO'!B$2:B$97,'01_PAINEL'!$C$6,'12_MODELO'!A$2:A$97,M$6)</f>
        <v>736000.0</v>
      </c>
      <c r="N24" s="6">
        <f>SUMIFS('12_MODELO'!AG$2:AG$97,'12_MODELO'!B$2:B$97,'01_PAINEL'!$C$6,'12_MODELO'!A$2:A$97,N$6)</f>
        <v>718000.0</v>
      </c>
      <c r="O24" s="10">
        <f>N24</f>
        <v>718000.0</v>
      </c>
    </row>
    <row r="25" spans="2:15">
      <c r="B25" s="2" t="s">
        <v>121</v>
      </c>
      <c r="C25" s="6">
        <f>SUMIFS('12_MODELO'!AX$2:AX$97,'12_MODELO'!B$2:B$97,'01_PAINEL'!$C$6,'12_MODELO'!A$2:A$97,C$6)</f>
        <v>1607406.2366556665</v>
      </c>
      <c r="D25" s="6">
        <f>SUMIFS('12_MODELO'!AX$2:AX$97,'12_MODELO'!B$2:B$97,'01_PAINEL'!$C$6,'12_MODELO'!A$2:A$97,D$6)</f>
        <v>1614631.5221360002</v>
      </c>
      <c r="E25" s="6">
        <f>SUMIFS('12_MODELO'!AX$2:AX$97,'12_MODELO'!B$2:B$97,'01_PAINEL'!$C$6,'12_MODELO'!A$2:A$97,E$6)</f>
        <v>1797989.986988</v>
      </c>
      <c r="F25" s="6">
        <f>SUMIFS('12_MODELO'!AX$2:AX$97,'12_MODELO'!B$2:B$97,'01_PAINEL'!$C$6,'12_MODELO'!A$2:A$97,F$6)</f>
        <v>2116288.9827086665</v>
      </c>
      <c r="G25" s="6">
        <f>SUMIFS('12_MODELO'!AX$2:AX$97,'12_MODELO'!B$2:B$97,'01_PAINEL'!$C$6,'12_MODELO'!A$2:A$97,G$6)</f>
        <v>2155976.3539996664</v>
      </c>
      <c r="H25" s="6">
        <f>SUMIFS('12_MODELO'!AX$2:AX$97,'12_MODELO'!B$2:B$97,'01_PAINEL'!$C$6,'12_MODELO'!A$2:A$97,H$6)</f>
        <v>2168317.8317503333</v>
      </c>
      <c r="I25" s="6">
        <f>SUMIFS('12_MODELO'!AX$2:AX$97,'12_MODELO'!B$2:B$97,'01_PAINEL'!$C$6,'12_MODELO'!A$2:A$97,I$6)</f>
        <v>1895494.581328</v>
      </c>
      <c r="J25" s="6">
        <f>SUMIFS('12_MODELO'!AX$2:AX$97,'12_MODELO'!B$2:B$97,'01_PAINEL'!$C$6,'12_MODELO'!A$2:A$97,J$6)</f>
        <v>1964001.6944573333</v>
      </c>
      <c r="K25" s="6">
        <f>SUMIFS('12_MODELO'!AX$2:AX$97,'12_MODELO'!B$2:B$97,'01_PAINEL'!$C$6,'12_MODELO'!A$2:A$97,K$6)</f>
        <v>2026554.3658683335</v>
      </c>
      <c r="L25" s="6">
        <f>SUMIFS('12_MODELO'!AX$2:AX$97,'12_MODELO'!B$2:B$97,'01_PAINEL'!$C$6,'12_MODELO'!A$2:A$97,L$6)</f>
        <v>2175006.8611956667</v>
      </c>
      <c r="M25" s="6">
        <f>SUMIFS('12_MODELO'!AX$2:AX$97,'12_MODELO'!B$2:B$97,'01_PAINEL'!$C$6,'12_MODELO'!A$2:A$97,M$6)</f>
        <v>2410329.203458667</v>
      </c>
      <c r="N25" s="6">
        <f>SUMIFS('12_MODELO'!AX$2:AX$97,'12_MODELO'!B$2:B$97,'01_PAINEL'!$C$6,'12_MODELO'!A$2:A$97,N$6)</f>
        <v>2271487.5856879996</v>
      </c>
      <c r="O25" s="10">
        <f>N25</f>
        <v>2271487.5856879996</v>
      </c>
    </row>
    <row r="26" spans="2:15">
      <c r="B26" s="11" t="s">
        <v>95</v>
      </c>
      <c r="C26" s="6">
        <f>SUMIFS('12_MODELO'!AI$2:AI$97,'12_MODELO'!B$2:B$97,'01_PAINEL'!$C$6,'12_MODELO'!A$2:A$97,C$6)</f>
        <v>3900000.0</v>
      </c>
      <c r="D26" s="6">
        <f>SUMIFS('12_MODELO'!AI$2:AI$97,'12_MODELO'!B$2:B$97,'01_PAINEL'!$C$6,'12_MODELO'!A$2:A$97,D$6)</f>
        <v>3900000.0</v>
      </c>
      <c r="E26" s="6">
        <f>SUMIFS('12_MODELO'!AI$2:AI$97,'12_MODELO'!B$2:B$97,'01_PAINEL'!$C$6,'12_MODELO'!A$2:A$97,E$6)</f>
        <v>3900000.0</v>
      </c>
      <c r="F26" s="6">
        <f>SUMIFS('12_MODELO'!AI$2:AI$97,'12_MODELO'!B$2:B$97,'01_PAINEL'!$C$6,'12_MODELO'!A$2:A$97,F$6)</f>
        <v>3900000.0</v>
      </c>
      <c r="G26" s="6">
        <f>SUMIFS('12_MODELO'!AI$2:AI$97,'12_MODELO'!B$2:B$97,'01_PAINEL'!$C$6,'12_MODELO'!A$2:A$97,G$6)</f>
        <v>3900000.0</v>
      </c>
      <c r="H26" s="6">
        <f>SUMIFS('12_MODELO'!AI$2:AI$97,'12_MODELO'!B$2:B$97,'01_PAINEL'!$C$6,'12_MODELO'!A$2:A$97,H$6)</f>
        <v>3900000.0</v>
      </c>
      <c r="I26" s="6">
        <f>SUMIFS('12_MODELO'!AI$2:AI$97,'12_MODELO'!B$2:B$97,'01_PAINEL'!$C$6,'12_MODELO'!A$2:A$97,I$6)</f>
        <v>3900000.0</v>
      </c>
      <c r="J26" s="6">
        <f>SUMIFS('12_MODELO'!AI$2:AI$97,'12_MODELO'!B$2:B$97,'01_PAINEL'!$C$6,'12_MODELO'!A$2:A$97,J$6)</f>
        <v>3900000.0</v>
      </c>
      <c r="K26" s="6">
        <f>SUMIFS('12_MODELO'!AI$2:AI$97,'12_MODELO'!B$2:B$97,'01_PAINEL'!$C$6,'12_MODELO'!A$2:A$97,K$6)</f>
        <v>3900000.0</v>
      </c>
      <c r="L26" s="6">
        <f>SUMIFS('12_MODELO'!AI$2:AI$97,'12_MODELO'!B$2:B$97,'01_PAINEL'!$C$6,'12_MODELO'!A$2:A$97,L$6)</f>
        <v>3900000.0</v>
      </c>
      <c r="M26" s="6">
        <f>SUMIFS('12_MODELO'!AI$2:AI$97,'12_MODELO'!B$2:B$97,'01_PAINEL'!$C$6,'12_MODELO'!A$2:A$97,M$6)</f>
        <v>3900000.0</v>
      </c>
      <c r="N26" s="6">
        <f>SUMIFS('12_MODELO'!AI$2:AI$97,'12_MODELO'!B$2:B$97,'01_PAINEL'!$C$6,'12_MODELO'!A$2:A$97,N$6)</f>
        <v>3900000.0</v>
      </c>
      <c r="O26" s="10">
        <f>N26</f>
        <v>3900000.0</v>
      </c>
    </row>
    <row r="27" spans="2:15">
      <c r="B27" s="11" t="s">
        <v>96</v>
      </c>
      <c r="C27" s="6">
        <f>SUMIFS('12_MODELO'!AJ$2:AJ$97,'12_MODELO'!B$2:B$97,'01_PAINEL'!$C$6,'12_MODELO'!A$2:A$97,C$6)</f>
        <v>864829.1271230004</v>
      </c>
      <c r="D27" s="6">
        <f>SUMIFS('12_MODELO'!AJ$2:AJ$97,'12_MODELO'!B$2:B$97,'01_PAINEL'!$C$6,'12_MODELO'!A$2:A$97,D$6)</f>
        <v>875148.1349870005</v>
      </c>
      <c r="E27" s="6">
        <f>SUMIFS('12_MODELO'!AJ$2:AJ$97,'12_MODELO'!B$2:B$97,'01_PAINEL'!$C$6,'12_MODELO'!A$2:A$97,E$6)</f>
        <v>909413.2679990005</v>
      </c>
      <c r="F27" s="6">
        <f>SUMIFS('12_MODELO'!AJ$2:AJ$97,'12_MODELO'!B$2:B$97,'01_PAINEL'!$C$6,'12_MODELO'!A$2:A$97,F$6)</f>
        <v>923000.7119570004</v>
      </c>
      <c r="G27" s="6">
        <f>SUMIFS('12_MODELO'!AJ$2:AJ$97,'12_MODELO'!B$2:B$97,'01_PAINEL'!$C$6,'12_MODELO'!A$2:A$97,G$6)</f>
        <v>943280.5946240005</v>
      </c>
      <c r="H27" s="6">
        <f>SUMIFS('12_MODELO'!AJ$2:AJ$97,'12_MODELO'!B$2:B$97,'01_PAINEL'!$C$6,'12_MODELO'!A$2:A$97,H$6)</f>
        <v>984056.7262070006</v>
      </c>
      <c r="I27" s="6">
        <f>SUMIFS('12_MODELO'!AJ$2:AJ$97,'12_MODELO'!B$2:B$97,'01_PAINEL'!$C$6,'12_MODELO'!A$2:A$97,I$6)</f>
        <v>995849.6848790004</v>
      </c>
      <c r="J27" s="6">
        <f>SUMIFS('12_MODELO'!AJ$2:AJ$97,'12_MODELO'!B$2:B$97,'01_PAINEL'!$C$6,'12_MODELO'!A$2:A$97,J$6)</f>
        <v>1017714.5137550004</v>
      </c>
      <c r="K27" s="6">
        <f>SUMIFS('12_MODELO'!AJ$2:AJ$97,'12_MODELO'!B$2:B$97,'01_PAINEL'!$C$6,'12_MODELO'!A$2:A$97,K$6)</f>
        <v>1050363.9912200004</v>
      </c>
      <c r="L27" s="6">
        <f>SUMIFS('12_MODELO'!AJ$2:AJ$97,'12_MODELO'!B$2:B$97,'01_PAINEL'!$C$6,'12_MODELO'!A$2:A$97,L$6)</f>
        <v>1097309.5366910002</v>
      </c>
      <c r="M27" s="6">
        <f>SUMIFS('12_MODELO'!AJ$2:AJ$97,'12_MODELO'!B$2:B$97,'01_PAINEL'!$C$6,'12_MODELO'!A$2:A$97,M$6)</f>
        <v>1174527.4898990002</v>
      </c>
      <c r="N27" s="6">
        <f>SUMIFS('12_MODELO'!AJ$2:AJ$97,'12_MODELO'!B$2:B$97,'01_PAINEL'!$C$6,'12_MODELO'!A$2:A$97,N$6)</f>
        <v>1236276.5442110002</v>
      </c>
      <c r="O27" s="10">
        <f>N27</f>
        <v>1236276.5442110002</v>
      </c>
    </row>
    <row r="28" spans="2:15">
      <c r="B28" s="2" t="s">
        <v>122</v>
      </c>
      <c r="C28" s="6">
        <f>SUMIFS('12_MODELO'!AY$2:AY$97,'12_MODELO'!B$2:B$97,'01_PAINEL'!$C$6,'12_MODELO'!A$2:A$97,C$6)</f>
        <v>4764829.127123</v>
      </c>
      <c r="D28" s="6">
        <f>SUMIFS('12_MODELO'!AY$2:AY$97,'12_MODELO'!B$2:B$97,'01_PAINEL'!$C$6,'12_MODELO'!A$2:A$97,D$6)</f>
        <v>4775148.134987</v>
      </c>
      <c r="E28" s="6">
        <f>SUMIFS('12_MODELO'!AY$2:AY$97,'12_MODELO'!B$2:B$97,'01_PAINEL'!$C$6,'12_MODELO'!A$2:A$97,E$6)</f>
        <v>4809413.267999001</v>
      </c>
      <c r="F28" s="6">
        <f>SUMIFS('12_MODELO'!AY$2:AY$97,'12_MODELO'!B$2:B$97,'01_PAINEL'!$C$6,'12_MODELO'!A$2:A$97,F$6)</f>
        <v>4823000.711957</v>
      </c>
      <c r="G28" s="6">
        <f>SUMIFS('12_MODELO'!AY$2:AY$97,'12_MODELO'!B$2:B$97,'01_PAINEL'!$C$6,'12_MODELO'!A$2:A$97,G$6)</f>
        <v>4843280.594624001</v>
      </c>
      <c r="H28" s="6">
        <f>SUMIFS('12_MODELO'!AY$2:AY$97,'12_MODELO'!B$2:B$97,'01_PAINEL'!$C$6,'12_MODELO'!A$2:A$97,H$6)</f>
        <v>4884056.726207</v>
      </c>
      <c r="I28" s="6">
        <f>SUMIFS('12_MODELO'!AY$2:AY$97,'12_MODELO'!B$2:B$97,'01_PAINEL'!$C$6,'12_MODELO'!A$2:A$97,I$6)</f>
        <v>4895849.684879</v>
      </c>
      <c r="J28" s="6">
        <f>SUMIFS('12_MODELO'!AY$2:AY$97,'12_MODELO'!B$2:B$97,'01_PAINEL'!$C$6,'12_MODELO'!A$2:A$97,J$6)</f>
        <v>4917714.513755</v>
      </c>
      <c r="K28" s="6">
        <f>SUMIFS('12_MODELO'!AY$2:AY$97,'12_MODELO'!B$2:B$97,'01_PAINEL'!$C$6,'12_MODELO'!A$2:A$97,K$6)</f>
        <v>4950363.99122</v>
      </c>
      <c r="L28" s="6">
        <f>SUMIFS('12_MODELO'!AY$2:AY$97,'12_MODELO'!B$2:B$97,'01_PAINEL'!$C$6,'12_MODELO'!A$2:A$97,L$6)</f>
        <v>4997309.536691001</v>
      </c>
      <c r="M28" s="6">
        <f>SUMIFS('12_MODELO'!AY$2:AY$97,'12_MODELO'!B$2:B$97,'01_PAINEL'!$C$6,'12_MODELO'!A$2:A$97,M$6)</f>
        <v>5074527.489899</v>
      </c>
      <c r="N28" s="6">
        <f>SUMIFS('12_MODELO'!AY$2:AY$97,'12_MODELO'!B$2:B$97,'01_PAINEL'!$C$6,'12_MODELO'!A$2:A$97,N$6)</f>
        <v>5136276.544211</v>
      </c>
      <c r="O28" s="10">
        <f>N28</f>
        <v>5136276.544211</v>
      </c>
    </row>
    <row r="29" spans="2:15">
      <c r="B29" s="11" t="s">
        <v>123</v>
      </c>
      <c r="C29" s="6">
        <f>SUMIFS('12_MODELO'!AZ$2:AZ$97,'12_MODELO'!B$2:B$97,'01_PAINEL'!$C$6,'12_MODELO'!A$2:A$97,C$6)</f>
        <v>9.313225746154785e-10</v>
      </c>
      <c r="D29" s="6">
        <f>SUMIFS('12_MODELO'!AZ$2:AZ$97,'12_MODELO'!B$2:B$97,'01_PAINEL'!$C$6,'12_MODELO'!A$2:A$97,D$6)</f>
        <v>0.0</v>
      </c>
      <c r="E29" s="6">
        <f>SUMIFS('12_MODELO'!AZ$2:AZ$97,'12_MODELO'!B$2:B$97,'01_PAINEL'!$C$6,'12_MODELO'!A$2:A$97,E$6)</f>
        <v>-1.862645149230957e-09</v>
      </c>
      <c r="F29" s="6">
        <f>SUMIFS('12_MODELO'!AZ$2:AZ$97,'12_MODELO'!B$2:B$97,'01_PAINEL'!$C$6,'12_MODELO'!A$2:A$97,F$6)</f>
        <v>0.0</v>
      </c>
      <c r="G29" s="6">
        <f>SUMIFS('12_MODELO'!AZ$2:AZ$97,'12_MODELO'!B$2:B$97,'01_PAINEL'!$C$6,'12_MODELO'!A$2:A$97,G$6)</f>
        <v>-9.313225746154785e-10</v>
      </c>
      <c r="H29" s="6">
        <f>SUMIFS('12_MODELO'!AZ$2:AZ$97,'12_MODELO'!B$2:B$97,'01_PAINEL'!$C$6,'12_MODELO'!A$2:A$97,H$6)</f>
        <v>0.0</v>
      </c>
      <c r="I29" s="6">
        <f>SUMIFS('12_MODELO'!AZ$2:AZ$97,'12_MODELO'!B$2:B$97,'01_PAINEL'!$C$6,'12_MODELO'!A$2:A$97,I$6)</f>
        <v>0.0</v>
      </c>
      <c r="J29" s="6">
        <f>SUMIFS('12_MODELO'!AZ$2:AZ$97,'12_MODELO'!B$2:B$97,'01_PAINEL'!$C$6,'12_MODELO'!A$2:A$97,J$6)</f>
        <v>0.0</v>
      </c>
      <c r="K29" s="6">
        <f>SUMIFS('12_MODELO'!AZ$2:AZ$97,'12_MODELO'!B$2:B$97,'01_PAINEL'!$C$6,'12_MODELO'!A$2:A$97,K$6)</f>
        <v>0.0</v>
      </c>
      <c r="L29" s="6">
        <f>SUMIFS('12_MODELO'!AZ$2:AZ$97,'12_MODELO'!B$2:B$97,'01_PAINEL'!$C$6,'12_MODELO'!A$2:A$97,L$6)</f>
        <v>-9.313225746154785e-10</v>
      </c>
      <c r="M29" s="6">
        <f>SUMIFS('12_MODELO'!AZ$2:AZ$97,'12_MODELO'!B$2:B$97,'01_PAINEL'!$C$6,'12_MODELO'!A$2:A$97,M$6)</f>
        <v>0.0</v>
      </c>
      <c r="N29" s="6">
        <f>SUMIFS('12_MODELO'!AZ$2:AZ$97,'12_MODELO'!B$2:B$97,'01_PAINEL'!$C$6,'12_MODELO'!A$2:A$97,N$6)</f>
        <v>9.313225746154785e-10</v>
      </c>
      <c r="O29" s="10">
        <f>N29</f>
        <v>9.313225746154785e-10</v>
      </c>
    </row>
  </sheetData>
  <mergeCells count="2">
    <mergeCell ref="B2:O3"/>
    <mergeCell ref="B4:O4"/>
  </mergeCells>
  <pageMargins left="0.7" right="0.7" top="0.75" bottom="0.75" header="0.3" footer="0.3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A899"/>
    <pageSetUpPr fitToPage="1"/>
  </sheetPr>
  <dimension ref="B2:O25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3.7109375" customWidth="1"/>
    <col min="2" max="2" width="32.7109375" customWidth="1"/>
    <col min="3" max="15" width="15.7109375" customWidth="1"/>
  </cols>
  <sheetData>
    <row r="2" spans="2:15">
      <c r="B2" s="1" t="s">
        <v>946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>
      <c r="B4" s="3" t="s">
        <v>941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2:15">
      <c r="C6" s="5">
        <f>DATE('01_PAINEL'!$F$6,1,1)</f>
        <v>45658</v>
      </c>
      <c r="D6" s="5">
        <f>DATE('01_PAINEL'!$F$6,2,1)</f>
        <v>45689</v>
      </c>
      <c r="E6" s="5">
        <f>DATE('01_PAINEL'!$F$6,3,1)</f>
        <v>45717</v>
      </c>
      <c r="F6" s="5">
        <f>DATE('01_PAINEL'!$F$6,4,1)</f>
        <v>45748</v>
      </c>
      <c r="G6" s="5">
        <f>DATE('01_PAINEL'!$F$6,5,1)</f>
        <v>45778</v>
      </c>
      <c r="H6" s="5">
        <f>DATE('01_PAINEL'!$F$6,6,1)</f>
        <v>45809</v>
      </c>
      <c r="I6" s="5">
        <f>DATE('01_PAINEL'!$F$6,7,1)</f>
        <v>45839</v>
      </c>
      <c r="J6" s="5">
        <f>DATE('01_PAINEL'!$F$6,8,1)</f>
        <v>45870</v>
      </c>
      <c r="K6" s="5">
        <f>DATE('01_PAINEL'!$F$6,9,1)</f>
        <v>45901</v>
      </c>
      <c r="L6" s="5">
        <f>DATE('01_PAINEL'!$F$6,10,1)</f>
        <v>45931</v>
      </c>
      <c r="M6" s="5">
        <f>DATE('01_PAINEL'!$F$6,11,1)</f>
        <v>45962</v>
      </c>
      <c r="N6" s="5">
        <f>DATE('01_PAINEL'!$F$6,12,1)</f>
        <v>45992</v>
      </c>
      <c r="O6" s="4" t="s">
        <v>942</v>
      </c>
    </row>
    <row r="8" spans="2:15">
      <c r="B8" s="2" t="s">
        <v>107</v>
      </c>
      <c r="C8" s="6">
        <f>SUMIFS('12_MODELO'!T$2:T$97,'12_MODELO'!B$2:B$97,'01_PAINEL'!$C$6,'12_MODELO'!A$2:A$97,C$6)</f>
        <v>8217.550011000098</v>
      </c>
      <c r="D8" s="6">
        <f>SUMIFS('12_MODELO'!T$2:T$97,'12_MODELO'!B$2:B$97,'01_PAINEL'!$C$6,'12_MODELO'!A$2:A$97,D$6)</f>
        <v>10319.007864000041</v>
      </c>
      <c r="E8" s="6">
        <f>SUMIFS('12_MODELO'!T$2:T$97,'12_MODELO'!B$2:B$97,'01_PAINEL'!$C$6,'12_MODELO'!A$2:A$97,E$6)</f>
        <v>34265.133012000035</v>
      </c>
      <c r="F8" s="6">
        <f>SUMIFS('12_MODELO'!T$2:T$97,'12_MODELO'!B$2:B$97,'01_PAINEL'!$C$6,'12_MODELO'!A$2:A$97,F$6)</f>
        <v>13587.443957999945</v>
      </c>
      <c r="G8" s="6">
        <f>SUMIFS('12_MODELO'!T$2:T$97,'12_MODELO'!B$2:B$97,'01_PAINEL'!$C$6,'12_MODELO'!A$2:A$97,G$6)</f>
        <v>20279.882667000034</v>
      </c>
      <c r="H8" s="6">
        <f>SUMIFS('12_MODELO'!T$2:T$97,'12_MODELO'!B$2:B$97,'01_PAINEL'!$C$6,'12_MODELO'!A$2:A$97,H$6)</f>
        <v>40776.13158300003</v>
      </c>
      <c r="I8" s="6">
        <f>SUMIFS('12_MODELO'!T$2:T$97,'12_MODELO'!B$2:B$97,'01_PAINEL'!$C$6,'12_MODELO'!A$2:A$97,I$6)</f>
        <v>11792.958671999895</v>
      </c>
      <c r="J8" s="6">
        <f>SUMIFS('12_MODELO'!T$2:T$97,'12_MODELO'!B$2:B$97,'01_PAINEL'!$C$6,'12_MODELO'!A$2:A$97,J$6)</f>
        <v>21864.828876000072</v>
      </c>
      <c r="K8" s="6">
        <f>SUMIFS('12_MODELO'!T$2:T$97,'12_MODELO'!B$2:B$97,'01_PAINEL'!$C$6,'12_MODELO'!A$2:A$97,K$6)</f>
        <v>32649.477465000007</v>
      </c>
      <c r="L8" s="6">
        <f>SUMIFS('12_MODELO'!T$2:T$97,'12_MODELO'!B$2:B$97,'01_PAINEL'!$C$6,'12_MODELO'!A$2:A$97,L$6)</f>
        <v>46945.545470999874</v>
      </c>
      <c r="M8" s="6">
        <f>SUMIFS('12_MODELO'!T$2:T$97,'12_MODELO'!B$2:B$97,'01_PAINEL'!$C$6,'12_MODELO'!A$2:A$97,M$6)</f>
        <v>77217.95320799993</v>
      </c>
      <c r="N8" s="6">
        <f>SUMIFS('12_MODELO'!T$2:T$97,'12_MODELO'!B$2:B$97,'01_PAINEL'!$C$6,'12_MODELO'!A$2:A$97,N$6)</f>
        <v>61749.05431200001</v>
      </c>
      <c r="O8" s="10">
        <f>SUM(C8:N8)</f>
        <v>379664.967099</v>
      </c>
    </row>
    <row r="9" spans="2:15">
      <c r="B9" s="11" t="s">
        <v>102</v>
      </c>
      <c r="C9" s="6">
        <f>SUMIFS('12_MODELO'!O$2:O$97,'12_MODELO'!B$2:B$97,'01_PAINEL'!$C$6,'12_MODELO'!A$2:A$97,C$6)</f>
        <v>20040.0</v>
      </c>
      <c r="D9" s="6">
        <f>SUMIFS('12_MODELO'!O$2:O$97,'12_MODELO'!B$2:B$97,'01_PAINEL'!$C$6,'12_MODELO'!A$2:A$97,D$6)</f>
        <v>20220.0</v>
      </c>
      <c r="E9" s="6">
        <f>SUMIFS('12_MODELO'!O$2:O$97,'12_MODELO'!B$2:B$97,'01_PAINEL'!$C$6,'12_MODELO'!A$2:A$97,E$6)</f>
        <v>20400.0</v>
      </c>
      <c r="F9" s="6">
        <f>SUMIFS('12_MODELO'!O$2:O$97,'12_MODELO'!B$2:B$97,'01_PAINEL'!$C$6,'12_MODELO'!A$2:A$97,F$6)</f>
        <v>21300.0</v>
      </c>
      <c r="G9" s="6">
        <f>SUMIFS('12_MODELO'!O$2:O$97,'12_MODELO'!B$2:B$97,'01_PAINEL'!$C$6,'12_MODELO'!A$2:A$97,G$6)</f>
        <v>21480.0</v>
      </c>
      <c r="H9" s="6">
        <f>SUMIFS('12_MODELO'!O$2:O$97,'12_MODELO'!B$2:B$97,'01_PAINEL'!$C$6,'12_MODELO'!A$2:A$97,H$6)</f>
        <v>21660.0</v>
      </c>
      <c r="I9" s="6">
        <f>SUMIFS('12_MODELO'!O$2:O$97,'12_MODELO'!B$2:B$97,'01_PAINEL'!$C$6,'12_MODELO'!A$2:A$97,I$6)</f>
        <v>22560.0</v>
      </c>
      <c r="J9" s="6">
        <f>SUMIFS('12_MODELO'!O$2:O$97,'12_MODELO'!B$2:B$97,'01_PAINEL'!$C$6,'12_MODELO'!A$2:A$97,J$6)</f>
        <v>22740.0</v>
      </c>
      <c r="K9" s="6">
        <f>SUMIFS('12_MODELO'!O$2:O$97,'12_MODELO'!B$2:B$97,'01_PAINEL'!$C$6,'12_MODELO'!A$2:A$97,K$6)</f>
        <v>22920.0</v>
      </c>
      <c r="L9" s="6">
        <f>SUMIFS('12_MODELO'!O$2:O$97,'12_MODELO'!B$2:B$97,'01_PAINEL'!$C$6,'12_MODELO'!A$2:A$97,L$6)</f>
        <v>23820.0</v>
      </c>
      <c r="M9" s="6">
        <f>SUMIFS('12_MODELO'!O$2:O$97,'12_MODELO'!B$2:B$97,'01_PAINEL'!$C$6,'12_MODELO'!A$2:A$97,M$6)</f>
        <v>24000.0</v>
      </c>
      <c r="N9" s="6">
        <f>SUMIFS('12_MODELO'!O$2:O$97,'12_MODELO'!B$2:B$97,'01_PAINEL'!$C$6,'12_MODELO'!A$2:A$97,N$6)</f>
        <v>24180.0</v>
      </c>
      <c r="O9" s="10">
        <f>SUM(C9:N9)</f>
        <v>265320.0</v>
      </c>
    </row>
    <row r="10" spans="2:15">
      <c r="B10" s="11" t="s">
        <v>947</v>
      </c>
      <c r="C10" s="6">
        <f>-1*(SUMIFS('12_MODELO'!U$2:U$97,'12_MODELO'!B$2:B$97,'01_PAINEL'!$C$6,'12_MODELO'!A$2:A$97,C$6)-IF('01_PAINEL'!$F$6=2024,'11_SALDO_INICIAL'!B3,SUMIFS('12_MODELO'!U$2:U$97,'12_MODELO'!B$2:B$97,IF(OR('01_PAINEL'!$F$6=2026,'01_PAINEL'!$C$6="Forecast 6+6"),"Realizado",'01_PAINEL'!$C$6),'12_MODELO'!A$2:A$97,EDATE(C$6,-1))))</f>
        <v>38916.10566666676</v>
      </c>
      <c r="D10" s="6">
        <f>-1*(SUMIFS('12_MODELO'!U$2:U$97,'12_MODELO'!B$2:B$97,'01_PAINEL'!$C$6,'12_MODELO'!A$2:A$97,D$6)-SUMIFS('12_MODELO'!U$2:U$97,'12_MODELO'!B$2:B$97,'01_PAINEL'!$C$6,'12_MODELO'!A$2:A$97,C$6))</f>
        <v>-40169.75633333321</v>
      </c>
      <c r="E10" s="6">
        <f>-1*(SUMIFS('12_MODELO'!U$2:U$97,'12_MODELO'!B$2:B$97,'01_PAINEL'!$C$6,'12_MODELO'!A$2:A$97,E$6)-SUMIFS('12_MODELO'!U$2:U$97,'12_MODELO'!B$2:B$97,'01_PAINEL'!$C$6,'12_MODELO'!A$2:A$97,D$6))</f>
        <v>-334046.7346666672</v>
      </c>
      <c r="F10" s="6">
        <f>-1*(SUMIFS('12_MODELO'!U$2:U$97,'12_MODELO'!B$2:B$97,'01_PAINEL'!$C$6,'12_MODELO'!A$2:A$97,F$6)-SUMIFS('12_MODELO'!U$2:U$97,'12_MODELO'!B$2:B$97,'01_PAINEL'!$C$6,'12_MODELO'!A$2:A$97,E$6))</f>
        <v>8860.84733333392</v>
      </c>
      <c r="G10" s="6">
        <f>-1*(SUMIFS('12_MODELO'!U$2:U$97,'12_MODELO'!B$2:B$97,'01_PAINEL'!$C$6,'12_MODELO'!A$2:A$97,G$6)-SUMIFS('12_MODELO'!U$2:U$97,'12_MODELO'!B$2:B$97,'01_PAINEL'!$C$6,'12_MODELO'!A$2:A$97,F$6))</f>
        <v>-102430.71900000004</v>
      </c>
      <c r="H10" s="6">
        <f>-1*(SUMIFS('12_MODELO'!U$2:U$97,'12_MODELO'!B$2:B$97,'01_PAINEL'!$C$6,'12_MODELO'!A$2:A$97,H$6)-SUMIFS('12_MODELO'!U$2:U$97,'12_MODELO'!B$2:B$97,'01_PAINEL'!$C$6,'12_MODELO'!A$2:A$97,G$6))</f>
        <v>-33655.822666666936</v>
      </c>
      <c r="I10" s="6">
        <f>-1*(SUMIFS('12_MODELO'!U$2:U$97,'12_MODELO'!B$2:B$97,'01_PAINEL'!$C$6,'12_MODELO'!A$2:A$97,I$6)-SUMIFS('12_MODELO'!U$2:U$97,'12_MODELO'!B$2:B$97,'01_PAINEL'!$C$6,'12_MODELO'!A$2:A$97,H$6))</f>
        <v>-109806.10699999984</v>
      </c>
      <c r="J10" s="6">
        <f>-1*(SUMIFS('12_MODELO'!U$2:U$97,'12_MODELO'!B$2:B$97,'01_PAINEL'!$C$6,'12_MODELO'!A$2:A$97,J$6)-SUMIFS('12_MODELO'!U$2:U$97,'12_MODELO'!B$2:B$97,'01_PAINEL'!$C$6,'12_MODELO'!A$2:A$97,I$6))</f>
        <v>-182664.7200000002</v>
      </c>
      <c r="K10" s="6">
        <f>-1*(SUMIFS('12_MODELO'!U$2:U$97,'12_MODELO'!B$2:B$97,'01_PAINEL'!$C$6,'12_MODELO'!A$2:A$97,K$6)-SUMIFS('12_MODELO'!U$2:U$97,'12_MODELO'!B$2:B$97,'01_PAINEL'!$C$6,'12_MODELO'!A$2:A$97,J$6))</f>
        <v>-173333.02000000002</v>
      </c>
      <c r="L10" s="6">
        <f>-1*(SUMIFS('12_MODELO'!U$2:U$97,'12_MODELO'!B$2:B$97,'01_PAINEL'!$C$6,'12_MODELO'!A$2:A$97,L$6)-SUMIFS('12_MODELO'!U$2:U$97,'12_MODELO'!B$2:B$97,'01_PAINEL'!$C$6,'12_MODELO'!A$2:A$97,K$6))</f>
        <v>332906.77233333373</v>
      </c>
      <c r="M10" s="6">
        <f>-1*(SUMIFS('12_MODELO'!U$2:U$97,'12_MODELO'!B$2:B$97,'01_PAINEL'!$C$6,'12_MODELO'!A$2:A$97,M$6)-SUMIFS('12_MODELO'!U$2:U$97,'12_MODELO'!B$2:B$97,'01_PAINEL'!$C$6,'12_MODELO'!A$2:A$97,L$6))</f>
        <v>-420533.80033333367</v>
      </c>
      <c r="N10" s="6">
        <f>-1*(SUMIFS('12_MODELO'!U$2:U$97,'12_MODELO'!B$2:B$97,'01_PAINEL'!$C$6,'12_MODELO'!A$2:A$97,N$6)-SUMIFS('12_MODELO'!U$2:U$97,'12_MODELO'!B$2:B$97,'01_PAINEL'!$C$6,'12_MODELO'!A$2:A$97,M$6))</f>
        <v>202555.33600000013</v>
      </c>
      <c r="O10" s="10">
        <f>SUM(C10:N10)</f>
        <v>-813401.6186666666</v>
      </c>
    </row>
    <row r="11" spans="2:15">
      <c r="B11" s="11" t="s">
        <v>948</v>
      </c>
      <c r="C11" s="6">
        <f>-1*(SUMIFS('12_MODELO'!V$2:V$97,'12_MODELO'!B$2:B$97,'01_PAINEL'!$C$6,'12_MODELO'!A$2:A$97,C$6)-IF('01_PAINEL'!$F$6=2024,'11_SALDO_INICIAL'!B4,SUMIFS('12_MODELO'!V$2:V$97,'12_MODELO'!B$2:B$97,IF(OR('01_PAINEL'!$F$6=2026,'01_PAINEL'!$C$6="Forecast 6+6"),"Realizado",'01_PAINEL'!$C$6),'12_MODELO'!A$2:A$97,EDATE(C$6,-1))))</f>
        <v>39097.92800000007</v>
      </c>
      <c r="D11" s="6">
        <f>-1*(SUMIFS('12_MODELO'!V$2:V$97,'12_MODELO'!B$2:B$97,'01_PAINEL'!$C$6,'12_MODELO'!A$2:A$97,D$6)-SUMIFS('12_MODELO'!V$2:V$97,'12_MODELO'!B$2:B$97,'01_PAINEL'!$C$6,'12_MODELO'!A$2:A$97,C$6))</f>
        <v>-32631.17866666685</v>
      </c>
      <c r="E11" s="6">
        <f>-1*(SUMIFS('12_MODELO'!V$2:V$97,'12_MODELO'!B$2:B$97,'01_PAINEL'!$C$6,'12_MODELO'!A$2:A$97,E$6)-SUMIFS('12_MODELO'!V$2:V$97,'12_MODELO'!B$2:B$97,'01_PAINEL'!$C$6,'12_MODELO'!A$2:A$97,D$6))</f>
        <v>-253906.74400000018</v>
      </c>
      <c r="F11" s="6">
        <f>-1*(SUMIFS('12_MODELO'!V$2:V$97,'12_MODELO'!B$2:B$97,'01_PAINEL'!$C$6,'12_MODELO'!A$2:A$97,F$6)-SUMIFS('12_MODELO'!V$2:V$97,'12_MODELO'!B$2:B$97,'01_PAINEL'!$C$6,'12_MODELO'!A$2:A$97,E$6))</f>
        <v>3815.4826666668523</v>
      </c>
      <c r="G11" s="6">
        <f>-1*(SUMIFS('12_MODELO'!V$2:V$97,'12_MODELO'!B$2:B$97,'01_PAINEL'!$C$6,'12_MODELO'!A$2:A$97,G$6)-SUMIFS('12_MODELO'!V$2:V$97,'12_MODELO'!B$2:B$97,'01_PAINEL'!$C$6,'12_MODELO'!A$2:A$97,F$6))</f>
        <v>-72328.04800000018</v>
      </c>
      <c r="H11" s="6">
        <f>-1*(SUMIFS('12_MODELO'!V$2:V$97,'12_MODELO'!B$2:B$97,'01_PAINEL'!$C$6,'12_MODELO'!A$2:A$97,H$6)-SUMIFS('12_MODELO'!V$2:V$97,'12_MODELO'!B$2:B$97,'01_PAINEL'!$C$6,'12_MODELO'!A$2:A$97,G$6))</f>
        <v>-26678.669333332917</v>
      </c>
      <c r="I11" s="6">
        <f>-1*(SUMIFS('12_MODELO'!V$2:V$97,'12_MODELO'!B$2:B$97,'01_PAINEL'!$C$6,'12_MODELO'!A$2:A$97,I$6)-SUMIFS('12_MODELO'!V$2:V$97,'12_MODELO'!B$2:B$97,'01_PAINEL'!$C$6,'12_MODELO'!A$2:A$97,H$6))</f>
        <v>50988.89066666644</v>
      </c>
      <c r="J11" s="6">
        <f>-1*(SUMIFS('12_MODELO'!V$2:V$97,'12_MODELO'!B$2:B$97,'01_PAINEL'!$C$6,'12_MODELO'!A$2:A$97,J$6)-SUMIFS('12_MODELO'!V$2:V$97,'12_MODELO'!B$2:B$97,'01_PAINEL'!$C$6,'12_MODELO'!A$2:A$97,I$6))</f>
        <v>-130298.00133333309</v>
      </c>
      <c r="K11" s="6">
        <f>-1*(SUMIFS('12_MODELO'!V$2:V$97,'12_MODELO'!B$2:B$97,'01_PAINEL'!$C$6,'12_MODELO'!A$2:A$97,K$6)-SUMIFS('12_MODELO'!V$2:V$97,'12_MODELO'!B$2:B$97,'01_PAINEL'!$C$6,'12_MODELO'!A$2:A$97,J$6))</f>
        <v>-119802.22800000012</v>
      </c>
      <c r="L11" s="6">
        <f>-1*(SUMIFS('12_MODELO'!V$2:V$97,'12_MODELO'!B$2:B$97,'01_PAINEL'!$C$6,'12_MODELO'!A$2:A$97,L$6)-SUMIFS('12_MODELO'!V$2:V$97,'12_MODELO'!B$2:B$97,'01_PAINEL'!$C$6,'12_MODELO'!A$2:A$97,K$6))</f>
        <v>98895.34399999958</v>
      </c>
      <c r="M11" s="6">
        <f>-1*(SUMIFS('12_MODELO'!V$2:V$97,'12_MODELO'!B$2:B$97,'01_PAINEL'!$C$6,'12_MODELO'!A$2:A$97,M$6)-SUMIFS('12_MODELO'!V$2:V$97,'12_MODELO'!B$2:B$97,'01_PAINEL'!$C$6,'12_MODELO'!A$2:A$97,L$6))</f>
        <v>-319296.7439999997</v>
      </c>
      <c r="N11" s="6">
        <f>-1*(SUMIFS('12_MODELO'!V$2:V$97,'12_MODELO'!B$2:B$97,'01_PAINEL'!$C$6,'12_MODELO'!A$2:A$97,N$6)-SUMIFS('12_MODELO'!V$2:V$97,'12_MODELO'!B$2:B$97,'01_PAINEL'!$C$6,'12_MODELO'!A$2:A$97,M$6))</f>
        <v>151369.1573333335</v>
      </c>
      <c r="O11" s="10">
        <f>SUM(C11:N11)</f>
        <v>-610774.8106666666</v>
      </c>
    </row>
    <row r="12" spans="2:15">
      <c r="B12" s="11" t="s">
        <v>949</v>
      </c>
      <c r="C12" s="6">
        <f>1*(SUMIFS('12_MODELO'!X$2:X$97,'12_MODELO'!B$2:B$97,'01_PAINEL'!$C$6,'12_MODELO'!A$2:A$97,C$6)-IF('01_PAINEL'!$F$6=2024,'11_SALDO_INICIAL'!B5,SUMIFS('12_MODELO'!X$2:X$97,'12_MODELO'!B$2:B$97,IF(OR('01_PAINEL'!$F$6=2026,'01_PAINEL'!$C$6="Forecast 6+6"),"Realizado",'01_PAINEL'!$C$6),'12_MODELO'!A$2:A$97,EDATE(C$6,-1))))</f>
        <v>-149506.49000000022</v>
      </c>
      <c r="D12" s="6">
        <f>1*(SUMIFS('12_MODELO'!X$2:X$97,'12_MODELO'!B$2:B$97,'01_PAINEL'!$C$6,'12_MODELO'!A$2:A$97,D$6)-SUMIFS('12_MODELO'!X$2:X$97,'12_MODELO'!B$2:B$97,'01_PAINEL'!$C$6,'12_MODELO'!A$2:A$97,C$6))</f>
        <v>21963.293333333568</v>
      </c>
      <c r="E12" s="6">
        <f>1*(SUMIFS('12_MODELO'!X$2:X$97,'12_MODELO'!B$2:B$97,'01_PAINEL'!$C$6,'12_MODELO'!A$2:A$97,E$6)-SUMIFS('12_MODELO'!X$2:X$97,'12_MODELO'!B$2:B$97,'01_PAINEL'!$C$6,'12_MODELO'!A$2:A$97,D$6))</f>
        <v>170898.7699999999</v>
      </c>
      <c r="F12" s="6">
        <f>1*(SUMIFS('12_MODELO'!X$2:X$97,'12_MODELO'!B$2:B$97,'01_PAINEL'!$C$6,'12_MODELO'!A$2:A$97,F$6)-SUMIFS('12_MODELO'!X$2:X$97,'12_MODELO'!B$2:B$97,'01_PAINEL'!$C$6,'12_MODELO'!A$2:A$97,E$6))</f>
        <v>-2568.1133333332837</v>
      </c>
      <c r="G12" s="6">
        <f>1*(SUMIFS('12_MODELO'!X$2:X$97,'12_MODELO'!B$2:B$97,'01_PAINEL'!$C$6,'12_MODELO'!A$2:A$97,G$6)-SUMIFS('12_MODELO'!X$2:X$97,'12_MODELO'!B$2:B$97,'01_PAINEL'!$C$6,'12_MODELO'!A$2:A$97,F$6))</f>
        <v>48682.33999999985</v>
      </c>
      <c r="H12" s="6">
        <f>1*(SUMIFS('12_MODELO'!X$2:X$97,'12_MODELO'!B$2:B$97,'01_PAINEL'!$C$6,'12_MODELO'!A$2:A$97,H$6)-SUMIFS('12_MODELO'!X$2:X$97,'12_MODELO'!B$2:B$97,'01_PAINEL'!$C$6,'12_MODELO'!A$2:A$97,G$6))</f>
        <v>17956.796666666633</v>
      </c>
      <c r="I12" s="6">
        <f>1*(SUMIFS('12_MODELO'!X$2:X$97,'12_MODELO'!B$2:B$97,'01_PAINEL'!$C$6,'12_MODELO'!A$2:A$97,I$6)-SUMIFS('12_MODELO'!X$2:X$97,'12_MODELO'!B$2:B$97,'01_PAINEL'!$C$6,'12_MODELO'!A$2:A$97,H$6))</f>
        <v>-218312.8033333331</v>
      </c>
      <c r="J12" s="6">
        <f>1*(SUMIFS('12_MODELO'!X$2:X$97,'12_MODELO'!B$2:B$97,'01_PAINEL'!$C$6,'12_MODELO'!A$2:A$97,J$6)-SUMIFS('12_MODELO'!X$2:X$97,'12_MODELO'!B$2:B$97,'01_PAINEL'!$C$6,'12_MODELO'!A$2:A$97,I$6))</f>
        <v>73555.32333333325</v>
      </c>
      <c r="K12" s="6">
        <f>1*(SUMIFS('12_MODELO'!X$2:X$97,'12_MODELO'!B$2:B$97,'01_PAINEL'!$C$6,'12_MODELO'!A$2:A$97,K$6)-SUMIFS('12_MODELO'!X$2:X$97,'12_MODELO'!B$2:B$97,'01_PAINEL'!$C$6,'12_MODELO'!A$2:A$97,J$6))</f>
        <v>67630.29000000015</v>
      </c>
      <c r="L12" s="6">
        <f>1*(SUMIFS('12_MODELO'!X$2:X$97,'12_MODELO'!B$2:B$97,'01_PAINEL'!$C$6,'12_MODELO'!A$2:A$97,L$6)-SUMIFS('12_MODELO'!X$2:X$97,'12_MODELO'!B$2:B$97,'01_PAINEL'!$C$6,'12_MODELO'!A$2:A$97,K$6))</f>
        <v>144580.2633333332</v>
      </c>
      <c r="M12" s="6">
        <f>1*(SUMIFS('12_MODELO'!X$2:X$97,'12_MODELO'!B$2:B$97,'01_PAINEL'!$C$6,'12_MODELO'!A$2:A$97,M$6)-SUMIFS('12_MODELO'!X$2:X$97,'12_MODELO'!B$2:B$97,'01_PAINEL'!$C$6,'12_MODELO'!A$2:A$97,L$6))</f>
        <v>214911.27000000002</v>
      </c>
      <c r="N12" s="6">
        <f>1*(SUMIFS('12_MODELO'!X$2:X$97,'12_MODELO'!B$2:B$97,'01_PAINEL'!$C$6,'12_MODELO'!A$2:A$97,N$6)-SUMIFS('12_MODELO'!X$2:X$97,'12_MODELO'!B$2:B$97,'01_PAINEL'!$C$6,'12_MODELO'!A$2:A$97,M$6))</f>
        <v>-101883.0866666669</v>
      </c>
      <c r="O12" s="10">
        <f>SUM(C12:N12)</f>
        <v>287907.85333333304</v>
      </c>
    </row>
    <row r="13" spans="2:15">
      <c r="B13" s="11" t="s">
        <v>950</v>
      </c>
      <c r="C13" s="6">
        <f>1*(SUMIFS('12_MODELO'!Y$2:Y$97,'12_MODELO'!B$2:B$97,'01_PAINEL'!$C$6,'12_MODELO'!A$2:A$97,C$6)-IF('01_PAINEL'!$F$6=2024,'11_SALDO_INICIAL'!B6,SUMIFS('12_MODELO'!Y$2:Y$97,'12_MODELO'!B$2:B$97,IF(OR('01_PAINEL'!$F$6=2026,'01_PAINEL'!$C$6="Forecast 6+6"),"Realizado",'01_PAINEL'!$C$6),'12_MODELO'!A$2:A$97,EDATE(C$6,-1))))</f>
        <v>1425.0</v>
      </c>
      <c r="D13" s="6">
        <f>1*(SUMIFS('12_MODELO'!Y$2:Y$97,'12_MODELO'!B$2:B$97,'01_PAINEL'!$C$6,'12_MODELO'!A$2:A$97,D$6)-SUMIFS('12_MODELO'!Y$2:Y$97,'12_MODELO'!B$2:B$97,'01_PAINEL'!$C$6,'12_MODELO'!A$2:A$97,C$6))</f>
        <v>0.0</v>
      </c>
      <c r="E13" s="6">
        <f>1*(SUMIFS('12_MODELO'!Y$2:Y$97,'12_MODELO'!B$2:B$97,'01_PAINEL'!$C$6,'12_MODELO'!A$2:A$97,E$6)-SUMIFS('12_MODELO'!Y$2:Y$97,'12_MODELO'!B$2:B$97,'01_PAINEL'!$C$6,'12_MODELO'!A$2:A$97,D$6))</f>
        <v>0.0</v>
      </c>
      <c r="F13" s="6">
        <f>1*(SUMIFS('12_MODELO'!Y$2:Y$97,'12_MODELO'!B$2:B$97,'01_PAINEL'!$C$6,'12_MODELO'!A$2:A$97,F$6)-SUMIFS('12_MODELO'!Y$2:Y$97,'12_MODELO'!B$2:B$97,'01_PAINEL'!$C$6,'12_MODELO'!A$2:A$97,E$6))</f>
        <v>0.0</v>
      </c>
      <c r="G13" s="6">
        <f>1*(SUMIFS('12_MODELO'!Y$2:Y$97,'12_MODELO'!B$2:B$97,'01_PAINEL'!$C$6,'12_MODELO'!A$2:A$97,G$6)-SUMIFS('12_MODELO'!Y$2:Y$97,'12_MODELO'!B$2:B$97,'01_PAINEL'!$C$6,'12_MODELO'!A$2:A$97,F$6))</f>
        <v>0.0</v>
      </c>
      <c r="H13" s="6">
        <f>1*(SUMIFS('12_MODELO'!Y$2:Y$97,'12_MODELO'!B$2:B$97,'01_PAINEL'!$C$6,'12_MODELO'!A$2:A$97,H$6)-SUMIFS('12_MODELO'!Y$2:Y$97,'12_MODELO'!B$2:B$97,'01_PAINEL'!$C$6,'12_MODELO'!A$2:A$97,G$6))</f>
        <v>0.0</v>
      </c>
      <c r="I13" s="6">
        <f>1*(SUMIFS('12_MODELO'!Y$2:Y$97,'12_MODELO'!B$2:B$97,'01_PAINEL'!$C$6,'12_MODELO'!A$2:A$97,I$6)-SUMIFS('12_MODELO'!Y$2:Y$97,'12_MODELO'!B$2:B$97,'01_PAINEL'!$C$6,'12_MODELO'!A$2:A$97,H$6))</f>
        <v>847.4000000000015</v>
      </c>
      <c r="J13" s="6">
        <f>1*(SUMIFS('12_MODELO'!Y$2:Y$97,'12_MODELO'!B$2:B$97,'01_PAINEL'!$C$6,'12_MODELO'!A$2:A$97,J$6)-SUMIFS('12_MODELO'!Y$2:Y$97,'12_MODELO'!B$2:B$97,'01_PAINEL'!$C$6,'12_MODELO'!A$2:A$97,I$6))</f>
        <v>0.0</v>
      </c>
      <c r="K13" s="6">
        <f>1*(SUMIFS('12_MODELO'!Y$2:Y$97,'12_MODELO'!B$2:B$97,'01_PAINEL'!$C$6,'12_MODELO'!A$2:A$97,K$6)-SUMIFS('12_MODELO'!Y$2:Y$97,'12_MODELO'!B$2:B$97,'01_PAINEL'!$C$6,'12_MODELO'!A$2:A$97,J$6))</f>
        <v>0.0</v>
      </c>
      <c r="L13" s="6">
        <f>1*(SUMIFS('12_MODELO'!Y$2:Y$97,'12_MODELO'!B$2:B$97,'01_PAINEL'!$C$6,'12_MODELO'!A$2:A$97,L$6)-SUMIFS('12_MODELO'!Y$2:Y$97,'12_MODELO'!B$2:B$97,'01_PAINEL'!$C$6,'12_MODELO'!A$2:A$97,K$6))</f>
        <v>0.0</v>
      </c>
      <c r="M13" s="6">
        <f>1*(SUMIFS('12_MODELO'!Y$2:Y$97,'12_MODELO'!B$2:B$97,'01_PAINEL'!$C$6,'12_MODELO'!A$2:A$97,M$6)-SUMIFS('12_MODELO'!Y$2:Y$97,'12_MODELO'!B$2:B$97,'01_PAINEL'!$C$6,'12_MODELO'!A$2:A$97,L$6))</f>
        <v>0.0</v>
      </c>
      <c r="N13" s="6">
        <f>1*(SUMIFS('12_MODELO'!Y$2:Y$97,'12_MODELO'!B$2:B$97,'01_PAINEL'!$C$6,'12_MODELO'!A$2:A$97,N$6)-SUMIFS('12_MODELO'!Y$2:Y$97,'12_MODELO'!B$2:B$97,'01_PAINEL'!$C$6,'12_MODELO'!A$2:A$97,M$6))</f>
        <v>0.0</v>
      </c>
      <c r="O13" s="10">
        <f>SUM(C13:N13)</f>
        <v>2272.4000000000015</v>
      </c>
    </row>
    <row r="14" spans="2:15">
      <c r="B14" s="11" t="s">
        <v>951</v>
      </c>
      <c r="C14" s="6">
        <f>1*(SUMIFS('12_MODELO'!Z$2:Z$97,'12_MODELO'!B$2:B$97,'01_PAINEL'!$C$6,'12_MODELO'!A$2:A$97,C$6)-IF('01_PAINEL'!$F$6=2024,'11_SALDO_INICIAL'!B7,SUMIFS('12_MODELO'!Z$2:Z$97,'12_MODELO'!B$2:B$97,IF(OR('01_PAINEL'!$F$6=2026,'01_PAINEL'!$C$6="Forecast 6+6"),"Realizado",'01_PAINEL'!$C$6),'12_MODELO'!A$2:A$97,EDATE(C$6,-1))))</f>
        <v>-19603.38765000002</v>
      </c>
      <c r="D14" s="6">
        <f>1*(SUMIFS('12_MODELO'!Z$2:Z$97,'12_MODELO'!B$2:B$97,'01_PAINEL'!$C$6,'12_MODELO'!A$2:A$97,D$6)-SUMIFS('12_MODELO'!Z$2:Z$97,'12_MODELO'!B$2:B$97,'01_PAINEL'!$C$6,'12_MODELO'!A$2:A$97,C$6))</f>
        <v>2179.4229500000074</v>
      </c>
      <c r="E14" s="6">
        <f>1*(SUMIFS('12_MODELO'!Z$2:Z$97,'12_MODELO'!B$2:B$97,'01_PAINEL'!$C$6,'12_MODELO'!A$2:A$97,E$6)-SUMIFS('12_MODELO'!Z$2:Z$97,'12_MODELO'!B$2:B$97,'01_PAINEL'!$C$6,'12_MODELO'!A$2:A$97,D$6))</f>
        <v>18123.812200000015</v>
      </c>
      <c r="F14" s="6">
        <f>1*(SUMIFS('12_MODELO'!Z$2:Z$97,'12_MODELO'!B$2:B$97,'01_PAINEL'!$C$6,'12_MODELO'!A$2:A$97,F$6)-SUMIFS('12_MODELO'!Z$2:Z$97,'12_MODELO'!B$2:B$97,'01_PAINEL'!$C$6,'12_MODELO'!A$2:A$97,E$6))</f>
        <v>-480.7481000000116</v>
      </c>
      <c r="G14" s="6">
        <f>1*(SUMIFS('12_MODELO'!Z$2:Z$97,'12_MODELO'!B$2:B$97,'01_PAINEL'!$C$6,'12_MODELO'!A$2:A$97,G$6)-SUMIFS('12_MODELO'!Z$2:Z$97,'12_MODELO'!B$2:B$97,'01_PAINEL'!$C$6,'12_MODELO'!A$2:A$97,F$6))</f>
        <v>5557.411349999995</v>
      </c>
      <c r="H14" s="6">
        <f>1*(SUMIFS('12_MODELO'!Z$2:Z$97,'12_MODELO'!B$2:B$97,'01_PAINEL'!$C$6,'12_MODELO'!A$2:A$97,H$6)-SUMIFS('12_MODELO'!Z$2:Z$97,'12_MODELO'!B$2:B$97,'01_PAINEL'!$C$6,'12_MODELO'!A$2:A$97,G$6))</f>
        <v>1826.0074000000022</v>
      </c>
      <c r="I14" s="6">
        <f>1*(SUMIFS('12_MODELO'!Z$2:Z$97,'12_MODELO'!B$2:B$97,'01_PAINEL'!$C$6,'12_MODELO'!A$2:A$97,I$6)-SUMIFS('12_MODELO'!Z$2:Z$97,'12_MODELO'!B$2:B$97,'01_PAINEL'!$C$6,'12_MODELO'!A$2:A$97,H$6))</f>
        <v>-22427.12165</v>
      </c>
      <c r="J14" s="6">
        <f>1*(SUMIFS('12_MODELO'!Z$2:Z$97,'12_MODELO'!B$2:B$97,'01_PAINEL'!$C$6,'12_MODELO'!A$2:A$97,J$6)-SUMIFS('12_MODELO'!Z$2:Z$97,'12_MODELO'!B$2:B$97,'01_PAINEL'!$C$6,'12_MODELO'!A$2:A$97,I$6))</f>
        <v>7763.250600000014</v>
      </c>
      <c r="K14" s="6">
        <f>1*(SUMIFS('12_MODELO'!Z$2:Z$97,'12_MODELO'!B$2:B$97,'01_PAINEL'!$C$6,'12_MODELO'!A$2:A$97,K$6)-SUMIFS('12_MODELO'!Z$2:Z$97,'12_MODELO'!B$2:B$97,'01_PAINEL'!$C$6,'12_MODELO'!A$2:A$97,J$6))</f>
        <v>7366.653349999993</v>
      </c>
      <c r="L14" s="6">
        <f>1*(SUMIFS('12_MODELO'!Z$2:Z$97,'12_MODELO'!B$2:B$97,'01_PAINEL'!$C$6,'12_MODELO'!A$2:A$97,L$6)-SUMIFS('12_MODELO'!Z$2:Z$97,'12_MODELO'!B$2:B$97,'01_PAINEL'!$C$6,'12_MODELO'!A$2:A$97,K$6))</f>
        <v>14507.590899999981</v>
      </c>
      <c r="M14" s="6">
        <f>1*(SUMIFS('12_MODELO'!Z$2:Z$97,'12_MODELO'!B$2:B$97,'01_PAINEL'!$C$6,'12_MODELO'!A$2:A$97,M$6)-SUMIFS('12_MODELO'!Z$2:Z$97,'12_MODELO'!B$2:B$97,'01_PAINEL'!$C$6,'12_MODELO'!A$2:A$97,L$6))</f>
        <v>22816.195550000004</v>
      </c>
      <c r="N14" s="6">
        <f>1*(SUMIFS('12_MODELO'!Z$2:Z$97,'12_MODELO'!B$2:B$97,'01_PAINEL'!$C$6,'12_MODELO'!A$2:A$97,N$6)-SUMIFS('12_MODELO'!Z$2:Z$97,'12_MODELO'!B$2:B$97,'01_PAINEL'!$C$6,'12_MODELO'!A$2:A$97,M$6))</f>
        <v>-10989.704399999988</v>
      </c>
      <c r="O14" s="10">
        <f>SUM(C14:N14)</f>
        <v>26639.382499999992</v>
      </c>
    </row>
    <row r="15" spans="2:15">
      <c r="B15" s="11" t="s">
        <v>952</v>
      </c>
      <c r="C15" s="6">
        <f>1*(SUMIFS('12_MODELO'!AA$2:AA$97,'12_MODELO'!B$2:B$97,'01_PAINEL'!$C$6,'12_MODELO'!A$2:A$97,C$6)-IF('01_PAINEL'!$F$6=2024,'11_SALDO_INICIAL'!B8,SUMIFS('12_MODELO'!AA$2:AA$97,'12_MODELO'!B$2:B$97,IF(OR('01_PAINEL'!$F$6=2026,'01_PAINEL'!$C$6="Forecast 6+6"),"Realizado",'01_PAINEL'!$C$6),'12_MODELO'!A$2:A$97,EDATE(C$6,-1))))</f>
        <v>-27672.209798999953</v>
      </c>
      <c r="D15" s="6">
        <f>1*(SUMIFS('12_MODELO'!AA$2:AA$97,'12_MODELO'!B$2:B$97,'01_PAINEL'!$C$6,'12_MODELO'!A$2:A$97,D$6)-SUMIFS('12_MODELO'!AA$2:AA$97,'12_MODELO'!B$2:B$97,'01_PAINEL'!$C$6,'12_MODELO'!A$2:A$97,C$6))</f>
        <v>1082.5691969999725</v>
      </c>
      <c r="E15" s="6">
        <f>1*(SUMIFS('12_MODELO'!AA$2:AA$97,'12_MODELO'!B$2:B$97,'01_PAINEL'!$C$6,'12_MODELO'!A$2:A$97,E$6)-SUMIFS('12_MODELO'!AA$2:AA$97,'12_MODELO'!B$2:B$97,'01_PAINEL'!$C$6,'12_MODELO'!A$2:A$97,D$6))</f>
        <v>12335.882651999998</v>
      </c>
      <c r="F15" s="6">
        <f>1*(SUMIFS('12_MODELO'!AA$2:AA$97,'12_MODELO'!B$2:B$97,'01_PAINEL'!$C$6,'12_MODELO'!A$2:A$97,F$6)-SUMIFS('12_MODELO'!AA$2:AA$97,'12_MODELO'!B$2:B$97,'01_PAINEL'!$C$6,'12_MODELO'!A$2:A$97,E$6))</f>
        <v>-10652.142846000046</v>
      </c>
      <c r="G15" s="6">
        <f>1*(SUMIFS('12_MODELO'!AA$2:AA$97,'12_MODELO'!B$2:B$97,'01_PAINEL'!$C$6,'12_MODELO'!A$2:A$97,G$6)-SUMIFS('12_MODELO'!AA$2:AA$97,'12_MODELO'!B$2:B$97,'01_PAINEL'!$C$6,'12_MODELO'!A$2:A$97,F$6))</f>
        <v>3447.619941000047</v>
      </c>
      <c r="H15" s="6">
        <f>1*(SUMIFS('12_MODELO'!AA$2:AA$97,'12_MODELO'!B$2:B$97,'01_PAINEL'!$C$6,'12_MODELO'!A$2:A$97,H$6)-SUMIFS('12_MODELO'!AA$2:AA$97,'12_MODELO'!B$2:B$97,'01_PAINEL'!$C$6,'12_MODELO'!A$2:A$97,G$6))</f>
        <v>10558.673683999996</v>
      </c>
      <c r="I15" s="6">
        <f>1*(SUMIFS('12_MODELO'!AA$2:AA$97,'12_MODELO'!B$2:B$97,'01_PAINEL'!$C$6,'12_MODELO'!A$2:A$97,I$6)-SUMIFS('12_MODELO'!AA$2:AA$97,'12_MODELO'!B$2:B$97,'01_PAINEL'!$C$6,'12_MODELO'!A$2:A$97,H$6))</f>
        <v>-14930.72543900007</v>
      </c>
      <c r="J15" s="6">
        <f>1*(SUMIFS('12_MODELO'!AA$2:AA$97,'12_MODELO'!B$2:B$97,'01_PAINEL'!$C$6,'12_MODELO'!A$2:A$97,J$6)-SUMIFS('12_MODELO'!AA$2:AA$97,'12_MODELO'!B$2:B$97,'01_PAINEL'!$C$6,'12_MODELO'!A$2:A$97,I$6))</f>
        <v>5188.53919600009</v>
      </c>
      <c r="K15" s="6">
        <f>1*(SUMIFS('12_MODELO'!AA$2:AA$97,'12_MODELO'!B$2:B$97,'01_PAINEL'!$C$6,'12_MODELO'!A$2:A$97,K$6)-SUMIFS('12_MODELO'!AA$2:AA$97,'12_MODELO'!B$2:B$97,'01_PAINEL'!$C$6,'12_MODELO'!A$2:A$97,J$6))</f>
        <v>5555.728060999967</v>
      </c>
      <c r="L15" s="6">
        <f>1*(SUMIFS('12_MODELO'!AA$2:AA$97,'12_MODELO'!B$2:B$97,'01_PAINEL'!$C$6,'12_MODELO'!A$2:A$97,L$6)-SUMIFS('12_MODELO'!AA$2:AA$97,'12_MODELO'!B$2:B$97,'01_PAINEL'!$C$6,'12_MODELO'!A$2:A$97,K$6))</f>
        <v>7364.641093999937</v>
      </c>
      <c r="M15" s="6">
        <f>1*(SUMIFS('12_MODELO'!AA$2:AA$97,'12_MODELO'!B$2:B$97,'01_PAINEL'!$C$6,'12_MODELO'!A$2:A$97,M$6)-SUMIFS('12_MODELO'!AA$2:AA$97,'12_MODELO'!B$2:B$97,'01_PAINEL'!$C$6,'12_MODELO'!A$2:A$97,L$6))</f>
        <v>15594.876713000034</v>
      </c>
      <c r="N15" s="6">
        <f>1*(SUMIFS('12_MODELO'!AA$2:AA$97,'12_MODELO'!B$2:B$97,'01_PAINEL'!$C$6,'12_MODELO'!A$2:A$97,N$6)-SUMIFS('12_MODELO'!AA$2:AA$97,'12_MODELO'!B$2:B$97,'01_PAINEL'!$C$6,'12_MODELO'!A$2:A$97,M$6))</f>
        <v>-7968.826703999966</v>
      </c>
      <c r="O15" s="10">
        <f>SUM(C15:N15)</f>
        <v>-95.37424999999439</v>
      </c>
    </row>
    <row r="16" spans="2:15">
      <c r="B16" s="2" t="s">
        <v>115</v>
      </c>
      <c r="C16" s="6">
        <f>SUMIFS('12_MODELO'!AQ$2:AQ$97,'12_MODELO'!B$2:B$97,'01_PAINEL'!$C$6,'12_MODELO'!A$2:A$97,C$6)</f>
        <v>-89085.50377133326</v>
      </c>
      <c r="D16" s="6">
        <f>SUMIFS('12_MODELO'!AQ$2:AQ$97,'12_MODELO'!B$2:B$97,'01_PAINEL'!$C$6,'12_MODELO'!A$2:A$97,D$6)</f>
        <v>-17036.641655666466</v>
      </c>
      <c r="E16" s="6">
        <f>SUMIFS('12_MODELO'!AQ$2:AQ$97,'12_MODELO'!B$2:B$97,'01_PAINEL'!$C$6,'12_MODELO'!A$2:A$97,E$6)</f>
        <v>-331929.88080266747</v>
      </c>
      <c r="F16" s="6">
        <f>SUMIFS('12_MODELO'!AQ$2:AQ$97,'12_MODELO'!B$2:B$97,'01_PAINEL'!$C$6,'12_MODELO'!A$2:A$97,F$6)</f>
        <v>33862.76967866738</v>
      </c>
      <c r="G16" s="6">
        <f>SUMIFS('12_MODELO'!AQ$2:AQ$97,'12_MODELO'!B$2:B$97,'01_PAINEL'!$C$6,'12_MODELO'!A$2:A$97,G$6)</f>
        <v>-75311.5130420003</v>
      </c>
      <c r="H16" s="6">
        <f>SUMIFS('12_MODELO'!AQ$2:AQ$97,'12_MODELO'!B$2:B$97,'01_PAINEL'!$C$6,'12_MODELO'!A$2:A$97,H$6)</f>
        <v>32443.117333666807</v>
      </c>
      <c r="I16" s="6">
        <f>SUMIFS('12_MODELO'!AQ$2:AQ$97,'12_MODELO'!B$2:B$97,'01_PAINEL'!$C$6,'12_MODELO'!A$2:A$97,I$6)</f>
        <v>-279287.5080836667</v>
      </c>
      <c r="J16" s="6">
        <f>SUMIFS('12_MODELO'!AQ$2:AQ$97,'12_MODELO'!B$2:B$97,'01_PAINEL'!$C$6,'12_MODELO'!A$2:A$97,J$6)</f>
        <v>-181850.77932799986</v>
      </c>
      <c r="K16" s="6">
        <f>SUMIFS('12_MODELO'!AQ$2:AQ$97,'12_MODELO'!B$2:B$97,'01_PAINEL'!$C$6,'12_MODELO'!A$2:A$97,K$6)</f>
        <v>-157013.099124</v>
      </c>
      <c r="L16" s="6">
        <f>SUMIFS('12_MODELO'!AQ$2:AQ$97,'12_MODELO'!B$2:B$97,'01_PAINEL'!$C$6,'12_MODELO'!A$2:A$97,L$6)</f>
        <v>669020.1571316663</v>
      </c>
      <c r="M16" s="6">
        <f>SUMIFS('12_MODELO'!AQ$2:AQ$97,'12_MODELO'!B$2:B$97,'01_PAINEL'!$C$6,'12_MODELO'!A$2:A$97,M$6)</f>
        <v>-385290.24886233336</v>
      </c>
      <c r="N16" s="6">
        <f>SUMIFS('12_MODELO'!AQ$2:AQ$97,'12_MODELO'!B$2:B$97,'01_PAINEL'!$C$6,'12_MODELO'!A$2:A$97,N$6)</f>
        <v>319011.9298746668</v>
      </c>
      <c r="O16" s="10">
        <f>SUM(C16:N16)</f>
        <v>-462467.2006510001</v>
      </c>
    </row>
    <row r="17" spans="2:15">
      <c r="B17" s="11" t="s">
        <v>953</v>
      </c>
      <c r="C17" s="6">
        <f>SUMIFS('12_MODELO'!AR$2:AR$97,'12_MODELO'!B$2:B$97,'01_PAINEL'!$C$6,'12_MODELO'!A$2:A$97,C$6)</f>
        <v>-18000.0</v>
      </c>
      <c r="D17" s="6">
        <f>SUMIFS('12_MODELO'!AR$2:AR$97,'12_MODELO'!B$2:B$97,'01_PAINEL'!$C$6,'12_MODELO'!A$2:A$97,D$6)</f>
        <v>-18000.0</v>
      </c>
      <c r="E17" s="6">
        <f>SUMIFS('12_MODELO'!AR$2:AR$97,'12_MODELO'!B$2:B$97,'01_PAINEL'!$C$6,'12_MODELO'!A$2:A$97,E$6)</f>
        <v>-90000.0</v>
      </c>
      <c r="F17" s="6">
        <f>SUMIFS('12_MODELO'!AR$2:AR$97,'12_MODELO'!B$2:B$97,'01_PAINEL'!$C$6,'12_MODELO'!A$2:A$97,F$6)</f>
        <v>-18000.0</v>
      </c>
      <c r="G17" s="6">
        <f>SUMIFS('12_MODELO'!AR$2:AR$97,'12_MODELO'!B$2:B$97,'01_PAINEL'!$C$6,'12_MODELO'!A$2:A$97,G$6)</f>
        <v>-18000.0</v>
      </c>
      <c r="H17" s="6">
        <f>SUMIFS('12_MODELO'!AR$2:AR$97,'12_MODELO'!B$2:B$97,'01_PAINEL'!$C$6,'12_MODELO'!A$2:A$97,H$6)</f>
        <v>-90000.0</v>
      </c>
      <c r="I17" s="6">
        <f>SUMIFS('12_MODELO'!AR$2:AR$97,'12_MODELO'!B$2:B$97,'01_PAINEL'!$C$6,'12_MODELO'!A$2:A$97,I$6)</f>
        <v>-18000.0</v>
      </c>
      <c r="J17" s="6">
        <f>SUMIFS('12_MODELO'!AR$2:AR$97,'12_MODELO'!B$2:B$97,'01_PAINEL'!$C$6,'12_MODELO'!A$2:A$97,J$6)</f>
        <v>-18000.0</v>
      </c>
      <c r="K17" s="6">
        <f>SUMIFS('12_MODELO'!AR$2:AR$97,'12_MODELO'!B$2:B$97,'01_PAINEL'!$C$6,'12_MODELO'!A$2:A$97,K$6)</f>
        <v>-90000.0</v>
      </c>
      <c r="L17" s="6">
        <f>SUMIFS('12_MODELO'!AR$2:AR$97,'12_MODELO'!B$2:B$97,'01_PAINEL'!$C$6,'12_MODELO'!A$2:A$97,L$6)</f>
        <v>-18000.0</v>
      </c>
      <c r="M17" s="6">
        <f>SUMIFS('12_MODELO'!AR$2:AR$97,'12_MODELO'!B$2:B$97,'01_PAINEL'!$C$6,'12_MODELO'!A$2:A$97,M$6)</f>
        <v>-18000.0</v>
      </c>
      <c r="N17" s="6">
        <f>SUMIFS('12_MODELO'!AR$2:AR$97,'12_MODELO'!B$2:B$97,'01_PAINEL'!$C$6,'12_MODELO'!A$2:A$97,N$6)</f>
        <v>-90000.0</v>
      </c>
      <c r="O17" s="10">
        <f>SUM(C17:N17)</f>
        <v>-504000.0</v>
      </c>
    </row>
    <row r="18" spans="2:15">
      <c r="B18" s="11" t="s">
        <v>75</v>
      </c>
      <c r="C18" s="6">
        <f>SUMIFS('12_MODELO'!AE$2:AE$97,'12_MODELO'!B$2:B$97,'01_PAINEL'!$C$6,'12_MODELO'!A$2:A$97,C$6)</f>
        <v>0.0</v>
      </c>
      <c r="D18" s="6">
        <f>SUMIFS('12_MODELO'!AE$2:AE$97,'12_MODELO'!B$2:B$97,'01_PAINEL'!$C$6,'12_MODELO'!A$2:A$97,D$6)</f>
        <v>0.0</v>
      </c>
      <c r="E18" s="6">
        <f>SUMIFS('12_MODELO'!AE$2:AE$97,'12_MODELO'!B$2:B$97,'01_PAINEL'!$C$6,'12_MODELO'!A$2:A$97,E$6)</f>
        <v>0.0</v>
      </c>
      <c r="F18" s="6">
        <f>SUMIFS('12_MODELO'!AE$2:AE$97,'12_MODELO'!B$2:B$97,'01_PAINEL'!$C$6,'12_MODELO'!A$2:A$97,F$6)</f>
        <v>350000.0</v>
      </c>
      <c r="G18" s="6">
        <f>SUMIFS('12_MODELO'!AE$2:AE$97,'12_MODELO'!B$2:B$97,'01_PAINEL'!$C$6,'12_MODELO'!A$2:A$97,G$6)</f>
        <v>0.0</v>
      </c>
      <c r="H18" s="6">
        <f>SUMIFS('12_MODELO'!AE$2:AE$97,'12_MODELO'!B$2:B$97,'01_PAINEL'!$C$6,'12_MODELO'!A$2:A$97,H$6)</f>
        <v>0.0</v>
      </c>
      <c r="I18" s="6">
        <f>SUMIFS('12_MODELO'!AE$2:AE$97,'12_MODELO'!B$2:B$97,'01_PAINEL'!$C$6,'12_MODELO'!A$2:A$97,I$6)</f>
        <v>0.0</v>
      </c>
      <c r="J18" s="6">
        <f>SUMIFS('12_MODELO'!AE$2:AE$97,'12_MODELO'!B$2:B$97,'01_PAINEL'!$C$6,'12_MODELO'!A$2:A$97,J$6)</f>
        <v>0.0</v>
      </c>
      <c r="K18" s="6">
        <f>SUMIFS('12_MODELO'!AE$2:AE$97,'12_MODELO'!B$2:B$97,'01_PAINEL'!$C$6,'12_MODELO'!A$2:A$97,K$6)</f>
        <v>0.0</v>
      </c>
      <c r="L18" s="6">
        <f>SUMIFS('12_MODELO'!AE$2:AE$97,'12_MODELO'!B$2:B$97,'01_PAINEL'!$C$6,'12_MODELO'!A$2:A$97,L$6)</f>
        <v>0.0</v>
      </c>
      <c r="M18" s="6">
        <f>SUMIFS('12_MODELO'!AE$2:AE$97,'12_MODELO'!B$2:B$97,'01_PAINEL'!$C$6,'12_MODELO'!A$2:A$97,M$6)</f>
        <v>0.0</v>
      </c>
      <c r="N18" s="6">
        <f>SUMIFS('12_MODELO'!AE$2:AE$97,'12_MODELO'!B$2:B$97,'01_PAINEL'!$C$6,'12_MODELO'!A$2:A$97,N$6)</f>
        <v>0.0</v>
      </c>
      <c r="O18" s="10">
        <f>SUM(C18:N18)</f>
        <v>350000.0</v>
      </c>
    </row>
    <row r="19" spans="2:15">
      <c r="B19" s="11" t="s">
        <v>76</v>
      </c>
      <c r="C19" s="6">
        <f>-SUMIFS('12_MODELO'!AF$2:AF$97,'12_MODELO'!B$2:B$97,'01_PAINEL'!$C$6,'12_MODELO'!A$2:A$97,C$6)</f>
        <v>-18000.0</v>
      </c>
      <c r="D19" s="6">
        <f>-SUMIFS('12_MODELO'!AF$2:AF$97,'12_MODELO'!B$2:B$97,'01_PAINEL'!$C$6,'12_MODELO'!A$2:A$97,D$6)</f>
        <v>-18000.0</v>
      </c>
      <c r="E19" s="6">
        <f>-SUMIFS('12_MODELO'!AF$2:AF$97,'12_MODELO'!B$2:B$97,'01_PAINEL'!$C$6,'12_MODELO'!A$2:A$97,E$6)</f>
        <v>-18000.0</v>
      </c>
      <c r="F19" s="6">
        <f>-SUMIFS('12_MODELO'!AF$2:AF$97,'12_MODELO'!B$2:B$97,'01_PAINEL'!$C$6,'12_MODELO'!A$2:A$97,F$6)</f>
        <v>-18000.0</v>
      </c>
      <c r="G19" s="6">
        <f>-SUMIFS('12_MODELO'!AF$2:AF$97,'12_MODELO'!B$2:B$97,'01_PAINEL'!$C$6,'12_MODELO'!A$2:A$97,G$6)</f>
        <v>-18000.0</v>
      </c>
      <c r="H19" s="6">
        <f>-SUMIFS('12_MODELO'!AF$2:AF$97,'12_MODELO'!B$2:B$97,'01_PAINEL'!$C$6,'12_MODELO'!A$2:A$97,H$6)</f>
        <v>-18000.0</v>
      </c>
      <c r="I19" s="6">
        <f>-SUMIFS('12_MODELO'!AF$2:AF$97,'12_MODELO'!B$2:B$97,'01_PAINEL'!$C$6,'12_MODELO'!A$2:A$97,I$6)</f>
        <v>-18000.0</v>
      </c>
      <c r="J19" s="6">
        <f>-SUMIFS('12_MODELO'!AF$2:AF$97,'12_MODELO'!B$2:B$97,'01_PAINEL'!$C$6,'12_MODELO'!A$2:A$97,J$6)</f>
        <v>-18000.0</v>
      </c>
      <c r="K19" s="6">
        <f>-SUMIFS('12_MODELO'!AF$2:AF$97,'12_MODELO'!B$2:B$97,'01_PAINEL'!$C$6,'12_MODELO'!A$2:A$97,K$6)</f>
        <v>-18000.0</v>
      </c>
      <c r="L19" s="6">
        <f>-SUMIFS('12_MODELO'!AF$2:AF$97,'12_MODELO'!B$2:B$97,'01_PAINEL'!$C$6,'12_MODELO'!A$2:A$97,L$6)</f>
        <v>-18000.0</v>
      </c>
      <c r="M19" s="6">
        <f>-SUMIFS('12_MODELO'!AF$2:AF$97,'12_MODELO'!B$2:B$97,'01_PAINEL'!$C$6,'12_MODELO'!A$2:A$97,M$6)</f>
        <v>-18000.0</v>
      </c>
      <c r="N19" s="6">
        <f>-SUMIFS('12_MODELO'!AF$2:AF$97,'12_MODELO'!B$2:B$97,'01_PAINEL'!$C$6,'12_MODELO'!A$2:A$97,N$6)</f>
        <v>-18000.0</v>
      </c>
      <c r="O19" s="10">
        <f>SUM(C19:N19)</f>
        <v>-216000.0</v>
      </c>
    </row>
    <row r="20" spans="2:15">
      <c r="B20" s="11" t="s">
        <v>77</v>
      </c>
      <c r="C20" s="6">
        <f>-SUMIFS('12_MODELO'!AH$2:AH$97,'12_MODELO'!B$2:B$97,'01_PAINEL'!$C$6,'12_MODELO'!A$2:A$97,C$6)</f>
        <v>-0.0</v>
      </c>
      <c r="D20" s="6">
        <f>-SUMIFS('12_MODELO'!AH$2:AH$97,'12_MODELO'!B$2:B$97,'01_PAINEL'!$C$6,'12_MODELO'!A$2:A$97,D$6)</f>
        <v>-0.0</v>
      </c>
      <c r="E20" s="6">
        <f>-SUMIFS('12_MODELO'!AH$2:AH$97,'12_MODELO'!B$2:B$97,'01_PAINEL'!$C$6,'12_MODELO'!A$2:A$97,E$6)</f>
        <v>-0.0</v>
      </c>
      <c r="F20" s="6">
        <f>-SUMIFS('12_MODELO'!AH$2:AH$97,'12_MODELO'!B$2:B$97,'01_PAINEL'!$C$6,'12_MODELO'!A$2:A$97,F$6)</f>
        <v>-0.0</v>
      </c>
      <c r="G20" s="6">
        <f>-SUMIFS('12_MODELO'!AH$2:AH$97,'12_MODELO'!B$2:B$97,'01_PAINEL'!$C$6,'12_MODELO'!A$2:A$97,G$6)</f>
        <v>-0.0</v>
      </c>
      <c r="H20" s="6">
        <f>-SUMIFS('12_MODELO'!AH$2:AH$97,'12_MODELO'!B$2:B$97,'01_PAINEL'!$C$6,'12_MODELO'!A$2:A$97,H$6)</f>
        <v>-0.0</v>
      </c>
      <c r="I20" s="6">
        <f>-SUMIFS('12_MODELO'!AH$2:AH$97,'12_MODELO'!B$2:B$97,'01_PAINEL'!$C$6,'12_MODELO'!A$2:A$97,I$6)</f>
        <v>-0.0</v>
      </c>
      <c r="J20" s="6">
        <f>-SUMIFS('12_MODELO'!AH$2:AH$97,'12_MODELO'!B$2:B$97,'01_PAINEL'!$C$6,'12_MODELO'!A$2:A$97,J$6)</f>
        <v>-0.0</v>
      </c>
      <c r="K20" s="6">
        <f>-SUMIFS('12_MODELO'!AH$2:AH$97,'12_MODELO'!B$2:B$97,'01_PAINEL'!$C$6,'12_MODELO'!A$2:A$97,K$6)</f>
        <v>-0.0</v>
      </c>
      <c r="L20" s="6">
        <f>-SUMIFS('12_MODELO'!AH$2:AH$97,'12_MODELO'!B$2:B$97,'01_PAINEL'!$C$6,'12_MODELO'!A$2:A$97,L$6)</f>
        <v>-0.0</v>
      </c>
      <c r="M20" s="6">
        <f>-SUMIFS('12_MODELO'!AH$2:AH$97,'12_MODELO'!B$2:B$97,'01_PAINEL'!$C$6,'12_MODELO'!A$2:A$97,M$6)</f>
        <v>-0.0</v>
      </c>
      <c r="N20" s="6">
        <f>-SUMIFS('12_MODELO'!AH$2:AH$97,'12_MODELO'!B$2:B$97,'01_PAINEL'!$C$6,'12_MODELO'!A$2:A$97,N$6)</f>
        <v>-0.0</v>
      </c>
      <c r="O20" s="10">
        <f>SUM(C20:N20)</f>
        <v>-0.0</v>
      </c>
    </row>
    <row r="21" spans="2:15">
      <c r="B21" s="11" t="s">
        <v>954</v>
      </c>
      <c r="C21" s="6">
        <f>SUMIFS('12_MODELO'!AS$2:AS$97,'12_MODELO'!B$2:B$97,'01_PAINEL'!$C$6,'12_MODELO'!A$2:A$97,C$6)</f>
        <v>-18000.0</v>
      </c>
      <c r="D21" s="6">
        <f>SUMIFS('12_MODELO'!AS$2:AS$97,'12_MODELO'!B$2:B$97,'01_PAINEL'!$C$6,'12_MODELO'!A$2:A$97,D$6)</f>
        <v>-18000.0</v>
      </c>
      <c r="E21" s="6">
        <f>SUMIFS('12_MODELO'!AS$2:AS$97,'12_MODELO'!B$2:B$97,'01_PAINEL'!$C$6,'12_MODELO'!A$2:A$97,E$6)</f>
        <v>-18000.0</v>
      </c>
      <c r="F21" s="6">
        <f>SUMIFS('12_MODELO'!AS$2:AS$97,'12_MODELO'!B$2:B$97,'01_PAINEL'!$C$6,'12_MODELO'!A$2:A$97,F$6)</f>
        <v>332000.0</v>
      </c>
      <c r="G21" s="6">
        <f>SUMIFS('12_MODELO'!AS$2:AS$97,'12_MODELO'!B$2:B$97,'01_PAINEL'!$C$6,'12_MODELO'!A$2:A$97,G$6)</f>
        <v>-18000.0</v>
      </c>
      <c r="H21" s="6">
        <f>SUMIFS('12_MODELO'!AS$2:AS$97,'12_MODELO'!B$2:B$97,'01_PAINEL'!$C$6,'12_MODELO'!A$2:A$97,H$6)</f>
        <v>-18000.0</v>
      </c>
      <c r="I21" s="6">
        <f>SUMIFS('12_MODELO'!AS$2:AS$97,'12_MODELO'!B$2:B$97,'01_PAINEL'!$C$6,'12_MODELO'!A$2:A$97,I$6)</f>
        <v>-18000.0</v>
      </c>
      <c r="J21" s="6">
        <f>SUMIFS('12_MODELO'!AS$2:AS$97,'12_MODELO'!B$2:B$97,'01_PAINEL'!$C$6,'12_MODELO'!A$2:A$97,J$6)</f>
        <v>-18000.0</v>
      </c>
      <c r="K21" s="6">
        <f>SUMIFS('12_MODELO'!AS$2:AS$97,'12_MODELO'!B$2:B$97,'01_PAINEL'!$C$6,'12_MODELO'!A$2:A$97,K$6)</f>
        <v>-18000.0</v>
      </c>
      <c r="L21" s="6">
        <f>SUMIFS('12_MODELO'!AS$2:AS$97,'12_MODELO'!B$2:B$97,'01_PAINEL'!$C$6,'12_MODELO'!A$2:A$97,L$6)</f>
        <v>-18000.0</v>
      </c>
      <c r="M21" s="6">
        <f>SUMIFS('12_MODELO'!AS$2:AS$97,'12_MODELO'!B$2:B$97,'01_PAINEL'!$C$6,'12_MODELO'!A$2:A$97,M$6)</f>
        <v>-18000.0</v>
      </c>
      <c r="N21" s="6">
        <f>SUMIFS('12_MODELO'!AS$2:AS$97,'12_MODELO'!B$2:B$97,'01_PAINEL'!$C$6,'12_MODELO'!A$2:A$97,N$6)</f>
        <v>-18000.0</v>
      </c>
      <c r="O21" s="10">
        <f>SUM(C21:N21)</f>
        <v>134000.0</v>
      </c>
    </row>
    <row r="22" spans="2:15">
      <c r="B22" s="11" t="s">
        <v>118</v>
      </c>
      <c r="C22" s="6">
        <f>SUMIFS('12_MODELO'!AT$2:AT$97,'12_MODELO'!B$2:B$97,'01_PAINEL'!$C$6,'12_MODELO'!A$2:A$97,C$6)</f>
        <v>-125085.50377133326</v>
      </c>
      <c r="D22" s="6">
        <f>SUMIFS('12_MODELO'!AT$2:AT$97,'12_MODELO'!B$2:B$97,'01_PAINEL'!$C$6,'12_MODELO'!A$2:A$97,D$6)</f>
        <v>-53036.64165566646</v>
      </c>
      <c r="E22" s="6">
        <f>SUMIFS('12_MODELO'!AT$2:AT$97,'12_MODELO'!B$2:B$97,'01_PAINEL'!$C$6,'12_MODELO'!A$2:A$97,E$6)</f>
        <v>-439929.88080266747</v>
      </c>
      <c r="F22" s="6">
        <f>SUMIFS('12_MODELO'!AT$2:AT$97,'12_MODELO'!B$2:B$97,'01_PAINEL'!$C$6,'12_MODELO'!A$2:A$97,F$6)</f>
        <v>347862.76967866736</v>
      </c>
      <c r="G22" s="6">
        <f>SUMIFS('12_MODELO'!AT$2:AT$97,'12_MODELO'!B$2:B$97,'01_PAINEL'!$C$6,'12_MODELO'!A$2:A$97,G$6)</f>
        <v>-111311.5130420003</v>
      </c>
      <c r="H22" s="6">
        <f>SUMIFS('12_MODELO'!AT$2:AT$97,'12_MODELO'!B$2:B$97,'01_PAINEL'!$C$6,'12_MODELO'!A$2:A$97,H$6)</f>
        <v>-75556.8826663332</v>
      </c>
      <c r="I22" s="6">
        <f>SUMIFS('12_MODELO'!AT$2:AT$97,'12_MODELO'!B$2:B$97,'01_PAINEL'!$C$6,'12_MODELO'!A$2:A$97,I$6)</f>
        <v>-315287.5080836667</v>
      </c>
      <c r="J22" s="6">
        <f>SUMIFS('12_MODELO'!AT$2:AT$97,'12_MODELO'!B$2:B$97,'01_PAINEL'!$C$6,'12_MODELO'!A$2:A$97,J$6)</f>
        <v>-217850.77932799986</v>
      </c>
      <c r="K22" s="6">
        <f>SUMIFS('12_MODELO'!AT$2:AT$97,'12_MODELO'!B$2:B$97,'01_PAINEL'!$C$6,'12_MODELO'!A$2:A$97,K$6)</f>
        <v>-265013.099124</v>
      </c>
      <c r="L22" s="6">
        <f>SUMIFS('12_MODELO'!AT$2:AT$97,'12_MODELO'!B$2:B$97,'01_PAINEL'!$C$6,'12_MODELO'!A$2:A$97,L$6)</f>
        <v>633020.1571316663</v>
      </c>
      <c r="M22" s="6">
        <f>SUMIFS('12_MODELO'!AT$2:AT$97,'12_MODELO'!B$2:B$97,'01_PAINEL'!$C$6,'12_MODELO'!A$2:A$97,M$6)</f>
        <v>-421290.24886233336</v>
      </c>
      <c r="N22" s="6">
        <f>SUMIFS('12_MODELO'!AT$2:AT$97,'12_MODELO'!B$2:B$97,'01_PAINEL'!$C$6,'12_MODELO'!A$2:A$97,N$6)</f>
        <v>211011.9298746668</v>
      </c>
      <c r="O22" s="10">
        <f>SUM(C22:N22)</f>
        <v>-832467.2006510001</v>
      </c>
    </row>
    <row r="23" spans="2:15">
      <c r="B23" s="11" t="s">
        <v>119</v>
      </c>
      <c r="C23" s="6">
        <f>SUMIFS('12_MODELO'!AU$2:AU$97,'12_MODELO'!B$2:B$97,'01_PAINEL'!$C$6,'12_MODELO'!A$2:A$97,C$6)</f>
        <v>1832722.7945500002</v>
      </c>
      <c r="D23" s="6">
        <f>SUMIFS('12_MODELO'!AU$2:AU$97,'12_MODELO'!B$2:B$97,'01_PAINEL'!$C$6,'12_MODELO'!A$2:A$97,D$6)</f>
        <v>1707637.290778667</v>
      </c>
      <c r="E23" s="6">
        <f>SUMIFS('12_MODELO'!AU$2:AU$97,'12_MODELO'!B$2:B$97,'01_PAINEL'!$C$6,'12_MODELO'!A$2:A$97,E$6)</f>
        <v>1654600.6491230004</v>
      </c>
      <c r="F23" s="6">
        <f>SUMIFS('12_MODELO'!AU$2:AU$97,'12_MODELO'!B$2:B$97,'01_PAINEL'!$C$6,'12_MODELO'!A$2:A$97,F$6)</f>
        <v>1214670.768320333</v>
      </c>
      <c r="G23" s="6">
        <f>SUMIFS('12_MODELO'!AU$2:AU$97,'12_MODELO'!B$2:B$97,'01_PAINEL'!$C$6,'12_MODELO'!A$2:A$97,G$6)</f>
        <v>1562533.5379990004</v>
      </c>
      <c r="H23" s="6">
        <f>SUMIFS('12_MODELO'!AU$2:AU$97,'12_MODELO'!B$2:B$97,'01_PAINEL'!$C$6,'12_MODELO'!A$2:A$97,H$6)</f>
        <v>1451222.024957</v>
      </c>
      <c r="I23" s="6">
        <f>SUMIFS('12_MODELO'!AU$2:AU$97,'12_MODELO'!B$2:B$97,'01_PAINEL'!$C$6,'12_MODELO'!A$2:A$97,I$6)</f>
        <v>1375665.142290667</v>
      </c>
      <c r="J23" s="6">
        <f>SUMIFS('12_MODELO'!AU$2:AU$97,'12_MODELO'!B$2:B$97,'01_PAINEL'!$C$6,'12_MODELO'!A$2:A$97,J$6)</f>
        <v>1060377.6342070003</v>
      </c>
      <c r="K23" s="6">
        <f>SUMIFS('12_MODELO'!AU$2:AU$97,'12_MODELO'!B$2:B$97,'01_PAINEL'!$C$6,'12_MODELO'!A$2:A$97,K$6)</f>
        <v>842526.8548790005</v>
      </c>
      <c r="L23" s="6">
        <f>SUMIFS('12_MODELO'!AU$2:AU$97,'12_MODELO'!B$2:B$97,'01_PAINEL'!$C$6,'12_MODELO'!A$2:A$97,L$6)</f>
        <v>577513.7557550005</v>
      </c>
      <c r="M23" s="6">
        <f>SUMIFS('12_MODELO'!AU$2:AU$97,'12_MODELO'!B$2:B$97,'01_PAINEL'!$C$6,'12_MODELO'!A$2:A$97,M$6)</f>
        <v>1210533.9128866668</v>
      </c>
      <c r="N23" s="6">
        <f>SUMIFS('12_MODELO'!AU$2:AU$97,'12_MODELO'!B$2:B$97,'01_PAINEL'!$C$6,'12_MODELO'!A$2:A$97,N$6)</f>
        <v>789243.6640243335</v>
      </c>
      <c r="O23" s="10">
        <f>C23</f>
        <v>1832722.7945500002</v>
      </c>
    </row>
    <row r="24" spans="2:15">
      <c r="B24" s="2" t="s">
        <v>85</v>
      </c>
      <c r="C24" s="6">
        <f>SUMIFS('12_MODELO'!AV$2:AV$97,'12_MODELO'!B$2:B$97,'01_PAINEL'!$C$6,'12_MODELO'!A$2:A$97,C$6)</f>
        <v>1707637.290778667</v>
      </c>
      <c r="D24" s="6">
        <f>SUMIFS('12_MODELO'!AV$2:AV$97,'12_MODELO'!B$2:B$97,'01_PAINEL'!$C$6,'12_MODELO'!A$2:A$97,D$6)</f>
        <v>1654600.6491230004</v>
      </c>
      <c r="E24" s="6">
        <f>SUMIFS('12_MODELO'!AV$2:AV$97,'12_MODELO'!B$2:B$97,'01_PAINEL'!$C$6,'12_MODELO'!A$2:A$97,E$6)</f>
        <v>1214670.768320333</v>
      </c>
      <c r="F24" s="6">
        <f>SUMIFS('12_MODELO'!AV$2:AV$97,'12_MODELO'!B$2:B$97,'01_PAINEL'!$C$6,'12_MODELO'!A$2:A$97,F$6)</f>
        <v>1562533.5379990004</v>
      </c>
      <c r="G24" s="6">
        <f>SUMIFS('12_MODELO'!AV$2:AV$97,'12_MODELO'!B$2:B$97,'01_PAINEL'!$C$6,'12_MODELO'!A$2:A$97,G$6)</f>
        <v>1451222.024957</v>
      </c>
      <c r="H24" s="6">
        <f>SUMIFS('12_MODELO'!AV$2:AV$97,'12_MODELO'!B$2:B$97,'01_PAINEL'!$C$6,'12_MODELO'!A$2:A$97,H$6)</f>
        <v>1375665.142290667</v>
      </c>
      <c r="I24" s="6">
        <f>SUMIFS('12_MODELO'!AV$2:AV$97,'12_MODELO'!B$2:B$97,'01_PAINEL'!$C$6,'12_MODELO'!A$2:A$97,I$6)</f>
        <v>1060377.6342070003</v>
      </c>
      <c r="J24" s="6">
        <f>SUMIFS('12_MODELO'!AV$2:AV$97,'12_MODELO'!B$2:B$97,'01_PAINEL'!$C$6,'12_MODELO'!A$2:A$97,J$6)</f>
        <v>842526.8548790005</v>
      </c>
      <c r="K24" s="6">
        <f>SUMIFS('12_MODELO'!AV$2:AV$97,'12_MODELO'!B$2:B$97,'01_PAINEL'!$C$6,'12_MODELO'!A$2:A$97,K$6)</f>
        <v>577513.7557550005</v>
      </c>
      <c r="L24" s="6">
        <f>SUMIFS('12_MODELO'!AV$2:AV$97,'12_MODELO'!B$2:B$97,'01_PAINEL'!$C$6,'12_MODELO'!A$2:A$97,L$6)</f>
        <v>1210533.9128866668</v>
      </c>
      <c r="M24" s="6">
        <f>SUMIFS('12_MODELO'!AV$2:AV$97,'12_MODELO'!B$2:B$97,'01_PAINEL'!$C$6,'12_MODELO'!A$2:A$97,M$6)</f>
        <v>789243.6640243335</v>
      </c>
      <c r="N24" s="6">
        <f>SUMIFS('12_MODELO'!AV$2:AV$97,'12_MODELO'!B$2:B$97,'01_PAINEL'!$C$6,'12_MODELO'!A$2:A$97,N$6)</f>
        <v>1000255.5938990002</v>
      </c>
      <c r="O24" s="10">
        <f>N24</f>
        <v>1000255.5938990002</v>
      </c>
    </row>
    <row r="25" spans="2:15">
      <c r="B25" s="11" t="s">
        <v>124</v>
      </c>
      <c r="C25" s="6">
        <f>SUMIFS('12_MODELO'!BA$2:BA$97,'12_MODELO'!B$2:B$97,'01_PAINEL'!$C$6,'12_MODELO'!A$2:A$97,C$6)</f>
        <v>0.0</v>
      </c>
      <c r="D25" s="6">
        <f>SUMIFS('12_MODELO'!BA$2:BA$97,'12_MODELO'!B$2:B$97,'01_PAINEL'!$C$6,'12_MODELO'!A$2:A$97,D$6)</f>
        <v>1.5643308870494366e-10</v>
      </c>
      <c r="E25" s="6">
        <f>SUMIFS('12_MODELO'!BA$2:BA$97,'12_MODELO'!B$2:B$97,'01_PAINEL'!$C$6,'12_MODELO'!A$2:A$97,E$6)</f>
        <v>0.0</v>
      </c>
      <c r="F25" s="6">
        <f>SUMIFS('12_MODELO'!BA$2:BA$97,'12_MODELO'!B$2:B$97,'01_PAINEL'!$C$6,'12_MODELO'!A$2:A$97,F$6)</f>
        <v>3.346940502524376e-10</v>
      </c>
      <c r="G25" s="6">
        <f>SUMIFS('12_MODELO'!BA$2:BA$97,'12_MODELO'!B$2:B$97,'01_PAINEL'!$C$6,'12_MODELO'!A$2:A$97,G$6)</f>
        <v>2.9103830456733704e-10</v>
      </c>
      <c r="H25" s="6">
        <f>SUMIFS('12_MODELO'!BA$2:BA$97,'12_MODELO'!B$2:B$97,'01_PAINEL'!$C$6,'12_MODELO'!A$2:A$97,H$6)</f>
        <v>1.8917489796876907e-10</v>
      </c>
      <c r="I25" s="6">
        <f>SUMIFS('12_MODELO'!BA$2:BA$97,'12_MODELO'!B$2:B$97,'01_PAINEL'!$C$6,'12_MODELO'!A$2:A$97,I$6)</f>
        <v>1.7462298274040222e-10</v>
      </c>
      <c r="J25" s="6">
        <f>SUMIFS('12_MODELO'!BA$2:BA$97,'12_MODELO'!B$2:B$97,'01_PAINEL'!$C$6,'12_MODELO'!A$2:A$97,J$6)</f>
        <v>-2.6193447411060333e-10</v>
      </c>
      <c r="K25" s="6">
        <f>SUMIFS('12_MODELO'!BA$2:BA$97,'12_MODELO'!B$2:B$97,'01_PAINEL'!$C$6,'12_MODELO'!A$2:A$97,K$6)</f>
        <v>-2.6193447411060333e-10</v>
      </c>
      <c r="L25" s="6">
        <f>SUMIFS('12_MODELO'!BA$2:BA$97,'12_MODELO'!B$2:B$97,'01_PAINEL'!$C$6,'12_MODELO'!A$2:A$97,L$6)</f>
        <v>-2.3283064365386963e-10</v>
      </c>
      <c r="M25" s="6">
        <f>SUMIFS('12_MODELO'!BA$2:BA$97,'12_MODELO'!B$2:B$97,'01_PAINEL'!$C$6,'12_MODELO'!A$2:A$97,M$6)</f>
        <v>2.3283064365386963e-10</v>
      </c>
      <c r="N25" s="6">
        <f>SUMIFS('12_MODELO'!BA$2:BA$97,'12_MODELO'!B$2:B$97,'01_PAINEL'!$C$6,'12_MODELO'!A$2:A$97,N$6)</f>
        <v>5.820766091346741e-10</v>
      </c>
      <c r="O25" s="10">
        <f>N25</f>
        <v>5.820766091346741e-10</v>
      </c>
    </row>
  </sheetData>
  <mergeCells count="2">
    <mergeCell ref="B2:O3"/>
    <mergeCell ref="B4:O4"/>
  </mergeCells>
  <pageMargins left="0.7" right="0.7" top="0.75" bottom="0.75" header="0.3" footer="0.3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A899"/>
    <pageSetUpPr fitToPage="1"/>
  </sheetPr>
  <dimension ref="B2:O2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3.7109375" customWidth="1"/>
    <col min="2" max="2" width="32.7109375" customWidth="1"/>
    <col min="3" max="15" width="15.7109375" customWidth="1"/>
  </cols>
  <sheetData>
    <row r="2" spans="2:15">
      <c r="B2" s="1" t="s">
        <v>955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>
      <c r="B4" s="3" t="s">
        <v>941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2:15">
      <c r="C6" s="5">
        <f>DATE('01_PAINEL'!$F$6,1,1)</f>
        <v>45658</v>
      </c>
      <c r="D6" s="5">
        <f>DATE('01_PAINEL'!$F$6,2,1)</f>
        <v>45689</v>
      </c>
      <c r="E6" s="5">
        <f>DATE('01_PAINEL'!$F$6,3,1)</f>
        <v>45717</v>
      </c>
      <c r="F6" s="5">
        <f>DATE('01_PAINEL'!$F$6,4,1)</f>
        <v>45748</v>
      </c>
      <c r="G6" s="5">
        <f>DATE('01_PAINEL'!$F$6,5,1)</f>
        <v>45778</v>
      </c>
      <c r="H6" s="5">
        <f>DATE('01_PAINEL'!$F$6,6,1)</f>
        <v>45809</v>
      </c>
      <c r="I6" s="5">
        <f>DATE('01_PAINEL'!$F$6,7,1)</f>
        <v>45839</v>
      </c>
      <c r="J6" s="5">
        <f>DATE('01_PAINEL'!$F$6,8,1)</f>
        <v>45870</v>
      </c>
      <c r="K6" s="5">
        <f>DATE('01_PAINEL'!$F$6,9,1)</f>
        <v>45901</v>
      </c>
      <c r="L6" s="5">
        <f>DATE('01_PAINEL'!$F$6,10,1)</f>
        <v>45931</v>
      </c>
      <c r="M6" s="5">
        <f>DATE('01_PAINEL'!$F$6,11,1)</f>
        <v>45962</v>
      </c>
      <c r="N6" s="5">
        <f>DATE('01_PAINEL'!$F$6,12,1)</f>
        <v>45992</v>
      </c>
      <c r="O6" s="4" t="s">
        <v>942</v>
      </c>
    </row>
    <row r="8" spans="2:15">
      <c r="B8" s="11" t="s">
        <v>137</v>
      </c>
      <c r="C8" s="6">
        <f>SUMIFS('12_MODELO'!BU$2:BU$97,'12_MODELO'!B$2:B$97,'01_PAINEL'!$C$6,'12_MODELO'!A$2:A$97,C$6)</f>
        <v>3.8771203940780916</v>
      </c>
      <c r="D8" s="6">
        <f>SUMIFS('12_MODELO'!BU$2:BU$97,'12_MODELO'!B$2:B$97,'01_PAINEL'!$C$6,'12_MODELO'!A$2:A$97,D$6)</f>
        <v>3.8162789333069154</v>
      </c>
      <c r="E8" s="6">
        <f>SUMIFS('12_MODELO'!BU$2:BU$97,'12_MODELO'!B$2:B$97,'01_PAINEL'!$C$6,'12_MODELO'!A$2:A$97,E$6)</f>
        <v>3.3982057151358513</v>
      </c>
      <c r="F8" s="6">
        <f>SUMIFS('12_MODELO'!BU$2:BU$97,'12_MODELO'!B$2:B$97,'01_PAINEL'!$C$6,'12_MODELO'!A$2:A$97,F$6)</f>
        <v>3.657845333750501</v>
      </c>
      <c r="G8" s="6">
        <f>SUMIFS('12_MODELO'!BU$2:BU$97,'12_MODELO'!B$2:B$97,'01_PAINEL'!$C$6,'12_MODELO'!A$2:A$97,G$6)</f>
        <v>3.561270391639094</v>
      </c>
      <c r="H8" s="6">
        <f>SUMIFS('12_MODELO'!BU$2:BU$97,'12_MODELO'!B$2:B$97,'01_PAINEL'!$C$6,'12_MODELO'!A$2:A$97,H$6)</f>
        <v>3.482161628005238</v>
      </c>
      <c r="I8" s="6">
        <f>SUMIFS('12_MODELO'!BU$2:BU$97,'12_MODELO'!B$2:B$97,'01_PAINEL'!$C$6,'12_MODELO'!A$2:A$97,I$6)</f>
        <v>3.966141739492284</v>
      </c>
      <c r="J8" s="6">
        <f>SUMIFS('12_MODELO'!BU$2:BU$97,'12_MODELO'!B$2:B$97,'01_PAINEL'!$C$6,'12_MODELO'!A$2:A$97,J$6)</f>
        <v>3.787733661913132</v>
      </c>
      <c r="K8" s="6">
        <f>SUMIFS('12_MODELO'!BU$2:BU$97,'12_MODELO'!B$2:B$97,'01_PAINEL'!$C$6,'12_MODELO'!A$2:A$97,K$6)</f>
        <v>3.5993761808070763</v>
      </c>
      <c r="L8" s="6">
        <f>SUMIFS('12_MODELO'!BU$2:BU$97,'12_MODELO'!B$2:B$97,'01_PAINEL'!$C$6,'12_MODELO'!A$2:A$97,L$6)</f>
        <v>3.356306273434702</v>
      </c>
      <c r="M8" s="6">
        <f>SUMIFS('12_MODELO'!BU$2:BU$97,'12_MODELO'!B$2:B$97,'01_PAINEL'!$C$6,'12_MODELO'!A$2:A$97,M$6)</f>
        <v>3.0750393543739</v>
      </c>
      <c r="N8" s="6">
        <f>SUMIFS('12_MODELO'!BU$2:BU$97,'12_MODELO'!B$2:B$97,'01_PAINEL'!$C$6,'12_MODELO'!A$2:A$97,N$6)</f>
        <v>3.204274602296495</v>
      </c>
      <c r="O8" s="10">
        <f>N8</f>
        <v>3.204274602296495</v>
      </c>
    </row>
    <row r="9" spans="2:15">
      <c r="B9" s="2" t="s">
        <v>98</v>
      </c>
      <c r="C9" s="6">
        <f>SUMIFS('12_MODELO'!E$2:E$97,'12_MODELO'!B$2:B$97,'01_PAINEL'!$C$6,'12_MODELO'!A$2:A$97,C$6)</f>
        <v>1053248.71335</v>
      </c>
      <c r="D9" s="6">
        <f>SUMIFS('12_MODELO'!E$2:E$97,'12_MODELO'!B$2:B$97,'01_PAINEL'!$C$6,'12_MODELO'!A$2:A$97,D$6)</f>
        <v>1076709.5604</v>
      </c>
      <c r="E9" s="6">
        <f>SUMIFS('12_MODELO'!E$2:E$97,'12_MODELO'!B$2:B$97,'01_PAINEL'!$C$6,'12_MODELO'!A$2:A$97,E$6)</f>
        <v>1271807.0682</v>
      </c>
      <c r="F9" s="6">
        <f>SUMIFS('12_MODELO'!E$2:E$97,'12_MODELO'!B$2:B$97,'01_PAINEL'!$C$6,'12_MODELO'!A$2:A$97,F$6)</f>
        <v>1266631.9563</v>
      </c>
      <c r="G9" s="6">
        <f>SUMIFS('12_MODELO'!E$2:E$97,'12_MODELO'!B$2:B$97,'01_PAINEL'!$C$6,'12_MODELO'!A$2:A$97,G$6)</f>
        <v>1326455.85495</v>
      </c>
      <c r="H9" s="6">
        <f>SUMIFS('12_MODELO'!E$2:E$97,'12_MODELO'!B$2:B$97,'01_PAINEL'!$C$6,'12_MODELO'!A$2:A$97,H$6)</f>
        <v>1346112.28755</v>
      </c>
      <c r="I9" s="6">
        <f>SUMIFS('12_MODELO'!E$2:E$97,'12_MODELO'!B$2:B$97,'01_PAINEL'!$C$6,'12_MODELO'!A$2:A$97,I$6)</f>
        <v>1104690.9192</v>
      </c>
      <c r="J9" s="6">
        <f>SUMIFS('12_MODELO'!E$2:E$97,'12_MODELO'!B$2:B$97,'01_PAINEL'!$C$6,'12_MODELO'!A$2:A$97,J$6)</f>
        <v>1188260.0286</v>
      </c>
      <c r="K9" s="6">
        <f>SUMIFS('12_MODELO'!E$2:E$97,'12_MODELO'!B$2:B$97,'01_PAINEL'!$C$6,'12_MODELO'!A$2:A$97,K$6)</f>
        <v>1267559.88525</v>
      </c>
      <c r="L9" s="6">
        <f>SUMIFS('12_MODELO'!E$2:E$97,'12_MODELO'!B$2:B$97,'01_PAINEL'!$C$6,'12_MODELO'!A$2:A$97,L$6)</f>
        <v>1423729.83435</v>
      </c>
      <c r="M9" s="6">
        <f>SUMIFS('12_MODELO'!E$2:E$97,'12_MODELO'!B$2:B$97,'01_PAINEL'!$C$6,'12_MODELO'!A$2:A$97,M$6)</f>
        <v>1669339.4688</v>
      </c>
      <c r="N9" s="6">
        <f>SUMIFS('12_MODELO'!E$2:E$97,'12_MODELO'!B$2:B$97,'01_PAINEL'!$C$6,'12_MODELO'!A$2:A$97,N$6)</f>
        <v>1551038.5332</v>
      </c>
      <c r="O9" s="10">
        <f>SUM(C9:N9)</f>
        <v>15545584.11015</v>
      </c>
    </row>
    <row r="10" spans="2:15">
      <c r="B10" s="2" t="s">
        <v>101</v>
      </c>
      <c r="C10" s="6">
        <f>SUMIFS('12_MODELO'!N$2:N$97,'12_MODELO'!B$2:B$97,'01_PAINEL'!$C$6,'12_MODELO'!A$2:A$97,C$6)</f>
        <v>39498.833350000146</v>
      </c>
      <c r="D10" s="6">
        <f>SUMIFS('12_MODELO'!N$2:N$97,'12_MODELO'!B$2:B$97,'01_PAINEL'!$C$6,'12_MODELO'!A$2:A$97,D$6)</f>
        <v>42646.86040000006</v>
      </c>
      <c r="E10" s="6">
        <f>SUMIFS('12_MODELO'!N$2:N$97,'12_MODELO'!B$2:B$97,'01_PAINEL'!$C$6,'12_MODELO'!A$2:A$97,E$6)</f>
        <v>78892.86820000006</v>
      </c>
      <c r="F10" s="6">
        <f>SUMIFS('12_MODELO'!N$2:N$97,'12_MODELO'!B$2:B$97,'01_PAINEL'!$C$6,'12_MODELO'!A$2:A$97,F$6)</f>
        <v>48247.03629999992</v>
      </c>
      <c r="G10" s="6">
        <f>SUMIFS('12_MODELO'!N$2:N$97,'12_MODELO'!B$2:B$97,'01_PAINEL'!$C$6,'12_MODELO'!A$2:A$97,G$6)</f>
        <v>62551.09495000006</v>
      </c>
      <c r="H10" s="6">
        <f>SUMIFS('12_MODELO'!N$2:N$97,'12_MODELO'!B$2:B$97,'01_PAINEL'!$C$6,'12_MODELO'!A$2:A$97,H$6)</f>
        <v>93570.01755000005</v>
      </c>
      <c r="I10" s="6">
        <f>SUMIFS('12_MODELO'!N$2:N$97,'12_MODELO'!B$2:B$97,'01_PAINEL'!$C$6,'12_MODELO'!A$2:A$97,I$6)</f>
        <v>50340.11919999984</v>
      </c>
      <c r="J10" s="6">
        <f>SUMIFS('12_MODELO'!N$2:N$97,'12_MODELO'!B$2:B$97,'01_PAINEL'!$C$6,'12_MODELO'!A$2:A$97,J$6)</f>
        <v>65564.5286000001</v>
      </c>
      <c r="K10" s="6">
        <f>SUMIFS('12_MODELO'!N$2:N$97,'12_MODELO'!B$2:B$97,'01_PAINEL'!$C$6,'12_MODELO'!A$2:A$97,K$6)</f>
        <v>81868.90525000001</v>
      </c>
      <c r="L10" s="6">
        <f>SUMIFS('12_MODELO'!N$2:N$97,'12_MODELO'!B$2:B$97,'01_PAINEL'!$C$6,'12_MODELO'!A$2:A$97,L$6)</f>
        <v>104213.61434999981</v>
      </c>
      <c r="M10" s="6">
        <f>SUMIFS('12_MODELO'!N$2:N$97,'12_MODELO'!B$2:B$97,'01_PAINEL'!$C$6,'12_MODELO'!A$2:A$97,M$6)</f>
        <v>150044.8987999999</v>
      </c>
      <c r="N10" s="6">
        <f>SUMIFS('12_MODELO'!N$2:N$97,'12_MODELO'!B$2:B$97,'01_PAINEL'!$C$6,'12_MODELO'!A$2:A$97,N$6)</f>
        <v>126571.17320000002</v>
      </c>
      <c r="O10" s="10">
        <f>SUM(C10:N10)</f>
        <v>944009.9501499999</v>
      </c>
    </row>
    <row r="11" spans="2:15">
      <c r="B11" s="11" t="s">
        <v>125</v>
      </c>
      <c r="C11" s="9">
        <f>SUMIFS('12_MODELO'!BI$2:BI$97,'12_MODELO'!B$2:B$97,'01_PAINEL'!$C$6,'12_MODELO'!A$2:A$97,C$6)</f>
        <v>0.03750190515245802</v>
      </c>
      <c r="D11" s="9">
        <f>SUMIFS('12_MODELO'!BI$2:BI$97,'12_MODELO'!B$2:B$97,'01_PAINEL'!$C$6,'12_MODELO'!A$2:A$97,D$6)</f>
        <v>0.039608509080347215</v>
      </c>
      <c r="E11" s="9">
        <f>SUMIFS('12_MODELO'!BI$2:BI$97,'12_MODELO'!B$2:B$97,'01_PAINEL'!$C$6,'12_MODELO'!A$2:A$97,E$6)</f>
        <v>0.06203210390366665</v>
      </c>
      <c r="F11" s="9">
        <f>SUMIFS('12_MODELO'!BI$2:BI$97,'12_MODELO'!B$2:B$97,'01_PAINEL'!$C$6,'12_MODELO'!A$2:A$97,F$6)</f>
        <v>0.038090809299440004</v>
      </c>
      <c r="G11" s="9">
        <f>SUMIFS('12_MODELO'!BI$2:BI$97,'12_MODELO'!B$2:B$97,'01_PAINEL'!$C$6,'12_MODELO'!A$2:A$97,G$6)</f>
        <v>0.04715655987839707</v>
      </c>
      <c r="H11" s="9">
        <f>SUMIFS('12_MODELO'!BI$2:BI$97,'12_MODELO'!B$2:B$97,'01_PAINEL'!$C$6,'12_MODELO'!A$2:A$97,H$6)</f>
        <v>0.06951130185454495</v>
      </c>
      <c r="I11" s="9">
        <f>SUMIFS('12_MODELO'!BI$2:BI$97,'12_MODELO'!B$2:B$97,'01_PAINEL'!$C$6,'12_MODELO'!A$2:A$97,I$6)</f>
        <v>0.04556941523195952</v>
      </c>
      <c r="J11" s="9">
        <f>SUMIFS('12_MODELO'!BI$2:BI$97,'12_MODELO'!B$2:B$97,'01_PAINEL'!$C$6,'12_MODELO'!A$2:A$97,J$6)</f>
        <v>0.05517692005280005</v>
      </c>
      <c r="K11" s="9">
        <f>SUMIFS('12_MODELO'!BI$2:BI$97,'12_MODELO'!B$2:B$97,'01_PAINEL'!$C$6,'12_MODELO'!A$2:A$97,K$6)</f>
        <v>0.06458780070485826</v>
      </c>
      <c r="L11" s="9">
        <f>SUMIFS('12_MODELO'!BI$2:BI$97,'12_MODELO'!B$2:B$97,'01_PAINEL'!$C$6,'12_MODELO'!A$2:A$97,L$6)</f>
        <v>0.07319760521670761</v>
      </c>
      <c r="M11" s="9">
        <f>SUMIFS('12_MODELO'!BI$2:BI$97,'12_MODELO'!B$2:B$97,'01_PAINEL'!$C$6,'12_MODELO'!A$2:A$97,M$6)</f>
        <v>0.08988279592278452</v>
      </c>
      <c r="N11" s="9">
        <f>SUMIFS('12_MODELO'!BI$2:BI$97,'12_MODELO'!B$2:B$97,'01_PAINEL'!$C$6,'12_MODELO'!A$2:A$97,N$6)</f>
        <v>0.08160414489436749</v>
      </c>
      <c r="O11" s="9">
        <f>IFERROR(SUMIFS('12_MODELO'!N$2:N$97,'12_MODELO'!B$2:B$97,'01_PAINEL'!$C$6,'12_MODELO'!A$2:A$97,"&gt;="&amp;DATE('01_PAINEL'!$F$6,1,1),'12_MODELO'!A$2:A$97,"&lt;="&amp;DATE('01_PAINEL'!$F$6,12,1))/SUMIFS('12_MODELO'!E$2:E$97,'12_MODELO'!B$2:B$97,'01_PAINEL'!$C$6,'12_MODELO'!A$2:A$97,"&gt;="&amp;DATE('01_PAINEL'!$F$6,1,1),'12_MODELO'!A$2:A$97,"&lt;="&amp;DATE('01_PAINEL'!$F$6,12,1)),0)</f>
        <v>0.060725280147796976</v>
      </c>
    </row>
    <row r="12" spans="2:15">
      <c r="B12" s="2" t="s">
        <v>107</v>
      </c>
      <c r="C12" s="6">
        <f>SUMIFS('12_MODELO'!T$2:T$97,'12_MODELO'!B$2:B$97,'01_PAINEL'!$C$6,'12_MODELO'!A$2:A$97,C$6)</f>
        <v>8217.550011000098</v>
      </c>
      <c r="D12" s="6">
        <f>SUMIFS('12_MODELO'!T$2:T$97,'12_MODELO'!B$2:B$97,'01_PAINEL'!$C$6,'12_MODELO'!A$2:A$97,D$6)</f>
        <v>10319.007864000041</v>
      </c>
      <c r="E12" s="6">
        <f>SUMIFS('12_MODELO'!T$2:T$97,'12_MODELO'!B$2:B$97,'01_PAINEL'!$C$6,'12_MODELO'!A$2:A$97,E$6)</f>
        <v>34265.133012000035</v>
      </c>
      <c r="F12" s="6">
        <f>SUMIFS('12_MODELO'!T$2:T$97,'12_MODELO'!B$2:B$97,'01_PAINEL'!$C$6,'12_MODELO'!A$2:A$97,F$6)</f>
        <v>13587.443957999945</v>
      </c>
      <c r="G12" s="6">
        <f>SUMIFS('12_MODELO'!T$2:T$97,'12_MODELO'!B$2:B$97,'01_PAINEL'!$C$6,'12_MODELO'!A$2:A$97,G$6)</f>
        <v>20279.882667000034</v>
      </c>
      <c r="H12" s="6">
        <f>SUMIFS('12_MODELO'!T$2:T$97,'12_MODELO'!B$2:B$97,'01_PAINEL'!$C$6,'12_MODELO'!A$2:A$97,H$6)</f>
        <v>40776.13158300003</v>
      </c>
      <c r="I12" s="6">
        <f>SUMIFS('12_MODELO'!T$2:T$97,'12_MODELO'!B$2:B$97,'01_PAINEL'!$C$6,'12_MODELO'!A$2:A$97,I$6)</f>
        <v>11792.958671999895</v>
      </c>
      <c r="J12" s="6">
        <f>SUMIFS('12_MODELO'!T$2:T$97,'12_MODELO'!B$2:B$97,'01_PAINEL'!$C$6,'12_MODELO'!A$2:A$97,J$6)</f>
        <v>21864.828876000072</v>
      </c>
      <c r="K12" s="6">
        <f>SUMIFS('12_MODELO'!T$2:T$97,'12_MODELO'!B$2:B$97,'01_PAINEL'!$C$6,'12_MODELO'!A$2:A$97,K$6)</f>
        <v>32649.477465000007</v>
      </c>
      <c r="L12" s="6">
        <f>SUMIFS('12_MODELO'!T$2:T$97,'12_MODELO'!B$2:B$97,'01_PAINEL'!$C$6,'12_MODELO'!A$2:A$97,L$6)</f>
        <v>46945.545470999874</v>
      </c>
      <c r="M12" s="6">
        <f>SUMIFS('12_MODELO'!T$2:T$97,'12_MODELO'!B$2:B$97,'01_PAINEL'!$C$6,'12_MODELO'!A$2:A$97,M$6)</f>
        <v>77217.95320799993</v>
      </c>
      <c r="N12" s="6">
        <f>SUMIFS('12_MODELO'!T$2:T$97,'12_MODELO'!B$2:B$97,'01_PAINEL'!$C$6,'12_MODELO'!A$2:A$97,N$6)</f>
        <v>61749.05431200001</v>
      </c>
      <c r="O12" s="10">
        <f>SUM(C12:N12)</f>
        <v>379664.967099</v>
      </c>
    </row>
    <row r="13" spans="2:15">
      <c r="B13" s="11" t="s">
        <v>126</v>
      </c>
      <c r="C13" s="9">
        <f>SUMIFS('12_MODELO'!BJ$2:BJ$97,'12_MODELO'!B$2:B$97,'01_PAINEL'!$C$6,'12_MODELO'!A$2:A$97,C$6)</f>
        <v>0.0078020983143317285</v>
      </c>
      <c r="D13" s="9">
        <f>SUMIFS('12_MODELO'!BJ$2:BJ$97,'12_MODELO'!B$2:B$97,'01_PAINEL'!$C$6,'12_MODELO'!A$2:A$97,D$6)</f>
        <v>0.009583836016247972</v>
      </c>
      <c r="E13" s="9">
        <f>SUMIFS('12_MODELO'!BJ$2:BJ$97,'12_MODELO'!B$2:B$97,'01_PAINEL'!$C$6,'12_MODELO'!A$2:A$97,E$6)</f>
        <v>0.026942084116968922</v>
      </c>
      <c r="F13" s="9">
        <f>SUMIFS('12_MODELO'!BJ$2:BJ$97,'12_MODELO'!B$2:B$97,'01_PAINEL'!$C$6,'12_MODELO'!A$2:A$97,F$6)</f>
        <v>0.010727223397782155</v>
      </c>
      <c r="G13" s="9">
        <f>SUMIFS('12_MODELO'!BJ$2:BJ$97,'12_MODELO'!B$2:B$97,'01_PAINEL'!$C$6,'12_MODELO'!A$2:A$97,G$6)</f>
        <v>0.015288773155413056</v>
      </c>
      <c r="H13" s="9">
        <f>SUMIFS('12_MODELO'!BJ$2:BJ$97,'12_MODELO'!B$2:B$97,'01_PAINEL'!$C$6,'12_MODELO'!A$2:A$97,H$6)</f>
        <v>0.03029177577541832</v>
      </c>
      <c r="I13" s="9">
        <f>SUMIFS('12_MODELO'!BJ$2:BJ$97,'12_MODELO'!B$2:B$97,'01_PAINEL'!$C$6,'12_MODELO'!A$2:A$97,I$6)</f>
        <v>0.010675346802470481</v>
      </c>
      <c r="J13" s="9">
        <f>SUMIFS('12_MODELO'!BJ$2:BJ$97,'12_MODELO'!B$2:B$97,'01_PAINEL'!$C$6,'12_MODELO'!A$2:A$97,J$6)</f>
        <v>0.01840071057659077</v>
      </c>
      <c r="K13" s="9">
        <f>SUMIFS('12_MODELO'!BJ$2:BJ$97,'12_MODELO'!B$2:B$97,'01_PAINEL'!$C$6,'12_MODELO'!A$2:A$97,K$6)</f>
        <v>0.025757739610512028</v>
      </c>
      <c r="L13" s="9">
        <f>SUMIFS('12_MODELO'!BJ$2:BJ$97,'12_MODELO'!B$2:B$97,'01_PAINEL'!$C$6,'12_MODELO'!A$2:A$97,L$6)</f>
        <v>0.03297363329639906</v>
      </c>
      <c r="M13" s="9">
        <f>SUMIFS('12_MODELO'!BJ$2:BJ$97,'12_MODELO'!B$2:B$97,'01_PAINEL'!$C$6,'12_MODELO'!A$2:A$97,M$6)</f>
        <v>0.04625659109558336</v>
      </c>
      <c r="N13" s="9">
        <f>SUMIFS('12_MODELO'!BJ$2:BJ$97,'12_MODELO'!B$2:B$97,'01_PAINEL'!$C$6,'12_MODELO'!A$2:A$97,N$6)</f>
        <v>0.03981142504861143</v>
      </c>
      <c r="O13" s="9">
        <f>IFERROR(SUMIFS('12_MODELO'!T$2:T$97,'12_MODELO'!B$2:B$97,'01_PAINEL'!$C$6,'12_MODELO'!A$2:A$97,"&gt;="&amp;DATE('01_PAINEL'!$F$6,1,1),'12_MODELO'!A$2:A$97,"&lt;="&amp;DATE('01_PAINEL'!$F$6,12,1))/SUMIFS('12_MODELO'!E$2:E$97,'12_MODELO'!B$2:B$97,'01_PAINEL'!$C$6,'12_MODELO'!A$2:A$97,"&gt;="&amp;DATE('01_PAINEL'!$F$6,1,1),'12_MODELO'!A$2:A$97,"&lt;="&amp;DATE('01_PAINEL'!$F$6,12,1)),0)</f>
        <v>0.024422689067766176</v>
      </c>
    </row>
    <row r="14" spans="2:15">
      <c r="B14" s="2" t="s">
        <v>85</v>
      </c>
      <c r="C14" s="6">
        <f>SUMIFS('12_MODELO'!AV$2:AV$97,'12_MODELO'!B$2:B$97,'01_PAINEL'!$C$6,'12_MODELO'!A$2:A$97,C$6)</f>
        <v>1707637.290778667</v>
      </c>
      <c r="D14" s="6">
        <f>SUMIFS('12_MODELO'!AV$2:AV$97,'12_MODELO'!B$2:B$97,'01_PAINEL'!$C$6,'12_MODELO'!A$2:A$97,D$6)</f>
        <v>1654600.6491230004</v>
      </c>
      <c r="E14" s="6">
        <f>SUMIFS('12_MODELO'!AV$2:AV$97,'12_MODELO'!B$2:B$97,'01_PAINEL'!$C$6,'12_MODELO'!A$2:A$97,E$6)</f>
        <v>1214670.768320333</v>
      </c>
      <c r="F14" s="6">
        <f>SUMIFS('12_MODELO'!AV$2:AV$97,'12_MODELO'!B$2:B$97,'01_PAINEL'!$C$6,'12_MODELO'!A$2:A$97,F$6)</f>
        <v>1562533.5379990004</v>
      </c>
      <c r="G14" s="6">
        <f>SUMIFS('12_MODELO'!AV$2:AV$97,'12_MODELO'!B$2:B$97,'01_PAINEL'!$C$6,'12_MODELO'!A$2:A$97,G$6)</f>
        <v>1451222.024957</v>
      </c>
      <c r="H14" s="6">
        <f>SUMIFS('12_MODELO'!AV$2:AV$97,'12_MODELO'!B$2:B$97,'01_PAINEL'!$C$6,'12_MODELO'!A$2:A$97,H$6)</f>
        <v>1375665.142290667</v>
      </c>
      <c r="I14" s="6">
        <f>SUMIFS('12_MODELO'!AV$2:AV$97,'12_MODELO'!B$2:B$97,'01_PAINEL'!$C$6,'12_MODELO'!A$2:A$97,I$6)</f>
        <v>1060377.6342070003</v>
      </c>
      <c r="J14" s="6">
        <f>SUMIFS('12_MODELO'!AV$2:AV$97,'12_MODELO'!B$2:B$97,'01_PAINEL'!$C$6,'12_MODELO'!A$2:A$97,J$6)</f>
        <v>842526.8548790005</v>
      </c>
      <c r="K14" s="6">
        <f>SUMIFS('12_MODELO'!AV$2:AV$97,'12_MODELO'!B$2:B$97,'01_PAINEL'!$C$6,'12_MODELO'!A$2:A$97,K$6)</f>
        <v>577513.7557550005</v>
      </c>
      <c r="L14" s="6">
        <f>SUMIFS('12_MODELO'!AV$2:AV$97,'12_MODELO'!B$2:B$97,'01_PAINEL'!$C$6,'12_MODELO'!A$2:A$97,L$6)</f>
        <v>1210533.9128866668</v>
      </c>
      <c r="M14" s="6">
        <f>SUMIFS('12_MODELO'!AV$2:AV$97,'12_MODELO'!B$2:B$97,'01_PAINEL'!$C$6,'12_MODELO'!A$2:A$97,M$6)</f>
        <v>789243.6640243335</v>
      </c>
      <c r="N14" s="6">
        <f>SUMIFS('12_MODELO'!AV$2:AV$97,'12_MODELO'!B$2:B$97,'01_PAINEL'!$C$6,'12_MODELO'!A$2:A$97,N$6)</f>
        <v>1000255.5938990002</v>
      </c>
      <c r="O14" s="10">
        <f>N14</f>
        <v>1000255.5938990002</v>
      </c>
    </row>
    <row r="15" spans="2:15">
      <c r="B15" s="11" t="s">
        <v>128</v>
      </c>
      <c r="C15" s="6">
        <f>SUMIFS('12_MODELO'!BL$2:BL$97,'12_MODELO'!B$2:B$97,'01_PAINEL'!$C$6,'12_MODELO'!A$2:A$97,C$6)</f>
        <v>2126071.8363443334</v>
      </c>
      <c r="D15" s="6">
        <f>SUMIFS('12_MODELO'!BL$2:BL$97,'12_MODELO'!B$2:B$97,'01_PAINEL'!$C$6,'12_MODELO'!A$2:A$97,D$6)</f>
        <v>2173647.485864</v>
      </c>
      <c r="E15" s="6">
        <f>SUMIFS('12_MODELO'!BL$2:BL$97,'12_MODELO'!B$2:B$97,'01_PAINEL'!$C$6,'12_MODELO'!A$2:A$97,E$6)</f>
        <v>2560242.499678667</v>
      </c>
      <c r="F15" s="6">
        <f>SUMIFS('12_MODELO'!BL$2:BL$97,'12_MODELO'!B$2:B$97,'01_PAINEL'!$C$6,'12_MODELO'!A$2:A$97,F$6)</f>
        <v>2561267.1739579993</v>
      </c>
      <c r="G15" s="6">
        <f>SUMIFS('12_MODELO'!BL$2:BL$97,'12_MODELO'!B$2:B$97,'01_PAINEL'!$C$6,'12_MODELO'!A$2:A$97,G$6)</f>
        <v>2678338.5696670003</v>
      </c>
      <c r="H15" s="6">
        <f>SUMIFS('12_MODELO'!BL$2:BL$97,'12_MODELO'!B$2:B$97,'01_PAINEL'!$C$6,'12_MODELO'!A$2:A$97,H$6)</f>
        <v>2708331.5839163335</v>
      </c>
      <c r="I15" s="6">
        <f>SUMIFS('12_MODELO'!BL$2:BL$97,'12_MODELO'!B$2:B$97,'01_PAINEL'!$C$6,'12_MODELO'!A$2:A$97,I$6)</f>
        <v>3021972.0506720003</v>
      </c>
      <c r="J15" s="6">
        <f>SUMIFS('12_MODELO'!BL$2:BL$97,'12_MODELO'!B$2:B$97,'01_PAINEL'!$C$6,'12_MODELO'!A$2:A$97,J$6)</f>
        <v>3248427.6588760004</v>
      </c>
      <c r="K15" s="6">
        <f>SUMIFS('12_MODELO'!BL$2:BL$97,'12_MODELO'!B$2:B$97,'01_PAINEL'!$C$6,'12_MODELO'!A$2:A$97,K$6)</f>
        <v>3461010.2354650004</v>
      </c>
      <c r="L15" s="6">
        <f>SUMIFS('12_MODELO'!BL$2:BL$97,'12_MODELO'!B$2:B$97,'01_PAINEL'!$C$6,'12_MODELO'!A$2:A$97,L$6)</f>
        <v>2862755.6238043336</v>
      </c>
      <c r="M15" s="6">
        <f>SUMIFS('12_MODELO'!BL$2:BL$97,'12_MODELO'!B$2:B$97,'01_PAINEL'!$C$6,'12_MODELO'!A$2:A$97,M$6)</f>
        <v>3349263.825874667</v>
      </c>
      <c r="N15" s="6">
        <f>SUMIFS('12_MODELO'!BL$2:BL$97,'12_MODELO'!B$2:B$97,'01_PAINEL'!$C$6,'12_MODELO'!A$2:A$97,N$6)</f>
        <v>3116180.9503120007</v>
      </c>
      <c r="O15" s="10">
        <f>N15</f>
        <v>3116180.9503120007</v>
      </c>
    </row>
    <row r="16" spans="2:15">
      <c r="B16" s="11" t="s">
        <v>67</v>
      </c>
      <c r="C16" s="6">
        <f>SUMIFS('12_MODELO'!BB$2:BB$97,'12_MODELO'!B$2:B$97,'01_PAINEL'!$C$6,'12_MODELO'!A$2:A$97,C$6)</f>
        <v>47.0</v>
      </c>
      <c r="D16" s="6">
        <f>SUMIFS('12_MODELO'!BB$2:BB$97,'12_MODELO'!B$2:B$97,'01_PAINEL'!$C$6,'12_MODELO'!A$2:A$97,D$6)</f>
        <v>47.0</v>
      </c>
      <c r="E16" s="6">
        <f>SUMIFS('12_MODELO'!BB$2:BB$97,'12_MODELO'!B$2:B$97,'01_PAINEL'!$C$6,'12_MODELO'!A$2:A$97,E$6)</f>
        <v>47.0</v>
      </c>
      <c r="F16" s="6">
        <f>SUMIFS('12_MODELO'!BB$2:BB$97,'12_MODELO'!B$2:B$97,'01_PAINEL'!$C$6,'12_MODELO'!A$2:A$97,F$6)</f>
        <v>47.0</v>
      </c>
      <c r="G16" s="6">
        <f>SUMIFS('12_MODELO'!BB$2:BB$97,'12_MODELO'!B$2:B$97,'01_PAINEL'!$C$6,'12_MODELO'!A$2:A$97,G$6)</f>
        <v>47.0</v>
      </c>
      <c r="H16" s="6">
        <f>SUMIFS('12_MODELO'!BB$2:BB$97,'12_MODELO'!B$2:B$97,'01_PAINEL'!$C$6,'12_MODELO'!A$2:A$97,H$6)</f>
        <v>47.0</v>
      </c>
      <c r="I16" s="6">
        <f>SUMIFS('12_MODELO'!BB$2:BB$97,'12_MODELO'!B$2:B$97,'01_PAINEL'!$C$6,'12_MODELO'!A$2:A$97,I$6)</f>
        <v>60.0</v>
      </c>
      <c r="J16" s="6">
        <f>SUMIFS('12_MODELO'!BB$2:BB$97,'12_MODELO'!B$2:B$97,'01_PAINEL'!$C$6,'12_MODELO'!A$2:A$97,J$6)</f>
        <v>60.0</v>
      </c>
      <c r="K16" s="6">
        <f>SUMIFS('12_MODELO'!BB$2:BB$97,'12_MODELO'!B$2:B$97,'01_PAINEL'!$C$6,'12_MODELO'!A$2:A$97,K$6)</f>
        <v>60.0</v>
      </c>
      <c r="L16" s="6">
        <f>SUMIFS('12_MODELO'!BB$2:BB$97,'12_MODELO'!B$2:B$97,'01_PAINEL'!$C$6,'12_MODELO'!A$2:A$97,L$6)</f>
        <v>47.0</v>
      </c>
      <c r="M16" s="6">
        <f>SUMIFS('12_MODELO'!BB$2:BB$97,'12_MODELO'!B$2:B$97,'01_PAINEL'!$C$6,'12_MODELO'!A$2:A$97,M$6)</f>
        <v>47.0</v>
      </c>
      <c r="N16" s="6">
        <f>SUMIFS('12_MODELO'!BB$2:BB$97,'12_MODELO'!B$2:B$97,'01_PAINEL'!$C$6,'12_MODELO'!A$2:A$97,N$6)</f>
        <v>47.0</v>
      </c>
      <c r="O16" s="10">
        <f>N16</f>
        <v>47.0</v>
      </c>
    </row>
    <row r="17" spans="2:15">
      <c r="B17" s="11" t="s">
        <v>68</v>
      </c>
      <c r="C17" s="6">
        <f>SUMIFS('12_MODELO'!BC$2:BC$97,'12_MODELO'!B$2:B$97,'01_PAINEL'!$C$6,'12_MODELO'!A$2:A$97,C$6)</f>
        <v>52.0</v>
      </c>
      <c r="D17" s="6">
        <f>SUMIFS('12_MODELO'!BC$2:BC$97,'12_MODELO'!B$2:B$97,'01_PAINEL'!$C$6,'12_MODELO'!A$2:A$97,D$6)</f>
        <v>52.0</v>
      </c>
      <c r="E17" s="6">
        <f>SUMIFS('12_MODELO'!BC$2:BC$97,'12_MODELO'!B$2:B$97,'01_PAINEL'!$C$6,'12_MODELO'!A$2:A$97,E$6)</f>
        <v>52.0</v>
      </c>
      <c r="F17" s="6">
        <f>SUMIFS('12_MODELO'!BC$2:BC$97,'12_MODELO'!B$2:B$97,'01_PAINEL'!$C$6,'12_MODELO'!A$2:A$97,F$6)</f>
        <v>52.0</v>
      </c>
      <c r="G17" s="6">
        <f>SUMIFS('12_MODELO'!BC$2:BC$97,'12_MODELO'!B$2:B$97,'01_PAINEL'!$C$6,'12_MODELO'!A$2:A$97,G$6)</f>
        <v>52.0</v>
      </c>
      <c r="H17" s="6">
        <f>SUMIFS('12_MODELO'!BC$2:BC$97,'12_MODELO'!B$2:B$97,'01_PAINEL'!$C$6,'12_MODELO'!A$2:A$97,H$6)</f>
        <v>52.0</v>
      </c>
      <c r="I17" s="6">
        <f>SUMIFS('12_MODELO'!BC$2:BC$97,'12_MODELO'!B$2:B$97,'01_PAINEL'!$C$6,'12_MODELO'!A$2:A$97,I$6)</f>
        <v>62.0</v>
      </c>
      <c r="J17" s="6">
        <f>SUMIFS('12_MODELO'!BC$2:BC$97,'12_MODELO'!B$2:B$97,'01_PAINEL'!$C$6,'12_MODELO'!A$2:A$97,J$6)</f>
        <v>62.0</v>
      </c>
      <c r="K17" s="6">
        <f>SUMIFS('12_MODELO'!BC$2:BC$97,'12_MODELO'!B$2:B$97,'01_PAINEL'!$C$6,'12_MODELO'!A$2:A$97,K$6)</f>
        <v>62.0</v>
      </c>
      <c r="L17" s="6">
        <f>SUMIFS('12_MODELO'!BC$2:BC$97,'12_MODELO'!B$2:B$97,'01_PAINEL'!$C$6,'12_MODELO'!A$2:A$97,L$6)</f>
        <v>52.0</v>
      </c>
      <c r="M17" s="6">
        <f>SUMIFS('12_MODELO'!BC$2:BC$97,'12_MODELO'!B$2:B$97,'01_PAINEL'!$C$6,'12_MODELO'!A$2:A$97,M$6)</f>
        <v>52.0</v>
      </c>
      <c r="N17" s="6">
        <f>SUMIFS('12_MODELO'!BC$2:BC$97,'12_MODELO'!B$2:B$97,'01_PAINEL'!$C$6,'12_MODELO'!A$2:A$97,N$6)</f>
        <v>52.0</v>
      </c>
      <c r="O17" s="10">
        <f>N17</f>
        <v>52.0</v>
      </c>
    </row>
    <row r="18" spans="2:15">
      <c r="B18" s="11" t="s">
        <v>69</v>
      </c>
      <c r="C18" s="6">
        <f>SUMIFS('12_MODELO'!BD$2:BD$97,'12_MODELO'!B$2:B$97,'01_PAINEL'!$C$6,'12_MODELO'!A$2:A$97,C$6)</f>
        <v>35.0</v>
      </c>
      <c r="D18" s="6">
        <f>SUMIFS('12_MODELO'!BD$2:BD$97,'12_MODELO'!B$2:B$97,'01_PAINEL'!$C$6,'12_MODELO'!A$2:A$97,D$6)</f>
        <v>35.0</v>
      </c>
      <c r="E18" s="6">
        <f>SUMIFS('12_MODELO'!BD$2:BD$97,'12_MODELO'!B$2:B$97,'01_PAINEL'!$C$6,'12_MODELO'!A$2:A$97,E$6)</f>
        <v>35.0</v>
      </c>
      <c r="F18" s="6">
        <f>SUMIFS('12_MODELO'!BD$2:BD$97,'12_MODELO'!B$2:B$97,'01_PAINEL'!$C$6,'12_MODELO'!A$2:A$97,F$6)</f>
        <v>35.0</v>
      </c>
      <c r="G18" s="6">
        <f>SUMIFS('12_MODELO'!BD$2:BD$97,'12_MODELO'!B$2:B$97,'01_PAINEL'!$C$6,'12_MODELO'!A$2:A$97,G$6)</f>
        <v>35.0</v>
      </c>
      <c r="H18" s="6">
        <f>SUMIFS('12_MODELO'!BD$2:BD$97,'12_MODELO'!B$2:B$97,'01_PAINEL'!$C$6,'12_MODELO'!A$2:A$97,H$6)</f>
        <v>35.0</v>
      </c>
      <c r="I18" s="6">
        <f>SUMIFS('12_MODELO'!BD$2:BD$97,'12_MODELO'!B$2:B$97,'01_PAINEL'!$C$6,'12_MODELO'!A$2:A$97,I$6)</f>
        <v>35.0</v>
      </c>
      <c r="J18" s="6">
        <f>SUMIFS('12_MODELO'!BD$2:BD$97,'12_MODELO'!B$2:B$97,'01_PAINEL'!$C$6,'12_MODELO'!A$2:A$97,J$6)</f>
        <v>35.0</v>
      </c>
      <c r="K18" s="6">
        <f>SUMIFS('12_MODELO'!BD$2:BD$97,'12_MODELO'!B$2:B$97,'01_PAINEL'!$C$6,'12_MODELO'!A$2:A$97,K$6)</f>
        <v>35.0</v>
      </c>
      <c r="L18" s="6">
        <f>SUMIFS('12_MODELO'!BD$2:BD$97,'12_MODELO'!B$2:B$97,'01_PAINEL'!$C$6,'12_MODELO'!A$2:A$97,L$6)</f>
        <v>35.0</v>
      </c>
      <c r="M18" s="6">
        <f>SUMIFS('12_MODELO'!BD$2:BD$97,'12_MODELO'!B$2:B$97,'01_PAINEL'!$C$6,'12_MODELO'!A$2:A$97,M$6)</f>
        <v>35.0</v>
      </c>
      <c r="N18" s="6">
        <f>SUMIFS('12_MODELO'!BD$2:BD$97,'12_MODELO'!B$2:B$97,'01_PAINEL'!$C$6,'12_MODELO'!A$2:A$97,N$6)</f>
        <v>35.0</v>
      </c>
      <c r="O18" s="10">
        <f>N18</f>
        <v>35.0</v>
      </c>
    </row>
    <row r="19" spans="2:15">
      <c r="B19" s="11" t="s">
        <v>956</v>
      </c>
      <c r="C19" s="6">
        <f>SUMIFS('12_MODELO'!BB$2:BB$97,'12_MODELO'!B$2:B$97,'01_PAINEL'!$C$6,'12_MODELO'!A$2:A$97,C$6)+SUMIFS('12_MODELO'!BC$2:BC$97,'12_MODELO'!B$2:B$97,'01_PAINEL'!$C$6,'12_MODELO'!A$2:A$97,C$6)-SUMIFS('12_MODELO'!BD$2:BD$97,'12_MODELO'!B$2:B$97,'01_PAINEL'!$C$6,'12_MODELO'!A$2:A$97,C$6)</f>
        <v>64.0</v>
      </c>
      <c r="D19" s="6">
        <f>SUMIFS('12_MODELO'!BB$2:BB$97,'12_MODELO'!B$2:B$97,'01_PAINEL'!$C$6,'12_MODELO'!A$2:A$97,D$6)+SUMIFS('12_MODELO'!BC$2:BC$97,'12_MODELO'!B$2:B$97,'01_PAINEL'!$C$6,'12_MODELO'!A$2:A$97,D$6)-SUMIFS('12_MODELO'!BD$2:BD$97,'12_MODELO'!B$2:B$97,'01_PAINEL'!$C$6,'12_MODELO'!A$2:A$97,D$6)</f>
        <v>64.0</v>
      </c>
      <c r="E19" s="6">
        <f>SUMIFS('12_MODELO'!BB$2:BB$97,'12_MODELO'!B$2:B$97,'01_PAINEL'!$C$6,'12_MODELO'!A$2:A$97,E$6)+SUMIFS('12_MODELO'!BC$2:BC$97,'12_MODELO'!B$2:B$97,'01_PAINEL'!$C$6,'12_MODELO'!A$2:A$97,E$6)-SUMIFS('12_MODELO'!BD$2:BD$97,'12_MODELO'!B$2:B$97,'01_PAINEL'!$C$6,'12_MODELO'!A$2:A$97,E$6)</f>
        <v>64.0</v>
      </c>
      <c r="F19" s="6">
        <f>SUMIFS('12_MODELO'!BB$2:BB$97,'12_MODELO'!B$2:B$97,'01_PAINEL'!$C$6,'12_MODELO'!A$2:A$97,F$6)+SUMIFS('12_MODELO'!BC$2:BC$97,'12_MODELO'!B$2:B$97,'01_PAINEL'!$C$6,'12_MODELO'!A$2:A$97,F$6)-SUMIFS('12_MODELO'!BD$2:BD$97,'12_MODELO'!B$2:B$97,'01_PAINEL'!$C$6,'12_MODELO'!A$2:A$97,F$6)</f>
        <v>64.0</v>
      </c>
      <c r="G19" s="6">
        <f>SUMIFS('12_MODELO'!BB$2:BB$97,'12_MODELO'!B$2:B$97,'01_PAINEL'!$C$6,'12_MODELO'!A$2:A$97,G$6)+SUMIFS('12_MODELO'!BC$2:BC$97,'12_MODELO'!B$2:B$97,'01_PAINEL'!$C$6,'12_MODELO'!A$2:A$97,G$6)-SUMIFS('12_MODELO'!BD$2:BD$97,'12_MODELO'!B$2:B$97,'01_PAINEL'!$C$6,'12_MODELO'!A$2:A$97,G$6)</f>
        <v>64.0</v>
      </c>
      <c r="H19" s="6">
        <f>SUMIFS('12_MODELO'!BB$2:BB$97,'12_MODELO'!B$2:B$97,'01_PAINEL'!$C$6,'12_MODELO'!A$2:A$97,H$6)+SUMIFS('12_MODELO'!BC$2:BC$97,'12_MODELO'!B$2:B$97,'01_PAINEL'!$C$6,'12_MODELO'!A$2:A$97,H$6)-SUMIFS('12_MODELO'!BD$2:BD$97,'12_MODELO'!B$2:B$97,'01_PAINEL'!$C$6,'12_MODELO'!A$2:A$97,H$6)</f>
        <v>64.0</v>
      </c>
      <c r="I19" s="6">
        <f>SUMIFS('12_MODELO'!BB$2:BB$97,'12_MODELO'!B$2:B$97,'01_PAINEL'!$C$6,'12_MODELO'!A$2:A$97,I$6)+SUMIFS('12_MODELO'!BC$2:BC$97,'12_MODELO'!B$2:B$97,'01_PAINEL'!$C$6,'12_MODELO'!A$2:A$97,I$6)-SUMIFS('12_MODELO'!BD$2:BD$97,'12_MODELO'!B$2:B$97,'01_PAINEL'!$C$6,'12_MODELO'!A$2:A$97,I$6)</f>
        <v>87.0</v>
      </c>
      <c r="J19" s="6">
        <f>SUMIFS('12_MODELO'!BB$2:BB$97,'12_MODELO'!B$2:B$97,'01_PAINEL'!$C$6,'12_MODELO'!A$2:A$97,J$6)+SUMIFS('12_MODELO'!BC$2:BC$97,'12_MODELO'!B$2:B$97,'01_PAINEL'!$C$6,'12_MODELO'!A$2:A$97,J$6)-SUMIFS('12_MODELO'!BD$2:BD$97,'12_MODELO'!B$2:B$97,'01_PAINEL'!$C$6,'12_MODELO'!A$2:A$97,J$6)</f>
        <v>87.0</v>
      </c>
      <c r="K19" s="6">
        <f>SUMIFS('12_MODELO'!BB$2:BB$97,'12_MODELO'!B$2:B$97,'01_PAINEL'!$C$6,'12_MODELO'!A$2:A$97,K$6)+SUMIFS('12_MODELO'!BC$2:BC$97,'12_MODELO'!B$2:B$97,'01_PAINEL'!$C$6,'12_MODELO'!A$2:A$97,K$6)-SUMIFS('12_MODELO'!BD$2:BD$97,'12_MODELO'!B$2:B$97,'01_PAINEL'!$C$6,'12_MODELO'!A$2:A$97,K$6)</f>
        <v>87.0</v>
      </c>
      <c r="L19" s="6">
        <f>SUMIFS('12_MODELO'!BB$2:BB$97,'12_MODELO'!B$2:B$97,'01_PAINEL'!$C$6,'12_MODELO'!A$2:A$97,L$6)+SUMIFS('12_MODELO'!BC$2:BC$97,'12_MODELO'!B$2:B$97,'01_PAINEL'!$C$6,'12_MODELO'!A$2:A$97,L$6)-SUMIFS('12_MODELO'!BD$2:BD$97,'12_MODELO'!B$2:B$97,'01_PAINEL'!$C$6,'12_MODELO'!A$2:A$97,L$6)</f>
        <v>64.0</v>
      </c>
      <c r="M19" s="6">
        <f>SUMIFS('12_MODELO'!BB$2:BB$97,'12_MODELO'!B$2:B$97,'01_PAINEL'!$C$6,'12_MODELO'!A$2:A$97,M$6)+SUMIFS('12_MODELO'!BC$2:BC$97,'12_MODELO'!B$2:B$97,'01_PAINEL'!$C$6,'12_MODELO'!A$2:A$97,M$6)-SUMIFS('12_MODELO'!BD$2:BD$97,'12_MODELO'!B$2:B$97,'01_PAINEL'!$C$6,'12_MODELO'!A$2:A$97,M$6)</f>
        <v>64.0</v>
      </c>
      <c r="N19" s="6">
        <f>SUMIFS('12_MODELO'!BB$2:BB$97,'12_MODELO'!B$2:B$97,'01_PAINEL'!$C$6,'12_MODELO'!A$2:A$97,N$6)+SUMIFS('12_MODELO'!BC$2:BC$97,'12_MODELO'!B$2:B$97,'01_PAINEL'!$C$6,'12_MODELO'!A$2:A$97,N$6)-SUMIFS('12_MODELO'!BD$2:BD$97,'12_MODELO'!B$2:B$97,'01_PAINEL'!$C$6,'12_MODELO'!A$2:A$97,N$6)</f>
        <v>64.0</v>
      </c>
      <c r="O19" s="10">
        <f>N19</f>
        <v>64.0</v>
      </c>
    </row>
    <row r="20" spans="2:15">
      <c r="B20" s="11" t="s">
        <v>94</v>
      </c>
      <c r="C20" s="6">
        <f>SUMIFS('12_MODELO'!AG$2:AG$97,'12_MODELO'!B$2:B$97,'01_PAINEL'!$C$6,'12_MODELO'!A$2:A$97,C$6)</f>
        <v>566000.0</v>
      </c>
      <c r="D20" s="6">
        <f>SUMIFS('12_MODELO'!AG$2:AG$97,'12_MODELO'!B$2:B$97,'01_PAINEL'!$C$6,'12_MODELO'!A$2:A$97,D$6)</f>
        <v>548000.0</v>
      </c>
      <c r="E20" s="6">
        <f>SUMIFS('12_MODELO'!AG$2:AG$97,'12_MODELO'!B$2:B$97,'01_PAINEL'!$C$6,'12_MODELO'!A$2:A$97,E$6)</f>
        <v>530000.0</v>
      </c>
      <c r="F20" s="6">
        <f>SUMIFS('12_MODELO'!AG$2:AG$97,'12_MODELO'!B$2:B$97,'01_PAINEL'!$C$6,'12_MODELO'!A$2:A$97,F$6)</f>
        <v>862000.0</v>
      </c>
      <c r="G20" s="6">
        <f>SUMIFS('12_MODELO'!AG$2:AG$97,'12_MODELO'!B$2:B$97,'01_PAINEL'!$C$6,'12_MODELO'!A$2:A$97,G$6)</f>
        <v>844000.0</v>
      </c>
      <c r="H20" s="6">
        <f>SUMIFS('12_MODELO'!AG$2:AG$97,'12_MODELO'!B$2:B$97,'01_PAINEL'!$C$6,'12_MODELO'!A$2:A$97,H$6)</f>
        <v>826000.0</v>
      </c>
      <c r="I20" s="6">
        <f>SUMIFS('12_MODELO'!AG$2:AG$97,'12_MODELO'!B$2:B$97,'01_PAINEL'!$C$6,'12_MODELO'!A$2:A$97,I$6)</f>
        <v>808000.0</v>
      </c>
      <c r="J20" s="6">
        <f>SUMIFS('12_MODELO'!AG$2:AG$97,'12_MODELO'!B$2:B$97,'01_PAINEL'!$C$6,'12_MODELO'!A$2:A$97,J$6)</f>
        <v>790000.0</v>
      </c>
      <c r="K20" s="6">
        <f>SUMIFS('12_MODELO'!AG$2:AG$97,'12_MODELO'!B$2:B$97,'01_PAINEL'!$C$6,'12_MODELO'!A$2:A$97,K$6)</f>
        <v>772000.0</v>
      </c>
      <c r="L20" s="6">
        <f>SUMIFS('12_MODELO'!AG$2:AG$97,'12_MODELO'!B$2:B$97,'01_PAINEL'!$C$6,'12_MODELO'!A$2:A$97,L$6)</f>
        <v>754000.0</v>
      </c>
      <c r="M20" s="6">
        <f>SUMIFS('12_MODELO'!AG$2:AG$97,'12_MODELO'!B$2:B$97,'01_PAINEL'!$C$6,'12_MODELO'!A$2:A$97,M$6)</f>
        <v>736000.0</v>
      </c>
      <c r="N20" s="6">
        <f>SUMIFS('12_MODELO'!AG$2:AG$97,'12_MODELO'!B$2:B$97,'01_PAINEL'!$C$6,'12_MODELO'!A$2:A$97,N$6)</f>
        <v>718000.0</v>
      </c>
      <c r="O20" s="10">
        <f>N20</f>
        <v>718000.0</v>
      </c>
    </row>
    <row r="21" spans="2:15">
      <c r="B21" s="11" t="s">
        <v>129</v>
      </c>
      <c r="C21" s="6">
        <f>SUMIFS('12_MODELO'!BM$2:BM$97,'12_MODELO'!B$2:B$97,'01_PAINEL'!$C$6,'12_MODELO'!A$2:A$97,C$6)</f>
        <v>-1141637.290778667</v>
      </c>
      <c r="D21" s="6">
        <f>SUMIFS('12_MODELO'!BM$2:BM$97,'12_MODELO'!B$2:B$97,'01_PAINEL'!$C$6,'12_MODELO'!A$2:A$97,D$6)</f>
        <v>-1106600.6491230004</v>
      </c>
      <c r="E21" s="6">
        <f>SUMIFS('12_MODELO'!BM$2:BM$97,'12_MODELO'!B$2:B$97,'01_PAINEL'!$C$6,'12_MODELO'!A$2:A$97,E$6)</f>
        <v>-684670.768320333</v>
      </c>
      <c r="F21" s="6">
        <f>SUMIFS('12_MODELO'!BM$2:BM$97,'12_MODELO'!B$2:B$97,'01_PAINEL'!$C$6,'12_MODELO'!A$2:A$97,F$6)</f>
        <v>-700533.5379990004</v>
      </c>
      <c r="G21" s="6">
        <f>SUMIFS('12_MODELO'!BM$2:BM$97,'12_MODELO'!B$2:B$97,'01_PAINEL'!$C$6,'12_MODELO'!A$2:A$97,G$6)</f>
        <v>-607222.024957</v>
      </c>
      <c r="H21" s="6">
        <f>SUMIFS('12_MODELO'!BM$2:BM$97,'12_MODELO'!B$2:B$97,'01_PAINEL'!$C$6,'12_MODELO'!A$2:A$97,H$6)</f>
        <v>-549665.1422906669</v>
      </c>
      <c r="I21" s="6">
        <f>SUMIFS('12_MODELO'!BM$2:BM$97,'12_MODELO'!B$2:B$97,'01_PAINEL'!$C$6,'12_MODELO'!A$2:A$97,I$6)</f>
        <v>-252377.63420700026</v>
      </c>
      <c r="J21" s="6">
        <f>SUMIFS('12_MODELO'!BM$2:BM$97,'12_MODELO'!B$2:B$97,'01_PAINEL'!$C$6,'12_MODELO'!A$2:A$97,J$6)</f>
        <v>-52526.85487900046</v>
      </c>
      <c r="K21" s="6">
        <f>SUMIFS('12_MODELO'!BM$2:BM$97,'12_MODELO'!B$2:B$97,'01_PAINEL'!$C$6,'12_MODELO'!A$2:A$97,K$6)</f>
        <v>194486.24424499949</v>
      </c>
      <c r="L21" s="6">
        <f>SUMIFS('12_MODELO'!BM$2:BM$97,'12_MODELO'!B$2:B$97,'01_PAINEL'!$C$6,'12_MODELO'!A$2:A$97,L$6)</f>
        <v>-456533.91288666683</v>
      </c>
      <c r="M21" s="6">
        <f>SUMIFS('12_MODELO'!BM$2:BM$97,'12_MODELO'!B$2:B$97,'01_PAINEL'!$C$6,'12_MODELO'!A$2:A$97,M$6)</f>
        <v>-53243.66402433347</v>
      </c>
      <c r="N21" s="6">
        <f>SUMIFS('12_MODELO'!BM$2:BM$97,'12_MODELO'!B$2:B$97,'01_PAINEL'!$C$6,'12_MODELO'!A$2:A$97,N$6)</f>
        <v>-282255.5938990002</v>
      </c>
      <c r="O21" s="10">
        <f>N21</f>
        <v>-282255.5938990002</v>
      </c>
    </row>
    <row r="22" spans="2:15">
      <c r="B22" s="11" t="s">
        <v>127</v>
      </c>
      <c r="C22" s="6">
        <f>SUMIFS('12_MODELO'!BK$2:BK$97,'12_MODELO'!B$2:B$97,'01_PAINEL'!$C$6,'12_MODELO'!A$2:A$97,C$6)</f>
        <v>-107085.50377133326</v>
      </c>
      <c r="D22" s="6">
        <f>SUMIFS('12_MODELO'!BK$2:BK$97,'12_MODELO'!B$2:B$97,'01_PAINEL'!$C$6,'12_MODELO'!A$2:A$97,D$6)</f>
        <v>-35036.64165566646</v>
      </c>
      <c r="E22" s="6">
        <f>SUMIFS('12_MODELO'!BK$2:BK$97,'12_MODELO'!B$2:B$97,'01_PAINEL'!$C$6,'12_MODELO'!A$2:A$97,E$6)</f>
        <v>-421929.88080266747</v>
      </c>
      <c r="F22" s="6">
        <f>SUMIFS('12_MODELO'!BK$2:BK$97,'12_MODELO'!B$2:B$97,'01_PAINEL'!$C$6,'12_MODELO'!A$2:A$97,F$6)</f>
        <v>15862.769678667377</v>
      </c>
      <c r="G22" s="6">
        <f>SUMIFS('12_MODELO'!BK$2:BK$97,'12_MODELO'!B$2:B$97,'01_PAINEL'!$C$6,'12_MODELO'!A$2:A$97,G$6)</f>
        <v>-93311.5130420003</v>
      </c>
      <c r="H22" s="6">
        <f>SUMIFS('12_MODELO'!BK$2:BK$97,'12_MODELO'!B$2:B$97,'01_PAINEL'!$C$6,'12_MODELO'!A$2:A$97,H$6)</f>
        <v>-57556.88266633319</v>
      </c>
      <c r="I22" s="6">
        <f>SUMIFS('12_MODELO'!BK$2:BK$97,'12_MODELO'!B$2:B$97,'01_PAINEL'!$C$6,'12_MODELO'!A$2:A$97,I$6)</f>
        <v>-297287.5080836667</v>
      </c>
      <c r="J22" s="6">
        <f>SUMIFS('12_MODELO'!BK$2:BK$97,'12_MODELO'!B$2:B$97,'01_PAINEL'!$C$6,'12_MODELO'!A$2:A$97,J$6)</f>
        <v>-199850.77932799986</v>
      </c>
      <c r="K22" s="6">
        <f>SUMIFS('12_MODELO'!BK$2:BK$97,'12_MODELO'!B$2:B$97,'01_PAINEL'!$C$6,'12_MODELO'!A$2:A$97,K$6)</f>
        <v>-247013.099124</v>
      </c>
      <c r="L22" s="6">
        <f>SUMIFS('12_MODELO'!BK$2:BK$97,'12_MODELO'!B$2:B$97,'01_PAINEL'!$C$6,'12_MODELO'!A$2:A$97,L$6)</f>
        <v>651020.1571316663</v>
      </c>
      <c r="M22" s="6">
        <f>SUMIFS('12_MODELO'!BK$2:BK$97,'12_MODELO'!B$2:B$97,'01_PAINEL'!$C$6,'12_MODELO'!A$2:A$97,M$6)</f>
        <v>-403290.24886233336</v>
      </c>
      <c r="N22" s="6">
        <f>SUMIFS('12_MODELO'!BK$2:BK$97,'12_MODELO'!B$2:B$97,'01_PAINEL'!$C$6,'12_MODELO'!A$2:A$97,N$6)</f>
        <v>229011.9298746668</v>
      </c>
      <c r="O22" s="10">
        <f>SUM(C22:N22)</f>
        <v>-966467.2006510001</v>
      </c>
    </row>
    <row r="23" spans="2:15">
      <c r="B23" s="11" t="s">
        <v>957</v>
      </c>
      <c r="C23" s="9">
        <f>IFERROR((SUMIFS('12_MODELO'!E$2:E$97,'12_MODELO'!B$2:B$97,'01_PAINEL'!$C$6,'12_MODELO'!A$2:A$97,C$6)-SUMIFS('12_MODELO'!E$2:E$97,'12_MODELO'!B$2:B$97,IF(OR('01_PAINEL'!$F$6=2026,'01_PAINEL'!$C$6="Forecast 6+6"),"Realizado",'01_PAINEL'!$C$6),'12_MODELO'!A$2:A$97,EDATE(C$6,-12)))/ABS(SUMIFS('12_MODELO'!E$2:E$97,'12_MODELO'!B$2:B$97,IF(OR('01_PAINEL'!$F$6=2026,'01_PAINEL'!$C$6="Forecast 6+6"),"Realizado",'01_PAINEL'!$C$6),'12_MODELO'!A$2:A$97,EDATE(C$6,-12))),"")</f>
        <v>0.23759388166734594</v>
      </c>
      <c r="D23" s="9">
        <f>IFERROR((SUMIFS('12_MODELO'!E$2:E$97,'12_MODELO'!B$2:B$97,'01_PAINEL'!$C$6,'12_MODELO'!A$2:A$97,D$6)-SUMIFS('12_MODELO'!E$2:E$97,'12_MODELO'!B$2:B$97,IF(OR('01_PAINEL'!$F$6=2026,'01_PAINEL'!$C$6="Forecast 6+6"),"Realizado",'01_PAINEL'!$C$6),'12_MODELO'!A$2:A$97,EDATE(D$6,-12)))/ABS(SUMIFS('12_MODELO'!E$2:E$97,'12_MODELO'!B$2:B$97,IF(OR('01_PAINEL'!$F$6=2026,'01_PAINEL'!$C$6="Forecast 6+6"),"Realizado",'01_PAINEL'!$C$6),'12_MODELO'!A$2:A$97,EDATE(D$6,-12))),"")</f>
        <v>0.20931496186120674</v>
      </c>
      <c r="E23" s="9">
        <f>IFERROR((SUMIFS('12_MODELO'!E$2:E$97,'12_MODELO'!B$2:B$97,'01_PAINEL'!$C$6,'12_MODELO'!A$2:A$97,E$6)-SUMIFS('12_MODELO'!E$2:E$97,'12_MODELO'!B$2:B$97,IF(OR('01_PAINEL'!$F$6=2026,'01_PAINEL'!$C$6="Forecast 6+6"),"Realizado",'01_PAINEL'!$C$6),'12_MODELO'!A$2:A$97,EDATE(E$6,-12)))/ABS(SUMIFS('12_MODELO'!E$2:E$97,'12_MODELO'!B$2:B$97,IF(OR('01_PAINEL'!$F$6=2026,'01_PAINEL'!$C$6="Forecast 6+6"),"Realizado",'01_PAINEL'!$C$6),'12_MODELO'!A$2:A$97,EDATE(E$6,-12))),"")</f>
        <v>0.22016521173293593</v>
      </c>
      <c r="F23" s="9">
        <f>IFERROR((SUMIFS('12_MODELO'!E$2:E$97,'12_MODELO'!B$2:B$97,'01_PAINEL'!$C$6,'12_MODELO'!A$2:A$97,F$6)-SUMIFS('12_MODELO'!E$2:E$97,'12_MODELO'!B$2:B$97,IF(OR('01_PAINEL'!$F$6=2026,'01_PAINEL'!$C$6="Forecast 6+6"),"Realizado",'01_PAINEL'!$C$6),'12_MODELO'!A$2:A$97,EDATE(F$6,-12)))/ABS(SUMIFS('12_MODELO'!E$2:E$97,'12_MODELO'!B$2:B$97,IF(OR('01_PAINEL'!$F$6=2026,'01_PAINEL'!$C$6="Forecast 6+6"),"Realizado",'01_PAINEL'!$C$6),'12_MODELO'!A$2:A$97,EDATE(F$6,-12))),"")</f>
        <v>0.21448876158289296</v>
      </c>
      <c r="G23" s="9">
        <f>IFERROR((SUMIFS('12_MODELO'!E$2:E$97,'12_MODELO'!B$2:B$97,'01_PAINEL'!$C$6,'12_MODELO'!A$2:A$97,G$6)-SUMIFS('12_MODELO'!E$2:E$97,'12_MODELO'!B$2:B$97,IF(OR('01_PAINEL'!$F$6=2026,'01_PAINEL'!$C$6="Forecast 6+6"),"Realizado",'01_PAINEL'!$C$6),'12_MODELO'!A$2:A$97,EDATE(G$6,-12)))/ABS(SUMIFS('12_MODELO'!E$2:E$97,'12_MODELO'!B$2:B$97,IF(OR('01_PAINEL'!$F$6=2026,'01_PAINEL'!$C$6="Forecast 6+6"),"Realizado",'01_PAINEL'!$C$6),'12_MODELO'!A$2:A$97,EDATE(G$6,-12))),"")</f>
        <v>0.22228460441235676</v>
      </c>
      <c r="H23" s="9">
        <f>IFERROR((SUMIFS('12_MODELO'!E$2:E$97,'12_MODELO'!B$2:B$97,'01_PAINEL'!$C$6,'12_MODELO'!A$2:A$97,H$6)-SUMIFS('12_MODELO'!E$2:E$97,'12_MODELO'!B$2:B$97,IF(OR('01_PAINEL'!$F$6=2026,'01_PAINEL'!$C$6="Forecast 6+6"),"Realizado",'01_PAINEL'!$C$6),'12_MODELO'!A$2:A$97,EDATE(H$6,-12)))/ABS(SUMIFS('12_MODELO'!E$2:E$97,'12_MODELO'!B$2:B$97,IF(OR('01_PAINEL'!$F$6=2026,'01_PAINEL'!$C$6="Forecast 6+6"),"Realizado",'01_PAINEL'!$C$6),'12_MODELO'!A$2:A$97,EDATE(H$6,-12))),"")</f>
        <v>0.1978279022816166</v>
      </c>
      <c r="I23" s="9">
        <f>IFERROR((SUMIFS('12_MODELO'!E$2:E$97,'12_MODELO'!B$2:B$97,'01_PAINEL'!$C$6,'12_MODELO'!A$2:A$97,I$6)-SUMIFS('12_MODELO'!E$2:E$97,'12_MODELO'!B$2:B$97,IF(OR('01_PAINEL'!$F$6=2026,'01_PAINEL'!$C$6="Forecast 6+6"),"Realizado",'01_PAINEL'!$C$6),'12_MODELO'!A$2:A$97,EDATE(I$6,-12)))/ABS(SUMIFS('12_MODELO'!E$2:E$97,'12_MODELO'!B$2:B$97,IF(OR('01_PAINEL'!$F$6=2026,'01_PAINEL'!$C$6="Forecast 6+6"),"Realizado",'01_PAINEL'!$C$6),'12_MODELO'!A$2:A$97,EDATE(I$6,-12))),"")</f>
        <v>0.11390594180608808</v>
      </c>
      <c r="J23" s="9">
        <f>IFERROR((SUMIFS('12_MODELO'!E$2:E$97,'12_MODELO'!B$2:B$97,'01_PAINEL'!$C$6,'12_MODELO'!A$2:A$97,J$6)-SUMIFS('12_MODELO'!E$2:E$97,'12_MODELO'!B$2:B$97,IF(OR('01_PAINEL'!$F$6=2026,'01_PAINEL'!$C$6="Forecast 6+6"),"Realizado",'01_PAINEL'!$C$6),'12_MODELO'!A$2:A$97,EDATE(J$6,-12)))/ABS(SUMIFS('12_MODELO'!E$2:E$97,'12_MODELO'!B$2:B$97,IF(OR('01_PAINEL'!$F$6=2026,'01_PAINEL'!$C$6="Forecast 6+6"),"Realizado",'01_PAINEL'!$C$6),'12_MODELO'!A$2:A$97,EDATE(J$6,-12))),"")</f>
        <v>0.1066967636432823</v>
      </c>
      <c r="K23" s="9">
        <f>IFERROR((SUMIFS('12_MODELO'!E$2:E$97,'12_MODELO'!B$2:B$97,'01_PAINEL'!$C$6,'12_MODELO'!A$2:A$97,K$6)-SUMIFS('12_MODELO'!E$2:E$97,'12_MODELO'!B$2:B$97,IF(OR('01_PAINEL'!$F$6=2026,'01_PAINEL'!$C$6="Forecast 6+6"),"Realizado",'01_PAINEL'!$C$6),'12_MODELO'!A$2:A$97,EDATE(K$6,-12)))/ABS(SUMIFS('12_MODELO'!E$2:E$97,'12_MODELO'!B$2:B$97,IF(OR('01_PAINEL'!$F$6=2026,'01_PAINEL'!$C$6="Forecast 6+6"),"Realizado",'01_PAINEL'!$C$6),'12_MODELO'!A$2:A$97,EDATE(K$6,-12))),"")</f>
        <v>0.1364454181788727</v>
      </c>
      <c r="L23" s="9">
        <f>IFERROR((SUMIFS('12_MODELO'!E$2:E$97,'12_MODELO'!B$2:B$97,'01_PAINEL'!$C$6,'12_MODELO'!A$2:A$97,L$6)-SUMIFS('12_MODELO'!E$2:E$97,'12_MODELO'!B$2:B$97,IF(OR('01_PAINEL'!$F$6=2026,'01_PAINEL'!$C$6="Forecast 6+6"),"Realizado",'01_PAINEL'!$C$6),'12_MODELO'!A$2:A$97,EDATE(L$6,-12)))/ABS(SUMIFS('12_MODELO'!E$2:E$97,'12_MODELO'!B$2:B$97,IF(OR('01_PAINEL'!$F$6=2026,'01_PAINEL'!$C$6="Forecast 6+6"),"Realizado",'01_PAINEL'!$C$6),'12_MODELO'!A$2:A$97,EDATE(L$6,-12))),"")</f>
        <v>0.1642469611104169</v>
      </c>
      <c r="M23" s="9">
        <f>IFERROR((SUMIFS('12_MODELO'!E$2:E$97,'12_MODELO'!B$2:B$97,'01_PAINEL'!$C$6,'12_MODELO'!A$2:A$97,M$6)-SUMIFS('12_MODELO'!E$2:E$97,'12_MODELO'!B$2:B$97,IF(OR('01_PAINEL'!$F$6=2026,'01_PAINEL'!$C$6="Forecast 6+6"),"Realizado",'01_PAINEL'!$C$6),'12_MODELO'!A$2:A$97,EDATE(M$6,-12)))/ABS(SUMIFS('12_MODELO'!E$2:E$97,'12_MODELO'!B$2:B$97,IF(OR('01_PAINEL'!$F$6=2026,'01_PAINEL'!$C$6="Forecast 6+6"),"Realizado",'01_PAINEL'!$C$6),'12_MODELO'!A$2:A$97,EDATE(M$6,-12))),"")</f>
        <v>0.21270923917985443</v>
      </c>
      <c r="N23" s="9">
        <f>IFERROR((SUMIFS('12_MODELO'!E$2:E$97,'12_MODELO'!B$2:B$97,'01_PAINEL'!$C$6,'12_MODELO'!A$2:A$97,N$6)-SUMIFS('12_MODELO'!E$2:E$97,'12_MODELO'!B$2:B$97,IF(OR('01_PAINEL'!$F$6=2026,'01_PAINEL'!$C$6="Forecast 6+6"),"Realizado",'01_PAINEL'!$C$6),'12_MODELO'!A$2:A$97,EDATE(N$6,-12)))/ABS(SUMIFS('12_MODELO'!E$2:E$97,'12_MODELO'!B$2:B$97,IF(OR('01_PAINEL'!$F$6=2026,'01_PAINEL'!$C$6="Forecast 6+6"),"Realizado",'01_PAINEL'!$C$6),'12_MODELO'!A$2:A$97,EDATE(N$6,-12))),"")</f>
        <v>0.22682207340508262</v>
      </c>
      <c r="O23" s="9">
        <f>IFERROR((SUMIFS('12_MODELO'!E$2:E$97,'12_MODELO'!B$2:B$97,'01_PAINEL'!$C$6,'12_MODELO'!A$2:A$97,"&gt;="&amp;DATE('01_PAINEL'!$F$6,1,1),'12_MODELO'!A$2:A$97,"&lt;="&amp;DATE('01_PAINEL'!$F$6,12,1))-SUMIFS('12_MODELO'!E$2:E$97,'12_MODELO'!B$2:B$97,IF(OR('01_PAINEL'!$F$6=2026,'01_PAINEL'!$C$6="Forecast 6+6"),"Realizado",'01_PAINEL'!$C$6),'12_MODELO'!A$2:A$97,"&gt;="&amp;DATE(('01_PAINEL'!$F$6-1),1,1),'12_MODELO'!A$2:A$97,"&lt;="&amp;DATE(('01_PAINEL'!$F$6-1),12,1)))/ABS(SUMIFS('12_MODELO'!E$2:E$97,'12_MODELO'!B$2:B$97,IF(OR('01_PAINEL'!$F$6=2026,'01_PAINEL'!$C$6="Forecast 6+6"),"Realizado",'01_PAINEL'!$C$6),'12_MODELO'!A$2:A$97,"&gt;="&amp;DATE(('01_PAINEL'!$F$6-1),1,1),'12_MODELO'!A$2:A$97,"&lt;="&amp;DATE(('01_PAINEL'!$F$6-1),12,1))),"")</f>
        <v>0.18848600486015282</v>
      </c>
    </row>
    <row r="24" spans="2:15">
      <c r="B24" s="11" t="s">
        <v>958</v>
      </c>
      <c r="C24" s="9">
        <f>IFERROR((SUMIFS('12_MODELO'!E$2:E$97,'12_MODELO'!B$2:B$97,'01_PAINEL'!$C$6,'12_MODELO'!A$2:A$97,C$6)-SUMIFS('12_MODELO'!E$2:E$97,'12_MODELO'!B$2:B$97,IF(OR('01_PAINEL'!$F$6=2026,'01_PAINEL'!$C$6="Forecast 6+6"),"Realizado",'01_PAINEL'!$C$6),'12_MODELO'!A$2:A$97,EDATE(C$6,-1)))/ABS(SUMIFS('12_MODELO'!E$2:E$97,'12_MODELO'!B$2:B$97,IF(OR('01_PAINEL'!$F$6=2026,'01_PAINEL'!$C$6="Forecast 6+6"),"Realizado",'01_PAINEL'!$C$6),'12_MODELO'!A$2:A$97,EDATE(C$6,-1))),"")</f>
        <v>-0.1669138176358476</v>
      </c>
      <c r="D24" s="9">
        <f>IFERROR((SUMIFS('12_MODELO'!E$2:E$97,'12_MODELO'!B$2:B$97,'01_PAINEL'!$C$6,'12_MODELO'!A$2:A$97,D$6)-SUMIFS('12_MODELO'!E$2:E$97,'12_MODELO'!B$2:B$97,'01_PAINEL'!$C$6,'12_MODELO'!A$2:A$97,EDATE(D$6,-1)))/ABS(SUMIFS('12_MODELO'!E$2:E$97,'12_MODELO'!B$2:B$97,'01_PAINEL'!$C$6,'12_MODELO'!A$2:A$97,EDATE(D$6,-1))),"")</f>
        <v>0.022274745511323326</v>
      </c>
      <c r="E24" s="9">
        <f>IFERROR((SUMIFS('12_MODELO'!E$2:E$97,'12_MODELO'!B$2:B$97,'01_PAINEL'!$C$6,'12_MODELO'!A$2:A$97,E$6)-SUMIFS('12_MODELO'!E$2:E$97,'12_MODELO'!B$2:B$97,'01_PAINEL'!$C$6,'12_MODELO'!A$2:A$97,EDATE(E$6,-1)))/ABS(SUMIFS('12_MODELO'!E$2:E$97,'12_MODELO'!B$2:B$97,'01_PAINEL'!$C$6,'12_MODELO'!A$2:A$97,EDATE(E$6,-1))),"")</f>
        <v>0.18119789679170384</v>
      </c>
      <c r="F24" s="9">
        <f>IFERROR((SUMIFS('12_MODELO'!E$2:E$97,'12_MODELO'!B$2:B$97,'01_PAINEL'!$C$6,'12_MODELO'!A$2:A$97,F$6)-SUMIFS('12_MODELO'!E$2:E$97,'12_MODELO'!B$2:B$97,'01_PAINEL'!$C$6,'12_MODELO'!A$2:A$97,EDATE(F$6,-1)))/ABS(SUMIFS('12_MODELO'!E$2:E$97,'12_MODELO'!B$2:B$97,'01_PAINEL'!$C$6,'12_MODELO'!A$2:A$97,EDATE(F$6,-1))),"")</f>
        <v>-0.00406910138290434</v>
      </c>
      <c r="G24" s="9">
        <f>IFERROR((SUMIFS('12_MODELO'!E$2:E$97,'12_MODELO'!B$2:B$97,'01_PAINEL'!$C$6,'12_MODELO'!A$2:A$97,G$6)-SUMIFS('12_MODELO'!E$2:E$97,'12_MODELO'!B$2:B$97,'01_PAINEL'!$C$6,'12_MODELO'!A$2:A$97,EDATE(G$6,-1)))/ABS(SUMIFS('12_MODELO'!E$2:E$97,'12_MODELO'!B$2:B$97,'01_PAINEL'!$C$6,'12_MODELO'!A$2:A$97,EDATE(G$6,-1))),"")</f>
        <v>0.04723068792986532</v>
      </c>
      <c r="H24" s="9">
        <f>IFERROR((SUMIFS('12_MODELO'!E$2:E$97,'12_MODELO'!B$2:B$97,'01_PAINEL'!$C$6,'12_MODELO'!A$2:A$97,H$6)-SUMIFS('12_MODELO'!E$2:E$97,'12_MODELO'!B$2:B$97,'01_PAINEL'!$C$6,'12_MODELO'!A$2:A$97,EDATE(H$6,-1)))/ABS(SUMIFS('12_MODELO'!E$2:E$97,'12_MODELO'!B$2:B$97,'01_PAINEL'!$C$6,'12_MODELO'!A$2:A$97,EDATE(H$6,-1))),"")</f>
        <v>0.01481876123253335</v>
      </c>
      <c r="I24" s="9">
        <f>IFERROR((SUMIFS('12_MODELO'!E$2:E$97,'12_MODELO'!B$2:B$97,'01_PAINEL'!$C$6,'12_MODELO'!A$2:A$97,I$6)-SUMIFS('12_MODELO'!E$2:E$97,'12_MODELO'!B$2:B$97,'01_PAINEL'!$C$6,'12_MODELO'!A$2:A$97,EDATE(I$6,-1)))/ABS(SUMIFS('12_MODELO'!E$2:E$97,'12_MODELO'!B$2:B$97,'01_PAINEL'!$C$6,'12_MODELO'!A$2:A$97,EDATE(I$6,-1))),"")</f>
        <v>-0.1793471247405375</v>
      </c>
      <c r="J24" s="9">
        <f>IFERROR((SUMIFS('12_MODELO'!E$2:E$97,'12_MODELO'!B$2:B$97,'01_PAINEL'!$C$6,'12_MODELO'!A$2:A$97,J$6)-SUMIFS('12_MODELO'!E$2:E$97,'12_MODELO'!B$2:B$97,'01_PAINEL'!$C$6,'12_MODELO'!A$2:A$97,EDATE(J$6,-1)))/ABS(SUMIFS('12_MODELO'!E$2:E$97,'12_MODELO'!B$2:B$97,'01_PAINEL'!$C$6,'12_MODELO'!A$2:A$97,EDATE(J$6,-1))),"")</f>
        <v>0.07564931325815519</v>
      </c>
      <c r="K24" s="9">
        <f>IFERROR((SUMIFS('12_MODELO'!E$2:E$97,'12_MODELO'!B$2:B$97,'01_PAINEL'!$C$6,'12_MODELO'!A$2:A$97,K$6)-SUMIFS('12_MODELO'!E$2:E$97,'12_MODELO'!B$2:B$97,'01_PAINEL'!$C$6,'12_MODELO'!A$2:A$97,EDATE(K$6,-1)))/ABS(SUMIFS('12_MODELO'!E$2:E$97,'12_MODELO'!B$2:B$97,'01_PAINEL'!$C$6,'12_MODELO'!A$2:A$97,EDATE(K$6,-1))),"")</f>
        <v>0.06673611393242818</v>
      </c>
      <c r="L24" s="9">
        <f>IFERROR((SUMIFS('12_MODELO'!E$2:E$97,'12_MODELO'!B$2:B$97,'01_PAINEL'!$C$6,'12_MODELO'!A$2:A$97,L$6)-SUMIFS('12_MODELO'!E$2:E$97,'12_MODELO'!B$2:B$97,'01_PAINEL'!$C$6,'12_MODELO'!A$2:A$97,EDATE(L$6,-1)))/ABS(SUMIFS('12_MODELO'!E$2:E$97,'12_MODELO'!B$2:B$97,'01_PAINEL'!$C$6,'12_MODELO'!A$2:A$97,EDATE(L$6,-1))),"")</f>
        <v>0.12320518416311238</v>
      </c>
      <c r="M24" s="9">
        <f>IFERROR((SUMIFS('12_MODELO'!E$2:E$97,'12_MODELO'!B$2:B$97,'01_PAINEL'!$C$6,'12_MODELO'!A$2:A$97,M$6)-SUMIFS('12_MODELO'!E$2:E$97,'12_MODELO'!B$2:B$97,'01_PAINEL'!$C$6,'12_MODELO'!A$2:A$97,EDATE(M$6,-1)))/ABS(SUMIFS('12_MODELO'!E$2:E$97,'12_MODELO'!B$2:B$97,'01_PAINEL'!$C$6,'12_MODELO'!A$2:A$97,EDATE(M$6,-1))),"")</f>
        <v>0.17251140527102352</v>
      </c>
      <c r="N24" s="9">
        <f>IFERROR((SUMIFS('12_MODELO'!E$2:E$97,'12_MODELO'!B$2:B$97,'01_PAINEL'!$C$6,'12_MODELO'!A$2:A$97,N$6)-SUMIFS('12_MODELO'!E$2:E$97,'12_MODELO'!B$2:B$97,'01_PAINEL'!$C$6,'12_MODELO'!A$2:A$97,EDATE(N$6,-1)))/ABS(SUMIFS('12_MODELO'!E$2:E$97,'12_MODELO'!B$2:B$97,'01_PAINEL'!$C$6,'12_MODELO'!A$2:A$97,EDATE(N$6,-1))),"")</f>
        <v>-0.07086691341758083</v>
      </c>
      <c r="O24" s="9">
        <f>""</f>
        <v/>
      </c>
    </row>
    <row r="25" spans="2:15">
      <c r="B25" s="11" t="s">
        <v>959</v>
      </c>
      <c r="C25" s="9">
        <f>IFERROR((SUMIFS('12_MODELO'!N$2:N$97,'12_MODELO'!B$2:B$97,'01_PAINEL'!$C$6,'12_MODELO'!A$2:A$97,C$6)-SUMIFS('12_MODELO'!N$2:N$97,'12_MODELO'!B$2:B$97,IF(OR('01_PAINEL'!$F$6=2026,'01_PAINEL'!$C$6="Forecast 6+6"),"Realizado",'01_PAINEL'!$C$6),'12_MODELO'!A$2:A$97,EDATE(C$6,-12)))/ABS(SUMIFS('12_MODELO'!N$2:N$97,'12_MODELO'!B$2:B$97,IF(OR('01_PAINEL'!$F$6=2026,'01_PAINEL'!$C$6="Forecast 6+6"),"Realizado",'01_PAINEL'!$C$6),'12_MODELO'!A$2:A$97,EDATE(C$6,-12))),"")</f>
        <v>0.07393764235345461</v>
      </c>
      <c r="D25" s="9">
        <f>IFERROR((SUMIFS('12_MODELO'!N$2:N$97,'12_MODELO'!B$2:B$97,'01_PAINEL'!$C$6,'12_MODELO'!A$2:A$97,D$6)-SUMIFS('12_MODELO'!N$2:N$97,'12_MODELO'!B$2:B$97,IF(OR('01_PAINEL'!$F$6=2026,'01_PAINEL'!$C$6="Forecast 6+6"),"Realizado",'01_PAINEL'!$C$6),'12_MODELO'!A$2:A$97,EDATE(D$6,-12)))/ABS(SUMIFS('12_MODELO'!N$2:N$97,'12_MODELO'!B$2:B$97,IF(OR('01_PAINEL'!$F$6=2026,'01_PAINEL'!$C$6="Forecast 6+6"),"Realizado",'01_PAINEL'!$C$6),'12_MODELO'!A$2:A$97,EDATE(D$6,-12))),"")</f>
        <v>-0.06883383115780364</v>
      </c>
      <c r="E25" s="9">
        <f>IFERROR((SUMIFS('12_MODELO'!N$2:N$97,'12_MODELO'!B$2:B$97,'01_PAINEL'!$C$6,'12_MODELO'!A$2:A$97,E$6)-SUMIFS('12_MODELO'!N$2:N$97,'12_MODELO'!B$2:B$97,IF(OR('01_PAINEL'!$F$6=2026,'01_PAINEL'!$C$6="Forecast 6+6"),"Realizado",'01_PAINEL'!$C$6),'12_MODELO'!A$2:A$97,EDATE(E$6,-12)))/ABS(SUMIFS('12_MODELO'!N$2:N$97,'12_MODELO'!B$2:B$97,IF(OR('01_PAINEL'!$F$6=2026,'01_PAINEL'!$C$6="Forecast 6+6"),"Realizado",'01_PAINEL'!$C$6),'12_MODELO'!A$2:A$97,EDATE(E$6,-12))),"")</f>
        <v>0.005993138294911162</v>
      </c>
      <c r="F25" s="9">
        <f>IFERROR((SUMIFS('12_MODELO'!N$2:N$97,'12_MODELO'!B$2:B$97,'01_PAINEL'!$C$6,'12_MODELO'!A$2:A$97,F$6)-SUMIFS('12_MODELO'!N$2:N$97,'12_MODELO'!B$2:B$97,IF(OR('01_PAINEL'!$F$6=2026,'01_PAINEL'!$C$6="Forecast 6+6"),"Realizado",'01_PAINEL'!$C$6),'12_MODELO'!A$2:A$97,EDATE(F$6,-12)))/ABS(SUMIFS('12_MODELO'!N$2:N$97,'12_MODELO'!B$2:B$97,IF(OR('01_PAINEL'!$F$6=2026,'01_PAINEL'!$C$6="Forecast 6+6"),"Realizado",'01_PAINEL'!$C$6),'12_MODELO'!A$2:A$97,EDATE(F$6,-12))),"")</f>
        <v>-0.3805331507203224</v>
      </c>
      <c r="G25" s="9">
        <f>IFERROR((SUMIFS('12_MODELO'!N$2:N$97,'12_MODELO'!B$2:B$97,'01_PAINEL'!$C$6,'12_MODELO'!A$2:A$97,G$6)-SUMIFS('12_MODELO'!N$2:N$97,'12_MODELO'!B$2:B$97,IF(OR('01_PAINEL'!$F$6=2026,'01_PAINEL'!$C$6="Forecast 6+6"),"Realizado",'01_PAINEL'!$C$6),'12_MODELO'!A$2:A$97,EDATE(G$6,-12)))/ABS(SUMIFS('12_MODELO'!N$2:N$97,'12_MODELO'!B$2:B$97,IF(OR('01_PAINEL'!$F$6=2026,'01_PAINEL'!$C$6="Forecast 6+6"),"Realizado",'01_PAINEL'!$C$6),'12_MODELO'!A$2:A$97,EDATE(G$6,-12))),"")</f>
        <v>-0.27448688527920706</v>
      </c>
      <c r="H25" s="9">
        <f>IFERROR((SUMIFS('12_MODELO'!N$2:N$97,'12_MODELO'!B$2:B$97,'01_PAINEL'!$C$6,'12_MODELO'!A$2:A$97,H$6)-SUMIFS('12_MODELO'!N$2:N$97,'12_MODELO'!B$2:B$97,IF(OR('01_PAINEL'!$F$6=2026,'01_PAINEL'!$C$6="Forecast 6+6"),"Realizado",'01_PAINEL'!$C$6),'12_MODELO'!A$2:A$97,EDATE(H$6,-12)))/ABS(SUMIFS('12_MODELO'!N$2:N$97,'12_MODELO'!B$2:B$97,IF(OR('01_PAINEL'!$F$6=2026,'01_PAINEL'!$C$6="Forecast 6+6"),"Realizado",'01_PAINEL'!$C$6),'12_MODELO'!A$2:A$97,EDATE(H$6,-12))),"")</f>
        <v>-0.011090030327728631</v>
      </c>
      <c r="I25" s="9">
        <f>IFERROR((SUMIFS('12_MODELO'!N$2:N$97,'12_MODELO'!B$2:B$97,'01_PAINEL'!$C$6,'12_MODELO'!A$2:A$97,I$6)-SUMIFS('12_MODELO'!N$2:N$97,'12_MODELO'!B$2:B$97,IF(OR('01_PAINEL'!$F$6=2026,'01_PAINEL'!$C$6="Forecast 6+6"),"Realizado",'01_PAINEL'!$C$6),'12_MODELO'!A$2:A$97,EDATE(I$6,-12)))/ABS(SUMIFS('12_MODELO'!N$2:N$97,'12_MODELO'!B$2:B$97,IF(OR('01_PAINEL'!$F$6=2026,'01_PAINEL'!$C$6="Forecast 6+6"),"Realizado",'01_PAINEL'!$C$6),'12_MODELO'!A$2:A$97,EDATE(I$6,-12))),"")</f>
        <v>-0.18574720531439656</v>
      </c>
      <c r="J25" s="9">
        <f>IFERROR((SUMIFS('12_MODELO'!N$2:N$97,'12_MODELO'!B$2:B$97,'01_PAINEL'!$C$6,'12_MODELO'!A$2:A$97,J$6)-SUMIFS('12_MODELO'!N$2:N$97,'12_MODELO'!B$2:B$97,IF(OR('01_PAINEL'!$F$6=2026,'01_PAINEL'!$C$6="Forecast 6+6"),"Realizado",'01_PAINEL'!$C$6),'12_MODELO'!A$2:A$97,EDATE(J$6,-12)))/ABS(SUMIFS('12_MODELO'!N$2:N$97,'12_MODELO'!B$2:B$97,IF(OR('01_PAINEL'!$F$6=2026,'01_PAINEL'!$C$6="Forecast 6+6"),"Realizado",'01_PAINEL'!$C$6),'12_MODELO'!A$2:A$97,EDATE(J$6,-12))),"")</f>
        <v>-0.1854335396571552</v>
      </c>
      <c r="K25" s="9">
        <f>IFERROR((SUMIFS('12_MODELO'!N$2:N$97,'12_MODELO'!B$2:B$97,'01_PAINEL'!$C$6,'12_MODELO'!A$2:A$97,K$6)-SUMIFS('12_MODELO'!N$2:N$97,'12_MODELO'!B$2:B$97,IF(OR('01_PAINEL'!$F$6=2026,'01_PAINEL'!$C$6="Forecast 6+6"),"Realizado",'01_PAINEL'!$C$6),'12_MODELO'!A$2:A$97,EDATE(K$6,-12)))/ABS(SUMIFS('12_MODELO'!N$2:N$97,'12_MODELO'!B$2:B$97,IF(OR('01_PAINEL'!$F$6=2026,'01_PAINEL'!$C$6="Forecast 6+6"),"Realizado",'01_PAINEL'!$C$6),'12_MODELO'!A$2:A$97,EDATE(K$6,-12))),"")</f>
        <v>-0.09388155297904408</v>
      </c>
      <c r="L25" s="9">
        <f>IFERROR((SUMIFS('12_MODELO'!N$2:N$97,'12_MODELO'!B$2:B$97,'01_PAINEL'!$C$6,'12_MODELO'!A$2:A$97,L$6)-SUMIFS('12_MODELO'!N$2:N$97,'12_MODELO'!B$2:B$97,IF(OR('01_PAINEL'!$F$6=2026,'01_PAINEL'!$C$6="Forecast 6+6"),"Realizado",'01_PAINEL'!$C$6),'12_MODELO'!A$2:A$97,EDATE(L$6,-12)))/ABS(SUMIFS('12_MODELO'!N$2:N$97,'12_MODELO'!B$2:B$97,IF(OR('01_PAINEL'!$F$6=2026,'01_PAINEL'!$C$6="Forecast 6+6"),"Realizado",'01_PAINEL'!$C$6),'12_MODELO'!A$2:A$97,EDATE(L$6,-12))),"")</f>
        <v>-0.06224105830236227</v>
      </c>
      <c r="M25" s="9">
        <f>IFERROR((SUMIFS('12_MODELO'!N$2:N$97,'12_MODELO'!B$2:B$97,'01_PAINEL'!$C$6,'12_MODELO'!A$2:A$97,M$6)-SUMIFS('12_MODELO'!N$2:N$97,'12_MODELO'!B$2:B$97,IF(OR('01_PAINEL'!$F$6=2026,'01_PAINEL'!$C$6="Forecast 6+6"),"Realizado",'01_PAINEL'!$C$6),'12_MODELO'!A$2:A$97,EDATE(M$6,-12)))/ABS(SUMIFS('12_MODELO'!N$2:N$97,'12_MODELO'!B$2:B$97,IF(OR('01_PAINEL'!$F$6=2026,'01_PAINEL'!$C$6="Forecast 6+6"),"Realizado",'01_PAINEL'!$C$6),'12_MODELO'!A$2:A$97,EDATE(M$6,-12))),"")</f>
        <v>0.040523445039173746</v>
      </c>
      <c r="N25" s="9">
        <f>IFERROR((SUMIFS('12_MODELO'!N$2:N$97,'12_MODELO'!B$2:B$97,'01_PAINEL'!$C$6,'12_MODELO'!A$2:A$97,N$6)-SUMIFS('12_MODELO'!N$2:N$97,'12_MODELO'!B$2:B$97,IF(OR('01_PAINEL'!$F$6=2026,'01_PAINEL'!$C$6="Forecast 6+6"),"Realizado",'01_PAINEL'!$C$6),'12_MODELO'!A$2:A$97,EDATE(N$6,-12)))/ABS(SUMIFS('12_MODELO'!N$2:N$97,'12_MODELO'!B$2:B$97,IF(OR('01_PAINEL'!$F$6=2026,'01_PAINEL'!$C$6="Forecast 6+6"),"Realizado",'01_PAINEL'!$C$6),'12_MODELO'!A$2:A$97,EDATE(N$6,-12))),"")</f>
        <v>0.05297248135878098</v>
      </c>
      <c r="O25" s="9">
        <f>IFERROR((SUMIFS('12_MODELO'!N$2:N$97,'12_MODELO'!B$2:B$97,'01_PAINEL'!$C$6,'12_MODELO'!A$2:A$97,"&gt;="&amp;DATE('01_PAINEL'!$F$6,1,1),'12_MODELO'!A$2:A$97,"&lt;="&amp;DATE('01_PAINEL'!$F$6,12,1))-SUMIFS('12_MODELO'!N$2:N$97,'12_MODELO'!B$2:B$97,IF(OR('01_PAINEL'!$F$6=2026,'01_PAINEL'!$C$6="Forecast 6+6"),"Realizado",'01_PAINEL'!$C$6),'12_MODELO'!A$2:A$97,"&gt;="&amp;DATE(('01_PAINEL'!$F$6-1),1,1),'12_MODELO'!A$2:A$97,"&lt;="&amp;DATE(('01_PAINEL'!$F$6-1),12,1)))/ABS(SUMIFS('12_MODELO'!N$2:N$97,'12_MODELO'!B$2:B$97,IF(OR('01_PAINEL'!$F$6=2026,'01_PAINEL'!$C$6="Forecast 6+6"),"Realizado",'01_PAINEL'!$C$6),'12_MODELO'!A$2:A$97,"&gt;="&amp;DATE(('01_PAINEL'!$F$6-1),1,1),'12_MODELO'!A$2:A$97,"&lt;="&amp;DATE(('01_PAINEL'!$F$6-1),12,1))),"")</f>
        <v>-0.08163337448147091</v>
      </c>
    </row>
    <row r="26" spans="2:15">
      <c r="B26" s="11" t="s">
        <v>960</v>
      </c>
      <c r="C26" s="9">
        <f>IFERROR((SUMIFS('12_MODELO'!N$2:N$97,'12_MODELO'!B$2:B$97,'01_PAINEL'!$C$6,'12_MODELO'!A$2:A$97,C$6)-SUMIFS('12_MODELO'!N$2:N$97,'12_MODELO'!B$2:B$97,IF(OR('01_PAINEL'!$F$6=2026,'01_PAINEL'!$C$6="Forecast 6+6"),"Realizado",'01_PAINEL'!$C$6),'12_MODELO'!A$2:A$97,EDATE(C$6,-1)))/ABS(SUMIFS('12_MODELO'!N$2:N$97,'12_MODELO'!B$2:B$97,IF(OR('01_PAINEL'!$F$6=2026,'01_PAINEL'!$C$6="Forecast 6+6"),"Realizado",'01_PAINEL'!$C$6),'12_MODELO'!A$2:A$97,EDATE(C$6,-1))),"")</f>
        <v>-0.6714008133778867</v>
      </c>
      <c r="D26" s="9">
        <f>IFERROR((SUMIFS('12_MODELO'!N$2:N$97,'12_MODELO'!B$2:B$97,'01_PAINEL'!$C$6,'12_MODELO'!A$2:A$97,D$6)-SUMIFS('12_MODELO'!N$2:N$97,'12_MODELO'!B$2:B$97,'01_PAINEL'!$C$6,'12_MODELO'!A$2:A$97,EDATE(D$6,-1)))/ABS(SUMIFS('12_MODELO'!N$2:N$97,'12_MODELO'!B$2:B$97,'01_PAINEL'!$C$6,'12_MODELO'!A$2:A$97,EDATE(D$6,-1))),"")</f>
        <v>0.07969924129417116</v>
      </c>
      <c r="E26" s="9">
        <f>IFERROR((SUMIFS('12_MODELO'!N$2:N$97,'12_MODELO'!B$2:B$97,'01_PAINEL'!$C$6,'12_MODELO'!A$2:A$97,E$6)-SUMIFS('12_MODELO'!N$2:N$97,'12_MODELO'!B$2:B$97,'01_PAINEL'!$C$6,'12_MODELO'!A$2:A$97,EDATE(E$6,-1)))/ABS(SUMIFS('12_MODELO'!N$2:N$97,'12_MODELO'!B$2:B$97,'01_PAINEL'!$C$6,'12_MODELO'!A$2:A$97,EDATE(E$6,-1))),"")</f>
        <v>0.8499103441621682</v>
      </c>
      <c r="F26" s="9">
        <f>IFERROR((SUMIFS('12_MODELO'!N$2:N$97,'12_MODELO'!B$2:B$97,'01_PAINEL'!$C$6,'12_MODELO'!A$2:A$97,F$6)-SUMIFS('12_MODELO'!N$2:N$97,'12_MODELO'!B$2:B$97,'01_PAINEL'!$C$6,'12_MODELO'!A$2:A$97,EDATE(F$6,-1)))/ABS(SUMIFS('12_MODELO'!N$2:N$97,'12_MODELO'!B$2:B$97,'01_PAINEL'!$C$6,'12_MODELO'!A$2:A$97,EDATE(F$6,-1))),"")</f>
        <v>-0.3884486975718816</v>
      </c>
      <c r="G26" s="9">
        <f>IFERROR((SUMIFS('12_MODELO'!N$2:N$97,'12_MODELO'!B$2:B$97,'01_PAINEL'!$C$6,'12_MODELO'!A$2:A$97,G$6)-SUMIFS('12_MODELO'!N$2:N$97,'12_MODELO'!B$2:B$97,'01_PAINEL'!$C$6,'12_MODELO'!A$2:A$97,EDATE(G$6,-1)))/ABS(SUMIFS('12_MODELO'!N$2:N$97,'12_MODELO'!B$2:B$97,'01_PAINEL'!$C$6,'12_MODELO'!A$2:A$97,EDATE(G$6,-1))),"")</f>
        <v>0.29647538474814383</v>
      </c>
      <c r="H26" s="9">
        <f>IFERROR((SUMIFS('12_MODELO'!N$2:N$97,'12_MODELO'!B$2:B$97,'01_PAINEL'!$C$6,'12_MODELO'!A$2:A$97,H$6)-SUMIFS('12_MODELO'!N$2:N$97,'12_MODELO'!B$2:B$97,'01_PAINEL'!$C$6,'12_MODELO'!A$2:A$97,EDATE(H$6,-1)))/ABS(SUMIFS('12_MODELO'!N$2:N$97,'12_MODELO'!B$2:B$97,'01_PAINEL'!$C$6,'12_MODELO'!A$2:A$97,EDATE(H$6,-1))),"")</f>
        <v>0.49589735599024815</v>
      </c>
      <c r="I26" s="9">
        <f>IFERROR((SUMIFS('12_MODELO'!N$2:N$97,'12_MODELO'!B$2:B$97,'01_PAINEL'!$C$6,'12_MODELO'!A$2:A$97,I$6)-SUMIFS('12_MODELO'!N$2:N$97,'12_MODELO'!B$2:B$97,'01_PAINEL'!$C$6,'12_MODELO'!A$2:A$97,EDATE(I$6,-1)))/ABS(SUMIFS('12_MODELO'!N$2:N$97,'12_MODELO'!B$2:B$97,'01_PAINEL'!$C$6,'12_MODELO'!A$2:A$97,EDATE(I$6,-1))),"")</f>
        <v>-0.46200588053646446</v>
      </c>
      <c r="J26" s="9">
        <f>IFERROR((SUMIFS('12_MODELO'!N$2:N$97,'12_MODELO'!B$2:B$97,'01_PAINEL'!$C$6,'12_MODELO'!A$2:A$97,J$6)-SUMIFS('12_MODELO'!N$2:N$97,'12_MODELO'!B$2:B$97,'01_PAINEL'!$C$6,'12_MODELO'!A$2:A$97,EDATE(J$6,-1)))/ABS(SUMIFS('12_MODELO'!N$2:N$97,'12_MODELO'!B$2:B$97,'01_PAINEL'!$C$6,'12_MODELO'!A$2:A$97,EDATE(J$6,-1))),"")</f>
        <v>0.3024309366355317</v>
      </c>
      <c r="K26" s="9">
        <f>IFERROR((SUMIFS('12_MODELO'!N$2:N$97,'12_MODELO'!B$2:B$97,'01_PAINEL'!$C$6,'12_MODELO'!A$2:A$97,K$6)-SUMIFS('12_MODELO'!N$2:N$97,'12_MODELO'!B$2:B$97,'01_PAINEL'!$C$6,'12_MODELO'!A$2:A$97,EDATE(K$6,-1)))/ABS(SUMIFS('12_MODELO'!N$2:N$97,'12_MODELO'!B$2:B$97,'01_PAINEL'!$C$6,'12_MODELO'!A$2:A$97,EDATE(K$6,-1))),"")</f>
        <v>0.24867679213360314</v>
      </c>
      <c r="L26" s="9">
        <f>IFERROR((SUMIFS('12_MODELO'!N$2:N$97,'12_MODELO'!B$2:B$97,'01_PAINEL'!$C$6,'12_MODELO'!A$2:A$97,L$6)-SUMIFS('12_MODELO'!N$2:N$97,'12_MODELO'!B$2:B$97,'01_PAINEL'!$C$6,'12_MODELO'!A$2:A$97,EDATE(L$6,-1)))/ABS(SUMIFS('12_MODELO'!N$2:N$97,'12_MODELO'!B$2:B$97,'01_PAINEL'!$C$6,'12_MODELO'!A$2:A$97,EDATE(L$6,-1))),"")</f>
        <v>0.27293279459114056</v>
      </c>
      <c r="M26" s="9">
        <f>IFERROR((SUMIFS('12_MODELO'!N$2:N$97,'12_MODELO'!B$2:B$97,'01_PAINEL'!$C$6,'12_MODELO'!A$2:A$97,M$6)-SUMIFS('12_MODELO'!N$2:N$97,'12_MODELO'!B$2:B$97,'01_PAINEL'!$C$6,'12_MODELO'!A$2:A$97,EDATE(M$6,-1)))/ABS(SUMIFS('12_MODELO'!N$2:N$97,'12_MODELO'!B$2:B$97,'01_PAINEL'!$C$6,'12_MODELO'!A$2:A$97,EDATE(M$6,-1))),"")</f>
        <v>0.43978212190277205</v>
      </c>
      <c r="N26" s="9">
        <f>IFERROR((SUMIFS('12_MODELO'!N$2:N$97,'12_MODELO'!B$2:B$97,'01_PAINEL'!$C$6,'12_MODELO'!A$2:A$97,N$6)-SUMIFS('12_MODELO'!N$2:N$97,'12_MODELO'!B$2:B$97,'01_PAINEL'!$C$6,'12_MODELO'!A$2:A$97,EDATE(N$6,-1)))/ABS(SUMIFS('12_MODELO'!N$2:N$97,'12_MODELO'!B$2:B$97,'01_PAINEL'!$C$6,'12_MODELO'!A$2:A$97,EDATE(N$6,-1))),"")</f>
        <v>-0.15644467614516397</v>
      </c>
      <c r="O26" s="9">
        <f>""</f>
        <v/>
      </c>
    </row>
  </sheetData>
  <mergeCells count="2">
    <mergeCell ref="B2:O3"/>
    <mergeCell ref="B4:O4"/>
  </mergeCells>
  <pageMargins left="0.7" right="0.7" top="0.75" bottom="0.75" header="0.3" footer="0.3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A899"/>
  </sheetPr>
  <dimension ref="B2:H28"/>
  <sheetViews>
    <sheetView showGridLines="0" workbookViewId="0"/>
  </sheetViews>
  <sheetFormatPr defaultRowHeight="15"/>
  <cols>
    <col min="1" max="1" width="3.7109375" customWidth="1"/>
    <col min="2" max="2" width="25.7109375" customWidth="1"/>
    <col min="3" max="8" width="20.7109375" customWidth="1"/>
  </cols>
  <sheetData>
    <row r="2" spans="2:8">
      <c r="B2" s="1" t="s">
        <v>961</v>
      </c>
      <c r="C2" s="1"/>
      <c r="D2" s="1"/>
      <c r="E2" s="1"/>
      <c r="F2" s="1"/>
      <c r="G2" s="1"/>
      <c r="H2" s="1"/>
    </row>
    <row r="3" spans="2:8">
      <c r="B3" s="1"/>
      <c r="C3" s="1"/>
      <c r="D3" s="1"/>
      <c r="E3" s="1"/>
      <c r="F3" s="1"/>
      <c r="G3" s="1"/>
      <c r="H3" s="1"/>
    </row>
    <row r="4" spans="2:8">
      <c r="B4" s="3" t="s">
        <v>962</v>
      </c>
      <c r="C4" s="3"/>
      <c r="D4" s="3"/>
      <c r="E4" s="3"/>
      <c r="F4" s="3"/>
      <c r="G4" s="3"/>
      <c r="H4" s="3"/>
    </row>
    <row r="6" spans="2:8">
      <c r="B6" s="4" t="s">
        <v>963</v>
      </c>
      <c r="C6" s="4" t="s">
        <v>78</v>
      </c>
      <c r="D6" s="4" t="s">
        <v>79</v>
      </c>
      <c r="E6" s="4" t="s">
        <v>964</v>
      </c>
      <c r="F6" s="4" t="s">
        <v>965</v>
      </c>
      <c r="G6" s="4" t="s">
        <v>966</v>
      </c>
      <c r="H6" s="4" t="s">
        <v>967</v>
      </c>
    </row>
    <row r="7" spans="2:8">
      <c r="B7" s="11" t="s">
        <v>98</v>
      </c>
      <c r="C7" s="6">
        <f>SUMIFS('12_MODELO'!E$2:E$97,'12_MODELO'!B$2:B$97,"Realizado",'12_MODELO'!A$2:A$97,"&gt;="&amp;DATE('01_PAINEL'!$F$6,1,1),'12_MODELO'!A$2:A$97,"&lt;="&amp;DATE('01_PAINEL'!$F$6,12,1))</f>
        <v>15545584.11015</v>
      </c>
      <c r="D7" s="6">
        <f>SUMIFS('12_MODELO'!E$2:E$97,'12_MODELO'!B$2:B$97,"Orçamento",'12_MODELO'!A$2:A$97,"&gt;="&amp;DATE('01_PAINEL'!$F$6,1,1),'12_MODELO'!A$2:A$97,"&lt;="&amp;DATE('01_PAINEL'!$F$6,12,1))</f>
        <v>14705190.09</v>
      </c>
      <c r="E7" s="6">
        <f>C7-D7</f>
        <v>840394.0201500002</v>
      </c>
      <c r="F7" s="9">
        <f>IFERROR(E7/ABS(D7),"")</f>
        <v>0.05714948361813392</v>
      </c>
      <c r="G7" s="11" t="str">
        <f>IF(E7=0,"Neutro",IF(E7&gt;0,"Sim","Não"))</f>
        <v>Sim</v>
      </c>
      <c r="H7" s="3" t="s">
        <v>968</v>
      </c>
    </row>
    <row r="8" spans="2:8">
      <c r="B8" s="11" t="s">
        <v>36</v>
      </c>
      <c r="C8" s="6">
        <f>SUMIFS('12_MODELO'!F$2:F$97,'12_MODELO'!B$2:B$97,"Realizado",'12_MODELO'!A$2:A$97,"&gt;="&amp;DATE('01_PAINEL'!$F$6,1,1),'12_MODELO'!A$2:A$97,"&lt;="&amp;DATE('01_PAINEL'!$F$6,12,1))</f>
        <v>11614689.02</v>
      </c>
      <c r="D8" s="6">
        <f>SUMIFS('12_MODELO'!F$2:F$97,'12_MODELO'!B$2:B$97,"Orçamento",'12_MODELO'!A$2:A$97,"&gt;="&amp;DATE('01_PAINEL'!$F$6,1,1),'12_MODELO'!A$2:A$97,"&lt;="&amp;DATE('01_PAINEL'!$F$6,12,1))</f>
        <v>10462381.146</v>
      </c>
      <c r="E8" s="6">
        <f>C8-D8</f>
        <v>1152307.8739999998</v>
      </c>
      <c r="F8" s="9">
        <f>IFERROR(E8/ABS(D8),"")</f>
        <v>0.11013820447944135</v>
      </c>
      <c r="G8" s="11" t="str">
        <f>IF(E8=0,"Neutro",IF(E8&lt;0,"Sim","Não"))</f>
        <v>Não</v>
      </c>
      <c r="H8" s="3" t="s">
        <v>969</v>
      </c>
    </row>
    <row r="9" spans="2:8">
      <c r="B9" s="11" t="s">
        <v>100</v>
      </c>
      <c r="C9" s="6">
        <f>SUMIFS('12_MODELO'!M$2:M$97,'12_MODELO'!B$2:B$97,"Realizado",'12_MODELO'!A$2:A$97,"&gt;="&amp;DATE('01_PAINEL'!$F$6,1,1),'12_MODELO'!A$2:A$97,"&lt;="&amp;DATE('01_PAINEL'!$F$6,12,1))</f>
        <v>2986885.14</v>
      </c>
      <c r="D9" s="6">
        <f>SUMIFS('12_MODELO'!M$2:M$97,'12_MODELO'!B$2:B$97,"Orçamento",'12_MODELO'!A$2:A$97,"&gt;="&amp;DATE('01_PAINEL'!$F$6,1,1),'12_MODELO'!A$2:A$97,"&lt;="&amp;DATE('01_PAINEL'!$F$6,12,1))</f>
        <v>2739118.5300000003</v>
      </c>
      <c r="E9" s="6">
        <f>C9-D9</f>
        <v>247766.60999999987</v>
      </c>
      <c r="F9" s="9">
        <f>IFERROR(E9/ABS(D9),"")</f>
        <v>0.09045486980076026</v>
      </c>
      <c r="G9" s="11" t="str">
        <f>IF(E9=0,"Neutro",IF(E9&lt;0,"Sim","Não"))</f>
        <v>Não</v>
      </c>
      <c r="H9" s="3" t="s">
        <v>969</v>
      </c>
    </row>
    <row r="10" spans="2:8">
      <c r="B10" s="11" t="s">
        <v>101</v>
      </c>
      <c r="C10" s="6">
        <f>SUMIFS('12_MODELO'!N$2:N$97,'12_MODELO'!B$2:B$97,"Realizado",'12_MODELO'!A$2:A$97,"&gt;="&amp;DATE('01_PAINEL'!$F$6,1,1),'12_MODELO'!A$2:A$97,"&lt;="&amp;DATE('01_PAINEL'!$F$6,12,1))</f>
        <v>944009.9501499999</v>
      </c>
      <c r="D10" s="6">
        <f>SUMIFS('12_MODELO'!N$2:N$97,'12_MODELO'!B$2:B$97,"Orçamento",'12_MODELO'!A$2:A$97,"&gt;="&amp;DATE('01_PAINEL'!$F$6,1,1),'12_MODELO'!A$2:A$97,"&lt;="&amp;DATE('01_PAINEL'!$F$6,12,1))</f>
        <v>1503690.4139999996</v>
      </c>
      <c r="E10" s="6">
        <f>C10-D10</f>
        <v>-559680.4638499997</v>
      </c>
      <c r="F10" s="9">
        <f>IFERROR(E10/ABS(D10),"")</f>
        <v>-0.3722045832301222</v>
      </c>
      <c r="G10" s="11" t="str">
        <f>IF(E10=0,"Neutro",IF(E10&gt;0,"Sim","Não"))</f>
        <v>Não</v>
      </c>
      <c r="H10" s="3" t="s">
        <v>968</v>
      </c>
    </row>
    <row r="11" spans="2:8">
      <c r="B11" s="11" t="s">
        <v>107</v>
      </c>
      <c r="C11" s="6">
        <f>SUMIFS('12_MODELO'!T$2:T$97,'12_MODELO'!B$2:B$97,"Realizado",'12_MODELO'!A$2:A$97,"&gt;="&amp;DATE('01_PAINEL'!$F$6,1,1),'12_MODELO'!A$2:A$97,"&lt;="&amp;DATE('01_PAINEL'!$F$6,12,1))</f>
        <v>379664.967099</v>
      </c>
      <c r="D11" s="6">
        <f>SUMIFS('12_MODELO'!T$2:T$97,'12_MODELO'!B$2:B$97,"Orçamento",'12_MODELO'!A$2:A$97,"&gt;="&amp;DATE('01_PAINEL'!$F$6,1,1),'12_MODELO'!A$2:A$97,"&lt;="&amp;DATE('01_PAINEL'!$F$6,12,1))</f>
        <v>749054.0732399998</v>
      </c>
      <c r="E11" s="6">
        <f>C11-D11</f>
        <v>-369389.1061409998</v>
      </c>
      <c r="F11" s="9">
        <f>IFERROR(E11/ABS(D11),"")</f>
        <v>-0.4931407749286027</v>
      </c>
      <c r="G11" s="11" t="str">
        <f>IF(E11=0,"Neutro",IF(E11&gt;0,"Sim","Não"))</f>
        <v>Não</v>
      </c>
      <c r="H11" s="3" t="s">
        <v>968</v>
      </c>
    </row>
    <row r="12" spans="2:8">
      <c r="B12" s="11" t="s">
        <v>115</v>
      </c>
      <c r="C12" s="6">
        <f>SUMIFS('12_MODELO'!AQ$2:AQ$97,'12_MODELO'!B$2:B$97,"Realizado",'12_MODELO'!A$2:A$97,"&gt;="&amp;DATE('01_PAINEL'!$F$6,1,1),'12_MODELO'!A$2:A$97,"&lt;="&amp;DATE('01_PAINEL'!$F$6,12,1))</f>
        <v>-462467.2006510001</v>
      </c>
      <c r="D12" s="6">
        <f>SUMIFS('12_MODELO'!AQ$2:AQ$97,'12_MODELO'!B$2:B$97,"Orçamento",'12_MODELO'!A$2:A$97,"&gt;="&amp;DATE('01_PAINEL'!$F$6,1,1),'12_MODELO'!A$2:A$97,"&lt;="&amp;DATE('01_PAINEL'!$F$6,12,1))</f>
        <v>687446.3738799997</v>
      </c>
      <c r="E12" s="6">
        <f>C12-D12</f>
        <v>-1149913.5745309999</v>
      </c>
      <c r="F12" s="9">
        <f>IFERROR(E12/ABS(D12),"")</f>
        <v>-1.6727320387782396</v>
      </c>
      <c r="G12" s="11" t="str">
        <f>IF(E12=0,"Neutro",IF(E12&gt;0,"Sim","Não"))</f>
        <v>Não</v>
      </c>
      <c r="H12" s="3" t="s">
        <v>968</v>
      </c>
    </row>
    <row r="13" spans="2:8">
      <c r="B13" s="11" t="s">
        <v>127</v>
      </c>
      <c r="C13" s="6">
        <f>SUMIFS('12_MODELO'!BK$2:BK$97,'12_MODELO'!B$2:B$97,"Realizado",'12_MODELO'!A$2:A$97,"&gt;="&amp;DATE('01_PAINEL'!$F$6,1,1),'12_MODELO'!A$2:A$97,"&lt;="&amp;DATE('01_PAINEL'!$F$6,12,1))</f>
        <v>-966467.2006510001</v>
      </c>
      <c r="D13" s="6">
        <f>SUMIFS('12_MODELO'!BK$2:BK$97,'12_MODELO'!B$2:B$97,"Orçamento",'12_MODELO'!A$2:A$97,"&gt;="&amp;DATE('01_PAINEL'!$F$6,1,1),'12_MODELO'!A$2:A$97,"&lt;="&amp;DATE('01_PAINEL'!$F$6,12,1))</f>
        <v>183446.3738799997</v>
      </c>
      <c r="E13" s="6">
        <f>C13-D13</f>
        <v>-1149913.5745309999</v>
      </c>
      <c r="F13" s="9">
        <f>IFERROR(E13/ABS(D13),"")</f>
        <v>-6.268390866549418</v>
      </c>
      <c r="G13" s="11" t="str">
        <f>IF(E13=0,"Neutro",IF(E13&gt;0,"Sim","Não"))</f>
        <v>Não</v>
      </c>
      <c r="H13" s="3" t="s">
        <v>968</v>
      </c>
    </row>
    <row r="16" spans="2:8">
      <c r="B16" s="3" t="s">
        <v>970</v>
      </c>
      <c r="C16" s="3"/>
      <c r="D16" s="3"/>
      <c r="E16" s="3"/>
      <c r="F16" s="3"/>
      <c r="G16" s="3"/>
      <c r="H16" s="3"/>
    </row>
    <row r="17" spans="2:8">
      <c r="B17" s="3"/>
      <c r="C17" s="3"/>
      <c r="D17" s="3"/>
      <c r="E17" s="3"/>
      <c r="F17" s="3"/>
      <c r="G17" s="3"/>
      <c r="H17" s="3"/>
    </row>
    <row r="20" spans="2:8">
      <c r="B20" s="1" t="s">
        <v>971</v>
      </c>
      <c r="C20" s="1"/>
      <c r="D20" s="1"/>
      <c r="E20" s="1"/>
      <c r="F20" s="1"/>
      <c r="G20" s="1"/>
      <c r="H20" s="1"/>
    </row>
    <row r="21" spans="2:8">
      <c r="B21" s="1"/>
      <c r="C21" s="1"/>
      <c r="D21" s="1"/>
      <c r="E21" s="1"/>
      <c r="F21" s="1"/>
      <c r="G21" s="1"/>
      <c r="H21" s="1"/>
    </row>
    <row r="24" spans="2:8">
      <c r="B24" s="4" t="s">
        <v>963</v>
      </c>
      <c r="C24" s="4" t="s">
        <v>972</v>
      </c>
      <c r="D24" s="4" t="s">
        <v>80</v>
      </c>
      <c r="E24" s="4" t="s">
        <v>973</v>
      </c>
      <c r="F24" s="4" t="s">
        <v>974</v>
      </c>
      <c r="G24" s="4" t="s">
        <v>975</v>
      </c>
      <c r="H24" s="4" t="s">
        <v>976</v>
      </c>
    </row>
    <row r="25" spans="2:8">
      <c r="B25" t="s">
        <v>98</v>
      </c>
      <c r="C25" s="6">
        <f>SUMIFS('12_MODELO'!E$2:E$97,'12_MODELO'!B$2:B$97,"Orçamento",'12_MODELO'!A$2:A$97,"&gt;="&amp;DATE(2025,1,1),'12_MODELO'!A$2:A$97,"&lt;="&amp;DATE(2025,12,1))</f>
        <v>14705190.09</v>
      </c>
      <c r="D25" s="6">
        <f>SUMIFS('12_MODELO'!E$2:E$97,'12_MODELO'!B$2:B$97,"Forecast 6+6",'12_MODELO'!A$2:A$97,"&gt;="&amp;DATE(2025,1,1),'12_MODELO'!A$2:A$97,"&lt;="&amp;DATE(2025,12,1))</f>
        <v>14725756.590750001</v>
      </c>
      <c r="E25" s="6">
        <f>D25-C25</f>
        <v>20566.50075000152</v>
      </c>
      <c r="F25" s="6">
        <f>SUMIFS('12_MODELO'!E$2:E$97,'12_MODELO'!B$2:B$97,"Realizado",'12_MODELO'!A$2:A$97,"&gt;="&amp;DATE(2025,1,1),'12_MODELO'!A$2:A$97,"&lt;="&amp;DATE(2025,12,1))</f>
        <v>15545584.11015</v>
      </c>
      <c r="G25" s="6">
        <f>D25-F25</f>
        <v>-819827.5193999987</v>
      </c>
      <c r="H25" s="9">
        <f>IFERROR(G25/ABS(F25),"")</f>
        <v>-0.052737003228120465</v>
      </c>
    </row>
    <row r="26" spans="2:8">
      <c r="B26" t="s">
        <v>101</v>
      </c>
      <c r="C26" s="6">
        <f>SUMIFS('12_MODELO'!N$2:N$97,'12_MODELO'!B$2:B$97,"Orçamento",'12_MODELO'!A$2:A$97,"&gt;="&amp;DATE(2025,1,1),'12_MODELO'!A$2:A$97,"&lt;="&amp;DATE(2025,12,1))</f>
        <v>1503690.4139999996</v>
      </c>
      <c r="D26" s="6">
        <f>SUMIFS('12_MODELO'!N$2:N$97,'12_MODELO'!B$2:B$97,"Forecast 6+6",'12_MODELO'!A$2:A$97,"&gt;="&amp;DATE(2025,1,1),'12_MODELO'!A$2:A$97,"&lt;="&amp;DATE(2025,12,1))</f>
        <v>853955.75075</v>
      </c>
      <c r="E26" s="6">
        <f>D26-C26</f>
        <v>-649734.6632499996</v>
      </c>
      <c r="F26" s="6">
        <f>SUMIFS('12_MODELO'!N$2:N$97,'12_MODELO'!B$2:B$97,"Realizado",'12_MODELO'!A$2:A$97,"&gt;="&amp;DATE(2025,1,1),'12_MODELO'!A$2:A$97,"&lt;="&amp;DATE(2025,12,1))</f>
        <v>944009.9501499999</v>
      </c>
      <c r="G26" s="6">
        <f>D26-F26</f>
        <v>-90054.19939999992</v>
      </c>
      <c r="H26" s="9">
        <f>IFERROR(G26/ABS(F26),"")</f>
        <v>-0.09539539216264682</v>
      </c>
    </row>
    <row r="27" spans="2:8">
      <c r="B27" t="s">
        <v>107</v>
      </c>
      <c r="C27" s="6">
        <f>SUMIFS('12_MODELO'!T$2:T$97,'12_MODELO'!B$2:B$97,"Orçamento",'12_MODELO'!A$2:A$97,"&gt;="&amp;DATE(2025,1,1),'12_MODELO'!A$2:A$97,"&lt;="&amp;DATE(2025,12,1))</f>
        <v>749054.0732399998</v>
      </c>
      <c r="D27" s="6">
        <f>SUMIFS('12_MODELO'!T$2:T$97,'12_MODELO'!B$2:B$97,"Forecast 6+6",'12_MODELO'!A$2:A$97,"&gt;="&amp;DATE(2025,1,1),'12_MODELO'!A$2:A$97,"&lt;="&amp;DATE(2025,12,1))</f>
        <v>320229.195495</v>
      </c>
      <c r="E27" s="6">
        <f>D27-C27</f>
        <v>-428824.87774499983</v>
      </c>
      <c r="F27" s="6">
        <f>SUMIFS('12_MODELO'!T$2:T$97,'12_MODELO'!B$2:B$97,"Realizado",'12_MODELO'!A$2:A$97,"&gt;="&amp;DATE(2025,1,1),'12_MODELO'!A$2:A$97,"&lt;="&amp;DATE(2025,12,1))</f>
        <v>379664.967099</v>
      </c>
      <c r="G27" s="6">
        <f>D27-F27</f>
        <v>-59435.77160400001</v>
      </c>
      <c r="H27" s="9">
        <f>IFERROR(G27/ABS(F27),"")</f>
        <v>-0.15654794820324247</v>
      </c>
    </row>
    <row r="28" spans="2:8">
      <c r="B28" t="s">
        <v>127</v>
      </c>
      <c r="C28" s="6">
        <f>SUMIFS('12_MODELO'!BK$2:BK$97,'12_MODELO'!B$2:B$97,"Orçamento",'12_MODELO'!A$2:A$97,"&gt;="&amp;DATE(2025,1,1),'12_MODELO'!A$2:A$97,"&lt;="&amp;DATE(2025,12,1))</f>
        <v>183446.3738799997</v>
      </c>
      <c r="D28" s="6">
        <f>SUMIFS('12_MODELO'!BK$2:BK$97,'12_MODELO'!B$2:B$97,"Forecast 6+6",'12_MODELO'!A$2:A$97,"&gt;="&amp;DATE(2025,1,1),'12_MODELO'!A$2:A$97,"&lt;="&amp;DATE(2025,12,1))</f>
        <v>-789181.2451430004</v>
      </c>
      <c r="E28" s="6">
        <f>D28-C28</f>
        <v>-972627.6190230001</v>
      </c>
      <c r="F28" s="6">
        <f>SUMIFS('12_MODELO'!BK$2:BK$97,'12_MODELO'!B$2:B$97,"Realizado",'12_MODELO'!A$2:A$97,"&gt;="&amp;DATE(2025,1,1),'12_MODELO'!A$2:A$97,"&lt;="&amp;DATE(2025,12,1))</f>
        <v>-966467.2006510001</v>
      </c>
      <c r="G28" s="6">
        <f>D28-F28</f>
        <v>177285.95550799975</v>
      </c>
      <c r="H28" s="9">
        <f>IFERROR(G28/ABS(F28),"")</f>
        <v>0.18343711549505473</v>
      </c>
    </row>
  </sheetData>
  <mergeCells count="4">
    <mergeCell ref="B2:H3"/>
    <mergeCell ref="B4:H4"/>
    <mergeCell ref="B16:H17"/>
    <mergeCell ref="B20:H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A899"/>
  </sheetPr>
  <dimension ref="A1:J21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0" width="18.7109375" customWidth="1"/>
  </cols>
  <sheetData>
    <row r="1" spans="1:10" ht="34" customHeight="1">
      <c r="A1" s="4" t="s">
        <v>27</v>
      </c>
      <c r="B1" s="4" t="s">
        <v>29</v>
      </c>
      <c r="C1" s="4" t="s">
        <v>30</v>
      </c>
      <c r="D1" s="4" t="s">
        <v>31</v>
      </c>
      <c r="E1" s="4" t="s">
        <v>977</v>
      </c>
      <c r="F1" s="4" t="s">
        <v>978</v>
      </c>
      <c r="G1" s="4" t="s">
        <v>979</v>
      </c>
      <c r="H1" s="4" t="s">
        <v>980</v>
      </c>
      <c r="I1" s="4" t="s">
        <v>981</v>
      </c>
      <c r="J1" s="4" t="s">
        <v>982</v>
      </c>
    </row>
    <row r="2" spans="1:10">
      <c r="A2" s="5">
        <v>45658</v>
      </c>
      <c r="B2" t="s">
        <v>38</v>
      </c>
      <c r="C2" t="s">
        <v>39</v>
      </c>
      <c r="D2" t="s">
        <v>40</v>
      </c>
      <c r="E2" s="6">
        <v>219684.4</v>
      </c>
      <c r="F2" s="6">
        <v>284888.73</v>
      </c>
      <c r="G2" s="6">
        <v>52936</v>
      </c>
      <c r="H2" s="6">
        <v>12268.32999999997</v>
      </c>
      <c r="I2" s="6">
        <v>65204.32999999999</v>
      </c>
      <c r="J2" s="6">
        <v>2.182787284255028E-11</v>
      </c>
    </row>
    <row r="3" spans="1:10">
      <c r="A3" s="5">
        <v>45658</v>
      </c>
      <c r="B3" t="s">
        <v>38</v>
      </c>
      <c r="C3" t="s">
        <v>39</v>
      </c>
      <c r="D3" t="s">
        <v>41</v>
      </c>
      <c r="E3" s="6">
        <v>114816</v>
      </c>
      <c r="F3" s="6">
        <v>127807.68</v>
      </c>
      <c r="G3" s="6">
        <v>7488</v>
      </c>
      <c r="H3" s="6">
        <v>5503.680000000008</v>
      </c>
      <c r="I3" s="6">
        <v>12991.67999999999</v>
      </c>
      <c r="J3" s="6">
        <v>-1.455191522836685E-11</v>
      </c>
    </row>
    <row r="4" spans="1:10">
      <c r="A4" s="5">
        <v>45658</v>
      </c>
      <c r="B4" t="s">
        <v>38</v>
      </c>
      <c r="C4" t="s">
        <v>42</v>
      </c>
      <c r="D4" t="s">
        <v>40</v>
      </c>
      <c r="E4" s="6">
        <v>97931.60000000001</v>
      </c>
      <c r="F4" s="6">
        <v>121700.04</v>
      </c>
      <c r="G4" s="6">
        <v>18527.6</v>
      </c>
      <c r="H4" s="6">
        <v>5240.839999999986</v>
      </c>
      <c r="I4" s="6">
        <v>23768.43999999999</v>
      </c>
      <c r="J4" s="6">
        <v>0</v>
      </c>
    </row>
    <row r="5" spans="1:10">
      <c r="A5" s="5">
        <v>45658</v>
      </c>
      <c r="B5" t="s">
        <v>38</v>
      </c>
      <c r="C5" t="s">
        <v>42</v>
      </c>
      <c r="D5" t="s">
        <v>41</v>
      </c>
      <c r="E5" s="6">
        <v>49920</v>
      </c>
      <c r="F5" s="6">
        <v>62599.68</v>
      </c>
      <c r="G5" s="6">
        <v>9984</v>
      </c>
      <c r="H5" s="6">
        <v>2695.680000000004</v>
      </c>
      <c r="I5" s="6">
        <v>12679.68</v>
      </c>
      <c r="J5" s="6">
        <v>-3.637978807091713E-12</v>
      </c>
    </row>
    <row r="6" spans="1:10">
      <c r="A6" s="5">
        <v>45658</v>
      </c>
      <c r="B6" t="s">
        <v>38</v>
      </c>
      <c r="C6" t="s">
        <v>43</v>
      </c>
      <c r="D6" t="s">
        <v>40</v>
      </c>
      <c r="E6" s="6">
        <v>68816.8</v>
      </c>
      <c r="F6" s="6">
        <v>91275.03</v>
      </c>
      <c r="G6" s="6">
        <v>18527.6</v>
      </c>
      <c r="H6" s="6">
        <v>3930.629999999989</v>
      </c>
      <c r="I6" s="6">
        <v>22458.23</v>
      </c>
      <c r="J6" s="6">
        <v>4.547473508864641E-12</v>
      </c>
    </row>
    <row r="7" spans="1:10">
      <c r="A7" s="5">
        <v>45658</v>
      </c>
      <c r="B7" t="s">
        <v>38</v>
      </c>
      <c r="C7" t="s">
        <v>43</v>
      </c>
      <c r="D7" t="s">
        <v>41</v>
      </c>
      <c r="E7" s="6">
        <v>37440</v>
      </c>
      <c r="F7" s="6">
        <v>41733.12</v>
      </c>
      <c r="G7" s="6">
        <v>2496</v>
      </c>
      <c r="H7" s="6">
        <v>1797.120000000003</v>
      </c>
      <c r="I7" s="6">
        <v>4293.120000000003</v>
      </c>
      <c r="J7" s="6">
        <v>0</v>
      </c>
    </row>
    <row r="8" spans="1:10">
      <c r="A8" s="5">
        <v>45658</v>
      </c>
      <c r="B8" t="s">
        <v>45</v>
      </c>
      <c r="C8" t="s">
        <v>39</v>
      </c>
      <c r="D8" t="s">
        <v>40</v>
      </c>
      <c r="E8" s="6">
        <v>100782</v>
      </c>
      <c r="F8" s="6">
        <v>126380.88</v>
      </c>
      <c r="G8" s="6">
        <v>20156.4</v>
      </c>
      <c r="H8" s="6">
        <v>5442.479999999994</v>
      </c>
      <c r="I8" s="6">
        <v>25598.88</v>
      </c>
      <c r="J8" s="6">
        <v>9.094947017729282E-12</v>
      </c>
    </row>
    <row r="9" spans="1:10">
      <c r="A9" s="5">
        <v>45658</v>
      </c>
      <c r="B9" t="s">
        <v>45</v>
      </c>
      <c r="C9" t="s">
        <v>39</v>
      </c>
      <c r="D9" t="s">
        <v>41</v>
      </c>
      <c r="E9" s="6">
        <v>50688</v>
      </c>
      <c r="F9" s="6">
        <v>59590.08</v>
      </c>
      <c r="G9" s="6">
        <v>6336</v>
      </c>
      <c r="H9" s="6">
        <v>2566.079999999999</v>
      </c>
      <c r="I9" s="6">
        <v>8902.080000000002</v>
      </c>
      <c r="J9" s="6">
        <v>2.728484105318785E-12</v>
      </c>
    </row>
    <row r="10" spans="1:10">
      <c r="A10" s="5">
        <v>45658</v>
      </c>
      <c r="B10" t="s">
        <v>45</v>
      </c>
      <c r="C10" t="s">
        <v>42</v>
      </c>
      <c r="D10" t="s">
        <v>40</v>
      </c>
      <c r="E10" s="6">
        <v>45351.9</v>
      </c>
      <c r="F10" s="6">
        <v>56169.28</v>
      </c>
      <c r="G10" s="6">
        <v>8398.5</v>
      </c>
      <c r="H10" s="6">
        <v>2418.879999999997</v>
      </c>
      <c r="I10" s="6">
        <v>10817.38</v>
      </c>
      <c r="J10" s="6">
        <v>0</v>
      </c>
    </row>
    <row r="11" spans="1:10">
      <c r="A11" s="5">
        <v>45658</v>
      </c>
      <c r="B11" t="s">
        <v>45</v>
      </c>
      <c r="C11" t="s">
        <v>42</v>
      </c>
      <c r="D11" t="s">
        <v>41</v>
      </c>
      <c r="E11" s="6">
        <v>20592</v>
      </c>
      <c r="F11" s="6">
        <v>28139.76</v>
      </c>
      <c r="G11" s="6">
        <v>6336</v>
      </c>
      <c r="H11" s="6">
        <v>1211.76</v>
      </c>
      <c r="I11" s="6">
        <v>7547.759999999998</v>
      </c>
      <c r="J11" s="6">
        <v>-1.13686837721616E-12</v>
      </c>
    </row>
    <row r="12" spans="1:10">
      <c r="A12" s="5">
        <v>45658</v>
      </c>
      <c r="B12" t="s">
        <v>45</v>
      </c>
      <c r="C12" t="s">
        <v>43</v>
      </c>
      <c r="D12" t="s">
        <v>40</v>
      </c>
      <c r="E12" s="6">
        <v>33594</v>
      </c>
      <c r="F12" s="6">
        <v>40371.67</v>
      </c>
      <c r="G12" s="6">
        <v>5039.1</v>
      </c>
      <c r="H12" s="6">
        <v>1738.569999999998</v>
      </c>
      <c r="I12" s="6">
        <v>6777.669999999998</v>
      </c>
      <c r="J12" s="6">
        <v>-2.273736754432321E-13</v>
      </c>
    </row>
    <row r="13" spans="1:10">
      <c r="A13" s="5">
        <v>45658</v>
      </c>
      <c r="B13" t="s">
        <v>45</v>
      </c>
      <c r="C13" t="s">
        <v>43</v>
      </c>
      <c r="D13" t="s">
        <v>41</v>
      </c>
      <c r="E13" s="6">
        <v>15840</v>
      </c>
      <c r="F13" s="6">
        <v>18208.08</v>
      </c>
      <c r="G13" s="6">
        <v>1584</v>
      </c>
      <c r="H13" s="6">
        <v>784.0799999999997</v>
      </c>
      <c r="I13" s="6">
        <v>2368.080000000002</v>
      </c>
      <c r="J13" s="6">
        <v>2.046363078989089E-12</v>
      </c>
    </row>
    <row r="14" spans="1:10">
      <c r="A14" s="5">
        <v>45658</v>
      </c>
      <c r="B14" t="s">
        <v>47</v>
      </c>
      <c r="C14" t="s">
        <v>39</v>
      </c>
      <c r="D14" t="s">
        <v>40</v>
      </c>
      <c r="E14" s="6">
        <v>27689.6</v>
      </c>
      <c r="F14" s="6">
        <v>35446.11</v>
      </c>
      <c r="G14" s="6">
        <v>6230.16</v>
      </c>
      <c r="H14" s="6">
        <v>1526.349999999999</v>
      </c>
      <c r="I14" s="6">
        <v>7756.510000000002</v>
      </c>
      <c r="J14" s="6">
        <v>3.183231456205249E-12</v>
      </c>
    </row>
    <row r="15" spans="1:10">
      <c r="A15" s="5">
        <v>45658</v>
      </c>
      <c r="B15" t="s">
        <v>47</v>
      </c>
      <c r="C15" t="s">
        <v>39</v>
      </c>
      <c r="D15" t="s">
        <v>41</v>
      </c>
      <c r="E15" s="6">
        <v>13708.8</v>
      </c>
      <c r="F15" s="6">
        <v>16372.32</v>
      </c>
      <c r="G15" s="6">
        <v>1958.4</v>
      </c>
      <c r="H15" s="6">
        <v>705.1199999999999</v>
      </c>
      <c r="I15" s="6">
        <v>2663.52</v>
      </c>
      <c r="J15" s="6">
        <v>6.821210263296962E-13</v>
      </c>
    </row>
    <row r="16" spans="1:10">
      <c r="A16" s="5">
        <v>45658</v>
      </c>
      <c r="B16" t="s">
        <v>47</v>
      </c>
      <c r="C16" t="s">
        <v>42</v>
      </c>
      <c r="D16" t="s">
        <v>40</v>
      </c>
      <c r="E16" s="6">
        <v>12460.32</v>
      </c>
      <c r="F16" s="6">
        <v>15914.58</v>
      </c>
      <c r="G16" s="6">
        <v>2768.96</v>
      </c>
      <c r="H16" s="6">
        <v>685.2999999999995</v>
      </c>
      <c r="I16" s="6">
        <v>3454.26</v>
      </c>
      <c r="J16" s="6">
        <v>6.821210263296962E-13</v>
      </c>
    </row>
    <row r="17" spans="1:10">
      <c r="A17" s="5">
        <v>45658</v>
      </c>
      <c r="B17" t="s">
        <v>47</v>
      </c>
      <c r="C17" t="s">
        <v>42</v>
      </c>
      <c r="D17" t="s">
        <v>41</v>
      </c>
      <c r="E17" s="6">
        <v>6528</v>
      </c>
      <c r="F17" s="6">
        <v>8186.16</v>
      </c>
      <c r="G17" s="6">
        <v>1305.6</v>
      </c>
      <c r="H17" s="6">
        <v>352.5599999999999</v>
      </c>
      <c r="I17" s="6">
        <v>1658.16</v>
      </c>
      <c r="J17" s="6">
        <v>0</v>
      </c>
    </row>
    <row r="18" spans="1:10">
      <c r="A18" s="5">
        <v>45658</v>
      </c>
      <c r="B18" t="s">
        <v>47</v>
      </c>
      <c r="C18" t="s">
        <v>43</v>
      </c>
      <c r="D18" t="s">
        <v>40</v>
      </c>
      <c r="E18" s="6">
        <v>9691.360000000001</v>
      </c>
      <c r="F18" s="6">
        <v>10850.85</v>
      </c>
      <c r="G18" s="6">
        <v>692.24</v>
      </c>
      <c r="H18" s="6">
        <v>467.2499999999997</v>
      </c>
      <c r="I18" s="6">
        <v>1159.49</v>
      </c>
      <c r="J18" s="6">
        <v>1.13686837721616E-13</v>
      </c>
    </row>
    <row r="19" spans="1:10">
      <c r="A19" s="5">
        <v>45658</v>
      </c>
      <c r="B19" t="s">
        <v>47</v>
      </c>
      <c r="C19" t="s">
        <v>43</v>
      </c>
      <c r="D19" t="s">
        <v>41</v>
      </c>
      <c r="E19" s="6">
        <v>4569.6</v>
      </c>
      <c r="F19" s="6">
        <v>5457.44</v>
      </c>
      <c r="G19" s="6">
        <v>652.8</v>
      </c>
      <c r="H19" s="6">
        <v>235.04</v>
      </c>
      <c r="I19" s="6">
        <v>887.8399999999992</v>
      </c>
      <c r="J19" s="6">
        <v>-6.821210263296962E-13</v>
      </c>
    </row>
    <row r="20" spans="1:10">
      <c r="A20" s="5">
        <v>45689</v>
      </c>
      <c r="B20" t="s">
        <v>38</v>
      </c>
      <c r="C20" t="s">
        <v>39</v>
      </c>
      <c r="D20" t="s">
        <v>40</v>
      </c>
      <c r="E20" s="6">
        <v>230271.6</v>
      </c>
      <c r="F20" s="6">
        <v>282122.82</v>
      </c>
      <c r="G20" s="6">
        <v>39702</v>
      </c>
      <c r="H20" s="6">
        <v>12149.21999999997</v>
      </c>
      <c r="I20" s="6">
        <v>51851.22</v>
      </c>
      <c r="J20" s="6">
        <v>3.456079866737127E-11</v>
      </c>
    </row>
    <row r="21" spans="1:10">
      <c r="A21" s="5">
        <v>45689</v>
      </c>
      <c r="B21" t="s">
        <v>38</v>
      </c>
      <c r="C21" t="s">
        <v>39</v>
      </c>
      <c r="D21" t="s">
        <v>41</v>
      </c>
      <c r="E21" s="6">
        <v>114816</v>
      </c>
      <c r="F21" s="6">
        <v>140849.28</v>
      </c>
      <c r="G21" s="6">
        <v>19968</v>
      </c>
      <c r="H21" s="6">
        <v>6065.280000000009</v>
      </c>
      <c r="I21" s="6">
        <v>26033.28</v>
      </c>
      <c r="J21" s="6">
        <v>-1.000444171950221E-11</v>
      </c>
    </row>
    <row r="22" spans="1:10">
      <c r="A22" s="5">
        <v>45689</v>
      </c>
      <c r="B22" t="s">
        <v>38</v>
      </c>
      <c r="C22" t="s">
        <v>42</v>
      </c>
      <c r="D22" t="s">
        <v>40</v>
      </c>
      <c r="E22" s="6">
        <v>108518.8</v>
      </c>
      <c r="F22" s="6">
        <v>127231.86</v>
      </c>
      <c r="G22" s="6">
        <v>13234</v>
      </c>
      <c r="H22" s="6">
        <v>5479.059999999985</v>
      </c>
      <c r="I22" s="6">
        <v>18713.06</v>
      </c>
      <c r="J22" s="6">
        <v>1.2732925824821E-11</v>
      </c>
    </row>
    <row r="23" spans="1:10">
      <c r="A23" s="5">
        <v>45689</v>
      </c>
      <c r="B23" t="s">
        <v>38</v>
      </c>
      <c r="C23" t="s">
        <v>42</v>
      </c>
      <c r="D23" t="s">
        <v>41</v>
      </c>
      <c r="E23" s="6">
        <v>49920</v>
      </c>
      <c r="F23" s="6">
        <v>65208</v>
      </c>
      <c r="G23" s="6">
        <v>12480</v>
      </c>
      <c r="H23" s="6">
        <v>2808.000000000004</v>
      </c>
      <c r="I23" s="6">
        <v>15288</v>
      </c>
      <c r="J23" s="6">
        <v>-4.092726157978177E-12</v>
      </c>
    </row>
    <row r="24" spans="1:10">
      <c r="A24" s="5">
        <v>45689</v>
      </c>
      <c r="B24" t="s">
        <v>38</v>
      </c>
      <c r="C24" t="s">
        <v>43</v>
      </c>
      <c r="D24" t="s">
        <v>40</v>
      </c>
      <c r="E24" s="6">
        <v>76757.2</v>
      </c>
      <c r="F24" s="6">
        <v>91275.03</v>
      </c>
      <c r="G24" s="6">
        <v>10587.2</v>
      </c>
      <c r="H24" s="6">
        <v>3930.629999999989</v>
      </c>
      <c r="I24" s="6">
        <v>14517.83</v>
      </c>
      <c r="J24" s="6">
        <v>1.182343112304807E-11</v>
      </c>
    </row>
    <row r="25" spans="1:10">
      <c r="A25" s="5">
        <v>45689</v>
      </c>
      <c r="B25" t="s">
        <v>38</v>
      </c>
      <c r="C25" t="s">
        <v>43</v>
      </c>
      <c r="D25" t="s">
        <v>41</v>
      </c>
      <c r="E25" s="6">
        <v>34944</v>
      </c>
      <c r="F25" s="6">
        <v>44341.44</v>
      </c>
      <c r="G25" s="6">
        <v>7488</v>
      </c>
      <c r="H25" s="6">
        <v>1909.440000000003</v>
      </c>
      <c r="I25" s="6">
        <v>9397.440000000002</v>
      </c>
      <c r="J25" s="6">
        <v>-4.547473508864641E-13</v>
      </c>
    </row>
    <row r="26" spans="1:10">
      <c r="A26" s="5">
        <v>45689</v>
      </c>
      <c r="B26" t="s">
        <v>45</v>
      </c>
      <c r="C26" t="s">
        <v>39</v>
      </c>
      <c r="D26" t="s">
        <v>40</v>
      </c>
      <c r="E26" s="6">
        <v>109180.5</v>
      </c>
      <c r="F26" s="6">
        <v>121115.01</v>
      </c>
      <c r="G26" s="6">
        <v>6718.8</v>
      </c>
      <c r="H26" s="6">
        <v>5215.709999999995</v>
      </c>
      <c r="I26" s="6">
        <v>11934.50999999999</v>
      </c>
      <c r="J26" s="6">
        <v>0</v>
      </c>
    </row>
    <row r="27" spans="1:10">
      <c r="A27" s="5">
        <v>45689</v>
      </c>
      <c r="B27" t="s">
        <v>45</v>
      </c>
      <c r="C27" t="s">
        <v>39</v>
      </c>
      <c r="D27" t="s">
        <v>41</v>
      </c>
      <c r="E27" s="6">
        <v>50688</v>
      </c>
      <c r="F27" s="6">
        <v>62900.64</v>
      </c>
      <c r="G27" s="6">
        <v>9504</v>
      </c>
      <c r="H27" s="6">
        <v>2708.639999999999</v>
      </c>
      <c r="I27" s="6">
        <v>12212.64</v>
      </c>
      <c r="J27" s="6">
        <v>4.547473508864641E-13</v>
      </c>
    </row>
    <row r="28" spans="1:10">
      <c r="A28" s="5">
        <v>45689</v>
      </c>
      <c r="B28" t="s">
        <v>45</v>
      </c>
      <c r="C28" t="s">
        <v>42</v>
      </c>
      <c r="D28" t="s">
        <v>40</v>
      </c>
      <c r="E28" s="6">
        <v>45351.9</v>
      </c>
      <c r="F28" s="6">
        <v>57924.57</v>
      </c>
      <c r="G28" s="6">
        <v>10078.2</v>
      </c>
      <c r="H28" s="6">
        <v>2494.469999999998</v>
      </c>
      <c r="I28" s="6">
        <v>12572.67</v>
      </c>
      <c r="J28" s="6">
        <v>0</v>
      </c>
    </row>
    <row r="29" spans="1:10">
      <c r="A29" s="5">
        <v>45689</v>
      </c>
      <c r="B29" t="s">
        <v>45</v>
      </c>
      <c r="C29" t="s">
        <v>42</v>
      </c>
      <c r="D29" t="s">
        <v>41</v>
      </c>
      <c r="E29" s="6">
        <v>23760</v>
      </c>
      <c r="F29" s="6">
        <v>28139.76</v>
      </c>
      <c r="G29" s="6">
        <v>3168</v>
      </c>
      <c r="H29" s="6">
        <v>1211.76</v>
      </c>
      <c r="I29" s="6">
        <v>4379.759999999998</v>
      </c>
      <c r="J29" s="6">
        <v>-1.13686837721616E-12</v>
      </c>
    </row>
    <row r="30" spans="1:10">
      <c r="A30" s="5">
        <v>45689</v>
      </c>
      <c r="B30" t="s">
        <v>45</v>
      </c>
      <c r="C30" t="s">
        <v>43</v>
      </c>
      <c r="D30" t="s">
        <v>40</v>
      </c>
      <c r="E30" s="6">
        <v>33594</v>
      </c>
      <c r="F30" s="6">
        <v>42126.96</v>
      </c>
      <c r="G30" s="6">
        <v>6718.8</v>
      </c>
      <c r="H30" s="6">
        <v>1814.159999999998</v>
      </c>
      <c r="I30" s="6">
        <v>8532.959999999999</v>
      </c>
      <c r="J30" s="6">
        <v>9.094947017729282E-13</v>
      </c>
    </row>
    <row r="31" spans="1:10">
      <c r="A31" s="5">
        <v>45689</v>
      </c>
      <c r="B31" t="s">
        <v>45</v>
      </c>
      <c r="C31" t="s">
        <v>43</v>
      </c>
      <c r="D31" t="s">
        <v>41</v>
      </c>
      <c r="E31" s="6">
        <v>15840</v>
      </c>
      <c r="F31" s="6">
        <v>19863.36</v>
      </c>
      <c r="G31" s="6">
        <v>3168</v>
      </c>
      <c r="H31" s="6">
        <v>855.3599999999997</v>
      </c>
      <c r="I31" s="6">
        <v>4023.360000000001</v>
      </c>
      <c r="J31" s="6">
        <v>9.094947017729282E-13</v>
      </c>
    </row>
    <row r="32" spans="1:10">
      <c r="A32" s="5">
        <v>45689</v>
      </c>
      <c r="B32" t="s">
        <v>47</v>
      </c>
      <c r="C32" t="s">
        <v>39</v>
      </c>
      <c r="D32" t="s">
        <v>40</v>
      </c>
      <c r="E32" s="6">
        <v>29766.32</v>
      </c>
      <c r="F32" s="6">
        <v>36892.89</v>
      </c>
      <c r="G32" s="6">
        <v>5537.92</v>
      </c>
      <c r="H32" s="6">
        <v>1588.649999999999</v>
      </c>
      <c r="I32" s="6">
        <v>7126.57</v>
      </c>
      <c r="J32" s="6">
        <v>9.094947017729282E-13</v>
      </c>
    </row>
    <row r="33" spans="1:10">
      <c r="A33" s="5">
        <v>45689</v>
      </c>
      <c r="B33" t="s">
        <v>47</v>
      </c>
      <c r="C33" t="s">
        <v>39</v>
      </c>
      <c r="D33" t="s">
        <v>41</v>
      </c>
      <c r="E33" s="6">
        <v>15014.4</v>
      </c>
      <c r="F33" s="6">
        <v>17736.68</v>
      </c>
      <c r="G33" s="6">
        <v>1958.4</v>
      </c>
      <c r="H33" s="6">
        <v>763.8799999999999</v>
      </c>
      <c r="I33" s="6">
        <v>2722.280000000001</v>
      </c>
      <c r="J33" s="6">
        <v>9.094947017729282E-13</v>
      </c>
    </row>
    <row r="34" spans="1:10">
      <c r="A34" s="5">
        <v>45689</v>
      </c>
      <c r="B34" t="s">
        <v>47</v>
      </c>
      <c r="C34" t="s">
        <v>42</v>
      </c>
      <c r="D34" t="s">
        <v>40</v>
      </c>
      <c r="E34" s="6">
        <v>13844.8</v>
      </c>
      <c r="F34" s="6">
        <v>15191.19</v>
      </c>
      <c r="G34" s="6">
        <v>692.24</v>
      </c>
      <c r="H34" s="6">
        <v>654.1499999999995</v>
      </c>
      <c r="I34" s="6">
        <v>1346.390000000001</v>
      </c>
      <c r="J34" s="6">
        <v>1.70530256582424E-12</v>
      </c>
    </row>
    <row r="35" spans="1:10">
      <c r="A35" s="5">
        <v>45689</v>
      </c>
      <c r="B35" t="s">
        <v>47</v>
      </c>
      <c r="C35" t="s">
        <v>42</v>
      </c>
      <c r="D35" t="s">
        <v>41</v>
      </c>
      <c r="E35" s="6">
        <v>6528</v>
      </c>
      <c r="F35" s="6">
        <v>7503.98</v>
      </c>
      <c r="G35" s="6">
        <v>652.8</v>
      </c>
      <c r="H35" s="6">
        <v>323.1799999999999</v>
      </c>
      <c r="I35" s="6">
        <v>975.9799999999996</v>
      </c>
      <c r="J35" s="6">
        <v>-3.410605131648481E-13</v>
      </c>
    </row>
    <row r="36" spans="1:10">
      <c r="A36" s="5">
        <v>45689</v>
      </c>
      <c r="B36" t="s">
        <v>47</v>
      </c>
      <c r="C36" t="s">
        <v>43</v>
      </c>
      <c r="D36" t="s">
        <v>40</v>
      </c>
      <c r="E36" s="6">
        <v>9691.360000000001</v>
      </c>
      <c r="F36" s="6">
        <v>10850.85</v>
      </c>
      <c r="G36" s="6">
        <v>692.24</v>
      </c>
      <c r="H36" s="6">
        <v>467.2499999999997</v>
      </c>
      <c r="I36" s="6">
        <v>1159.49</v>
      </c>
      <c r="J36" s="6">
        <v>1.13686837721616E-13</v>
      </c>
    </row>
    <row r="37" spans="1:10">
      <c r="A37" s="5">
        <v>45689</v>
      </c>
      <c r="B37" t="s">
        <v>47</v>
      </c>
      <c r="C37" t="s">
        <v>43</v>
      </c>
      <c r="D37" t="s">
        <v>41</v>
      </c>
      <c r="E37" s="6">
        <v>4569.6</v>
      </c>
      <c r="F37" s="6">
        <v>5457.44</v>
      </c>
      <c r="G37" s="6">
        <v>652.8</v>
      </c>
      <c r="H37" s="6">
        <v>235.04</v>
      </c>
      <c r="I37" s="6">
        <v>887.8399999999992</v>
      </c>
      <c r="J37" s="6">
        <v>-6.821210263296962E-13</v>
      </c>
    </row>
    <row r="38" spans="1:10">
      <c r="A38" s="5">
        <v>45717</v>
      </c>
      <c r="B38" t="s">
        <v>38</v>
      </c>
      <c r="C38" t="s">
        <v>39</v>
      </c>
      <c r="D38" t="s">
        <v>40</v>
      </c>
      <c r="E38" s="6">
        <v>267326.8</v>
      </c>
      <c r="F38" s="6">
        <v>329143.29</v>
      </c>
      <c r="G38" s="6">
        <v>47642.4</v>
      </c>
      <c r="H38" s="6">
        <v>14174.08999999996</v>
      </c>
      <c r="I38" s="6">
        <v>61816.48999999999</v>
      </c>
      <c r="J38" s="6">
        <v>2.91038304567337E-11</v>
      </c>
    </row>
    <row r="39" spans="1:10">
      <c r="A39" s="5">
        <v>45717</v>
      </c>
      <c r="B39" t="s">
        <v>38</v>
      </c>
      <c r="C39" t="s">
        <v>39</v>
      </c>
      <c r="D39" t="s">
        <v>41</v>
      </c>
      <c r="E39" s="6">
        <v>132288</v>
      </c>
      <c r="F39" s="6">
        <v>169540.8</v>
      </c>
      <c r="G39" s="6">
        <v>29952</v>
      </c>
      <c r="H39" s="6">
        <v>7300.80000000001</v>
      </c>
      <c r="I39" s="6">
        <v>37252.79999999999</v>
      </c>
      <c r="J39" s="6">
        <v>-2.182787284255028E-11</v>
      </c>
    </row>
    <row r="40" spans="1:10">
      <c r="A40" s="5">
        <v>45717</v>
      </c>
      <c r="B40" t="s">
        <v>38</v>
      </c>
      <c r="C40" t="s">
        <v>42</v>
      </c>
      <c r="D40" t="s">
        <v>40</v>
      </c>
      <c r="E40" s="6">
        <v>129693.2</v>
      </c>
      <c r="F40" s="6">
        <v>157656.87</v>
      </c>
      <c r="G40" s="6">
        <v>21174.4</v>
      </c>
      <c r="H40" s="6">
        <v>6789.269999999981</v>
      </c>
      <c r="I40" s="6">
        <v>27963.67</v>
      </c>
      <c r="J40" s="6">
        <v>1.546140993013978E-11</v>
      </c>
    </row>
    <row r="41" spans="1:10">
      <c r="A41" s="5">
        <v>45717</v>
      </c>
      <c r="B41" t="s">
        <v>38</v>
      </c>
      <c r="C41" t="s">
        <v>42</v>
      </c>
      <c r="D41" t="s">
        <v>41</v>
      </c>
      <c r="E41" s="6">
        <v>59904</v>
      </c>
      <c r="F41" s="6">
        <v>73032.96000000001</v>
      </c>
      <c r="G41" s="6">
        <v>9984</v>
      </c>
      <c r="H41" s="6">
        <v>3144.960000000005</v>
      </c>
      <c r="I41" s="6">
        <v>13128.96000000001</v>
      </c>
      <c r="J41" s="6">
        <v>1.818989403545856E-12</v>
      </c>
    </row>
    <row r="42" spans="1:10">
      <c r="A42" s="5">
        <v>45717</v>
      </c>
      <c r="B42" t="s">
        <v>38</v>
      </c>
      <c r="C42" t="s">
        <v>43</v>
      </c>
      <c r="D42" t="s">
        <v>40</v>
      </c>
      <c r="E42" s="6">
        <v>84697.60000000001</v>
      </c>
      <c r="F42" s="6">
        <v>105104.58</v>
      </c>
      <c r="G42" s="6">
        <v>15880.8</v>
      </c>
      <c r="H42" s="6">
        <v>4526.179999999988</v>
      </c>
      <c r="I42" s="6">
        <v>20406.98</v>
      </c>
      <c r="J42" s="6">
        <v>7.275957614183426E-12</v>
      </c>
    </row>
    <row r="43" spans="1:10">
      <c r="A43" s="5">
        <v>45717</v>
      </c>
      <c r="B43" t="s">
        <v>38</v>
      </c>
      <c r="C43" t="s">
        <v>43</v>
      </c>
      <c r="D43" t="s">
        <v>41</v>
      </c>
      <c r="E43" s="6">
        <v>44928</v>
      </c>
      <c r="F43" s="6">
        <v>54774.72</v>
      </c>
      <c r="G43" s="6">
        <v>7488</v>
      </c>
      <c r="H43" s="6">
        <v>2358.720000000003</v>
      </c>
      <c r="I43" s="6">
        <v>9846.720000000001</v>
      </c>
      <c r="J43" s="6">
        <v>-2.273736754432321E-12</v>
      </c>
    </row>
    <row r="44" spans="1:10">
      <c r="A44" s="5">
        <v>45717</v>
      </c>
      <c r="B44" t="s">
        <v>45</v>
      </c>
      <c r="C44" t="s">
        <v>39</v>
      </c>
      <c r="D44" t="s">
        <v>40</v>
      </c>
      <c r="E44" s="6">
        <v>122618.1</v>
      </c>
      <c r="F44" s="6">
        <v>143933.78</v>
      </c>
      <c r="G44" s="6">
        <v>15117.3</v>
      </c>
      <c r="H44" s="6">
        <v>6198.379999999994</v>
      </c>
      <c r="I44" s="6">
        <v>21315.67999999999</v>
      </c>
      <c r="J44" s="6">
        <v>-1.818989403545856E-12</v>
      </c>
    </row>
    <row r="45" spans="1:10">
      <c r="A45" s="5">
        <v>45717</v>
      </c>
      <c r="B45" t="s">
        <v>45</v>
      </c>
      <c r="C45" t="s">
        <v>39</v>
      </c>
      <c r="D45" t="s">
        <v>41</v>
      </c>
      <c r="E45" s="6">
        <v>57024</v>
      </c>
      <c r="F45" s="6">
        <v>72832.32000000001</v>
      </c>
      <c r="G45" s="6">
        <v>12672</v>
      </c>
      <c r="H45" s="6">
        <v>3136.319999999999</v>
      </c>
      <c r="I45" s="6">
        <v>15808.32000000001</v>
      </c>
      <c r="J45" s="6">
        <v>8.185452315956354E-12</v>
      </c>
    </row>
    <row r="46" spans="1:10">
      <c r="A46" s="5">
        <v>45717</v>
      </c>
      <c r="B46" t="s">
        <v>45</v>
      </c>
      <c r="C46" t="s">
        <v>42</v>
      </c>
      <c r="D46" t="s">
        <v>40</v>
      </c>
      <c r="E46" s="6">
        <v>60469.2</v>
      </c>
      <c r="F46" s="6">
        <v>64945.73</v>
      </c>
      <c r="G46" s="6">
        <v>1679.7</v>
      </c>
      <c r="H46" s="6">
        <v>2796.829999999997</v>
      </c>
      <c r="I46" s="6">
        <v>4476.530000000006</v>
      </c>
      <c r="J46" s="6">
        <v>9.094947017729282E-12</v>
      </c>
    </row>
    <row r="47" spans="1:10">
      <c r="A47" s="5">
        <v>45717</v>
      </c>
      <c r="B47" t="s">
        <v>45</v>
      </c>
      <c r="C47" t="s">
        <v>42</v>
      </c>
      <c r="D47" t="s">
        <v>41</v>
      </c>
      <c r="E47" s="6">
        <v>28512</v>
      </c>
      <c r="F47" s="6">
        <v>34760.88</v>
      </c>
      <c r="G47" s="6">
        <v>4752</v>
      </c>
      <c r="H47" s="6">
        <v>1496.879999999999</v>
      </c>
      <c r="I47" s="6">
        <v>6248.879999999997</v>
      </c>
      <c r="J47" s="6">
        <v>-2.046363078989089E-12</v>
      </c>
    </row>
    <row r="48" spans="1:10">
      <c r="A48" s="5">
        <v>45717</v>
      </c>
      <c r="B48" t="s">
        <v>45</v>
      </c>
      <c r="C48" t="s">
        <v>43</v>
      </c>
      <c r="D48" t="s">
        <v>40</v>
      </c>
      <c r="E48" s="6">
        <v>40312.8</v>
      </c>
      <c r="F48" s="6">
        <v>50903.41</v>
      </c>
      <c r="G48" s="6">
        <v>8398.5</v>
      </c>
      <c r="H48" s="6">
        <v>2192.109999999998</v>
      </c>
      <c r="I48" s="6">
        <v>10590.61</v>
      </c>
      <c r="J48" s="6">
        <v>2.728484105318785E-12</v>
      </c>
    </row>
    <row r="49" spans="1:10">
      <c r="A49" s="5">
        <v>45717</v>
      </c>
      <c r="B49" t="s">
        <v>45</v>
      </c>
      <c r="C49" t="s">
        <v>43</v>
      </c>
      <c r="D49" t="s">
        <v>41</v>
      </c>
      <c r="E49" s="6">
        <v>19008</v>
      </c>
      <c r="F49" s="6">
        <v>24829.2</v>
      </c>
      <c r="G49" s="6">
        <v>4752</v>
      </c>
      <c r="H49" s="6">
        <v>1069.2</v>
      </c>
      <c r="I49" s="6">
        <v>5821.200000000001</v>
      </c>
      <c r="J49" s="6">
        <v>1.13686837721616E-12</v>
      </c>
    </row>
    <row r="50" spans="1:10">
      <c r="A50" s="5">
        <v>45717</v>
      </c>
      <c r="B50" t="s">
        <v>47</v>
      </c>
      <c r="C50" t="s">
        <v>39</v>
      </c>
      <c r="D50" t="s">
        <v>40</v>
      </c>
      <c r="E50" s="6">
        <v>35304.24</v>
      </c>
      <c r="F50" s="6">
        <v>39786.45</v>
      </c>
      <c r="G50" s="6">
        <v>2768.96</v>
      </c>
      <c r="H50" s="6">
        <v>1713.249999999999</v>
      </c>
      <c r="I50" s="6">
        <v>4482.209999999999</v>
      </c>
      <c r="J50" s="6">
        <v>4.547473508864641E-13</v>
      </c>
    </row>
    <row r="51" spans="1:10">
      <c r="A51" s="5">
        <v>45717</v>
      </c>
      <c r="B51" t="s">
        <v>47</v>
      </c>
      <c r="C51" t="s">
        <v>39</v>
      </c>
      <c r="D51" t="s">
        <v>41</v>
      </c>
      <c r="E51" s="6">
        <v>16320</v>
      </c>
      <c r="F51" s="6">
        <v>20465.4</v>
      </c>
      <c r="G51" s="6">
        <v>3264</v>
      </c>
      <c r="H51" s="6">
        <v>881.3999999999999</v>
      </c>
      <c r="I51" s="6">
        <v>4145.400000000001</v>
      </c>
      <c r="J51" s="6">
        <v>1.591615728102624E-12</v>
      </c>
    </row>
    <row r="52" spans="1:10">
      <c r="A52" s="5">
        <v>45717</v>
      </c>
      <c r="B52" t="s">
        <v>47</v>
      </c>
      <c r="C52" t="s">
        <v>42</v>
      </c>
      <c r="D52" t="s">
        <v>40</v>
      </c>
      <c r="E52" s="6">
        <v>17306</v>
      </c>
      <c r="F52" s="6">
        <v>19531.53</v>
      </c>
      <c r="G52" s="6">
        <v>1384.48</v>
      </c>
      <c r="H52" s="6">
        <v>841.0499999999994</v>
      </c>
      <c r="I52" s="6">
        <v>2225.529999999999</v>
      </c>
      <c r="J52" s="6">
        <v>-5.684341886080801E-13</v>
      </c>
    </row>
    <row r="53" spans="1:10">
      <c r="A53" s="5">
        <v>45717</v>
      </c>
      <c r="B53" t="s">
        <v>47</v>
      </c>
      <c r="C53" t="s">
        <v>42</v>
      </c>
      <c r="D53" t="s">
        <v>41</v>
      </c>
      <c r="E53" s="6">
        <v>7833.6</v>
      </c>
      <c r="F53" s="6">
        <v>8868.34</v>
      </c>
      <c r="G53" s="6">
        <v>652.8</v>
      </c>
      <c r="H53" s="6">
        <v>381.9399999999999</v>
      </c>
      <c r="I53" s="6">
        <v>1034.74</v>
      </c>
      <c r="J53" s="6">
        <v>-1.13686837721616E-13</v>
      </c>
    </row>
    <row r="54" spans="1:10">
      <c r="A54" s="5">
        <v>45717</v>
      </c>
      <c r="B54" t="s">
        <v>47</v>
      </c>
      <c r="C54" t="s">
        <v>43</v>
      </c>
      <c r="D54" t="s">
        <v>40</v>
      </c>
      <c r="E54" s="6">
        <v>10383.6</v>
      </c>
      <c r="F54" s="6">
        <v>13021.02</v>
      </c>
      <c r="G54" s="6">
        <v>2076.72</v>
      </c>
      <c r="H54" s="6">
        <v>560.6999999999996</v>
      </c>
      <c r="I54" s="6">
        <v>2637.42</v>
      </c>
      <c r="J54" s="6">
        <v>2.273736754432321E-13</v>
      </c>
    </row>
    <row r="55" spans="1:10">
      <c r="A55" s="5">
        <v>45717</v>
      </c>
      <c r="B55" t="s">
        <v>47</v>
      </c>
      <c r="C55" t="s">
        <v>43</v>
      </c>
      <c r="D55" t="s">
        <v>41</v>
      </c>
      <c r="E55" s="6">
        <v>5222.4</v>
      </c>
      <c r="F55" s="6">
        <v>6821.8</v>
      </c>
      <c r="G55" s="6">
        <v>1305.6</v>
      </c>
      <c r="H55" s="6">
        <v>293.8</v>
      </c>
      <c r="I55" s="6">
        <v>1599.400000000001</v>
      </c>
      <c r="J55" s="6">
        <v>6.821210263296962E-13</v>
      </c>
    </row>
    <row r="56" spans="1:10">
      <c r="A56" s="5">
        <v>45748</v>
      </c>
      <c r="B56" t="s">
        <v>38</v>
      </c>
      <c r="C56" t="s">
        <v>39</v>
      </c>
      <c r="D56" t="s">
        <v>40</v>
      </c>
      <c r="E56" s="6">
        <v>285854.4</v>
      </c>
      <c r="F56" s="6">
        <v>334675.11</v>
      </c>
      <c r="G56" s="6">
        <v>34408.4</v>
      </c>
      <c r="H56" s="6">
        <v>14412.30999999996</v>
      </c>
      <c r="I56" s="6">
        <v>48820.70999999996</v>
      </c>
      <c r="J56" s="6">
        <v>0</v>
      </c>
    </row>
    <row r="57" spans="1:10">
      <c r="A57" s="5">
        <v>45748</v>
      </c>
      <c r="B57" t="s">
        <v>38</v>
      </c>
      <c r="C57" t="s">
        <v>39</v>
      </c>
      <c r="D57" t="s">
        <v>41</v>
      </c>
      <c r="E57" s="6">
        <v>127296</v>
      </c>
      <c r="F57" s="6">
        <v>166932.48</v>
      </c>
      <c r="G57" s="6">
        <v>32448</v>
      </c>
      <c r="H57" s="6">
        <v>7188.48000000001</v>
      </c>
      <c r="I57" s="6">
        <v>39636.48000000001</v>
      </c>
      <c r="J57" s="6">
        <v>0</v>
      </c>
    </row>
    <row r="58" spans="1:10">
      <c r="A58" s="5">
        <v>45748</v>
      </c>
      <c r="B58" t="s">
        <v>38</v>
      </c>
      <c r="C58" t="s">
        <v>42</v>
      </c>
      <c r="D58" t="s">
        <v>40</v>
      </c>
      <c r="E58" s="6">
        <v>121752.8</v>
      </c>
      <c r="F58" s="6">
        <v>160422.78</v>
      </c>
      <c r="G58" s="6">
        <v>31761.6</v>
      </c>
      <c r="H58" s="6">
        <v>6908.379999999981</v>
      </c>
      <c r="I58" s="6">
        <v>38669.98</v>
      </c>
      <c r="J58" s="6">
        <v>1.2732925824821E-11</v>
      </c>
    </row>
    <row r="59" spans="1:10">
      <c r="A59" s="5">
        <v>45748</v>
      </c>
      <c r="B59" t="s">
        <v>38</v>
      </c>
      <c r="C59" t="s">
        <v>42</v>
      </c>
      <c r="D59" t="s">
        <v>41</v>
      </c>
      <c r="E59" s="6">
        <v>62400</v>
      </c>
      <c r="F59" s="6">
        <v>78249.60000000001</v>
      </c>
      <c r="G59" s="6">
        <v>12480</v>
      </c>
      <c r="H59" s="6">
        <v>3369.600000000005</v>
      </c>
      <c r="I59" s="6">
        <v>15849.60000000001</v>
      </c>
      <c r="J59" s="6">
        <v>9.094947017729282E-13</v>
      </c>
    </row>
    <row r="60" spans="1:10">
      <c r="A60" s="5">
        <v>45748</v>
      </c>
      <c r="B60" t="s">
        <v>38</v>
      </c>
      <c r="C60" t="s">
        <v>43</v>
      </c>
      <c r="D60" t="s">
        <v>40</v>
      </c>
      <c r="E60" s="6">
        <v>89991.2</v>
      </c>
      <c r="F60" s="6">
        <v>105104.58</v>
      </c>
      <c r="G60" s="6">
        <v>10587.2</v>
      </c>
      <c r="H60" s="6">
        <v>4526.179999999988</v>
      </c>
      <c r="I60" s="6">
        <v>15113.38</v>
      </c>
      <c r="J60" s="6">
        <v>1.637090463191271E-11</v>
      </c>
    </row>
    <row r="61" spans="1:10">
      <c r="A61" s="5">
        <v>45748</v>
      </c>
      <c r="B61" t="s">
        <v>38</v>
      </c>
      <c r="C61" t="s">
        <v>43</v>
      </c>
      <c r="D61" t="s">
        <v>41</v>
      </c>
      <c r="E61" s="6">
        <v>42432</v>
      </c>
      <c r="F61" s="6">
        <v>54774.72</v>
      </c>
      <c r="G61" s="6">
        <v>9984</v>
      </c>
      <c r="H61" s="6">
        <v>2358.720000000003</v>
      </c>
      <c r="I61" s="6">
        <v>12342.72</v>
      </c>
      <c r="J61" s="6">
        <v>-2.273736754432321E-12</v>
      </c>
    </row>
    <row r="62" spans="1:10">
      <c r="A62" s="5">
        <v>45748</v>
      </c>
      <c r="B62" t="s">
        <v>45</v>
      </c>
      <c r="C62" t="s">
        <v>39</v>
      </c>
      <c r="D62" t="s">
        <v>40</v>
      </c>
      <c r="E62" s="6">
        <v>122618.1</v>
      </c>
      <c r="F62" s="6">
        <v>138667.91</v>
      </c>
      <c r="G62" s="6">
        <v>10078.2</v>
      </c>
      <c r="H62" s="6">
        <v>5971.609999999993</v>
      </c>
      <c r="I62" s="6">
        <v>16049.81</v>
      </c>
      <c r="J62" s="6">
        <v>3.637978807091713E-12</v>
      </c>
    </row>
    <row r="63" spans="1:10">
      <c r="A63" s="5">
        <v>45748</v>
      </c>
      <c r="B63" t="s">
        <v>45</v>
      </c>
      <c r="C63" t="s">
        <v>39</v>
      </c>
      <c r="D63" t="s">
        <v>41</v>
      </c>
      <c r="E63" s="6">
        <v>55440</v>
      </c>
      <c r="F63" s="6">
        <v>69521.75999999999</v>
      </c>
      <c r="G63" s="6">
        <v>11088</v>
      </c>
      <c r="H63" s="6">
        <v>2993.759999999999</v>
      </c>
      <c r="I63" s="6">
        <v>14081.75999999999</v>
      </c>
      <c r="J63" s="6">
        <v>-4.092726157978177E-12</v>
      </c>
    </row>
    <row r="64" spans="1:10">
      <c r="A64" s="5">
        <v>45748</v>
      </c>
      <c r="B64" t="s">
        <v>45</v>
      </c>
      <c r="C64" t="s">
        <v>42</v>
      </c>
      <c r="D64" t="s">
        <v>40</v>
      </c>
      <c r="E64" s="6">
        <v>55430.1</v>
      </c>
      <c r="F64" s="6">
        <v>68456.31</v>
      </c>
      <c r="G64" s="6">
        <v>10078.2</v>
      </c>
      <c r="H64" s="6">
        <v>2948.009999999997</v>
      </c>
      <c r="I64" s="6">
        <v>13026.21</v>
      </c>
      <c r="J64" s="6">
        <v>1.818989403545856E-12</v>
      </c>
    </row>
    <row r="65" spans="1:10">
      <c r="A65" s="5">
        <v>45748</v>
      </c>
      <c r="B65" t="s">
        <v>45</v>
      </c>
      <c r="C65" t="s">
        <v>42</v>
      </c>
      <c r="D65" t="s">
        <v>41</v>
      </c>
      <c r="E65" s="6">
        <v>26928</v>
      </c>
      <c r="F65" s="6">
        <v>31450.32</v>
      </c>
      <c r="G65" s="6">
        <v>3168</v>
      </c>
      <c r="H65" s="6">
        <v>1354.319999999999</v>
      </c>
      <c r="I65" s="6">
        <v>4522.32</v>
      </c>
      <c r="J65" s="6">
        <v>2.273736754432321E-13</v>
      </c>
    </row>
    <row r="66" spans="1:10">
      <c r="A66" s="5">
        <v>45748</v>
      </c>
      <c r="B66" t="s">
        <v>45</v>
      </c>
      <c r="C66" t="s">
        <v>43</v>
      </c>
      <c r="D66" t="s">
        <v>40</v>
      </c>
      <c r="E66" s="6">
        <v>36953.4</v>
      </c>
      <c r="F66" s="6">
        <v>47392.83</v>
      </c>
      <c r="G66" s="6">
        <v>8398.5</v>
      </c>
      <c r="H66" s="6">
        <v>2040.929999999998</v>
      </c>
      <c r="I66" s="6">
        <v>10439.43</v>
      </c>
      <c r="J66" s="6">
        <v>2.501110429875553E-12</v>
      </c>
    </row>
    <row r="67" spans="1:10">
      <c r="A67" s="5">
        <v>45748</v>
      </c>
      <c r="B67" t="s">
        <v>45</v>
      </c>
      <c r="C67" t="s">
        <v>43</v>
      </c>
      <c r="D67" t="s">
        <v>41</v>
      </c>
      <c r="E67" s="6">
        <v>19008</v>
      </c>
      <c r="F67" s="6">
        <v>21518.64</v>
      </c>
      <c r="G67" s="6">
        <v>1584</v>
      </c>
      <c r="H67" s="6">
        <v>926.6399999999996</v>
      </c>
      <c r="I67" s="6">
        <v>2510.639999999999</v>
      </c>
      <c r="J67" s="6">
        <v>-2.273736754432321E-13</v>
      </c>
    </row>
    <row r="68" spans="1:10">
      <c r="A68" s="5">
        <v>45748</v>
      </c>
      <c r="B68" t="s">
        <v>47</v>
      </c>
      <c r="C68" t="s">
        <v>39</v>
      </c>
      <c r="D68" t="s">
        <v>40</v>
      </c>
      <c r="E68" s="6">
        <v>35996.48</v>
      </c>
      <c r="F68" s="6">
        <v>39786.45</v>
      </c>
      <c r="G68" s="6">
        <v>2076.72</v>
      </c>
      <c r="H68" s="6">
        <v>1713.249999999999</v>
      </c>
      <c r="I68" s="6">
        <v>3789.969999999994</v>
      </c>
      <c r="J68" s="6">
        <v>-5.002220859751105E-12</v>
      </c>
    </row>
    <row r="69" spans="1:10">
      <c r="A69" s="5">
        <v>45748</v>
      </c>
      <c r="B69" t="s">
        <v>47</v>
      </c>
      <c r="C69" t="s">
        <v>39</v>
      </c>
      <c r="D69" t="s">
        <v>41</v>
      </c>
      <c r="E69" s="6">
        <v>16320</v>
      </c>
      <c r="F69" s="6">
        <v>19101.04</v>
      </c>
      <c r="G69" s="6">
        <v>1958.4</v>
      </c>
      <c r="H69" s="6">
        <v>822.6399999999999</v>
      </c>
      <c r="I69" s="6">
        <v>2781.040000000001</v>
      </c>
      <c r="J69" s="6">
        <v>1.13686837721616E-12</v>
      </c>
    </row>
    <row r="70" spans="1:10">
      <c r="A70" s="5">
        <v>45748</v>
      </c>
      <c r="B70" t="s">
        <v>47</v>
      </c>
      <c r="C70" t="s">
        <v>42</v>
      </c>
      <c r="D70" t="s">
        <v>40</v>
      </c>
      <c r="E70" s="6">
        <v>16613.76</v>
      </c>
      <c r="F70" s="6">
        <v>19531.53</v>
      </c>
      <c r="G70" s="6">
        <v>2076.72</v>
      </c>
      <c r="H70" s="6">
        <v>841.0499999999994</v>
      </c>
      <c r="I70" s="6">
        <v>2917.77</v>
      </c>
      <c r="J70" s="6">
        <v>7.958078640513122E-13</v>
      </c>
    </row>
    <row r="71" spans="1:10">
      <c r="A71" s="5">
        <v>45748</v>
      </c>
      <c r="B71" t="s">
        <v>47</v>
      </c>
      <c r="C71" t="s">
        <v>42</v>
      </c>
      <c r="D71" t="s">
        <v>41</v>
      </c>
      <c r="E71" s="6">
        <v>7833.6</v>
      </c>
      <c r="F71" s="6">
        <v>8868.34</v>
      </c>
      <c r="G71" s="6">
        <v>652.8</v>
      </c>
      <c r="H71" s="6">
        <v>381.9399999999999</v>
      </c>
      <c r="I71" s="6">
        <v>1034.74</v>
      </c>
      <c r="J71" s="6">
        <v>-1.13686837721616E-13</v>
      </c>
    </row>
    <row r="72" spans="1:10">
      <c r="A72" s="5">
        <v>45748</v>
      </c>
      <c r="B72" t="s">
        <v>47</v>
      </c>
      <c r="C72" t="s">
        <v>43</v>
      </c>
      <c r="D72" t="s">
        <v>40</v>
      </c>
      <c r="E72" s="6">
        <v>11075.84</v>
      </c>
      <c r="F72" s="6">
        <v>13021.02</v>
      </c>
      <c r="G72" s="6">
        <v>1384.48</v>
      </c>
      <c r="H72" s="6">
        <v>560.6999999999996</v>
      </c>
      <c r="I72" s="6">
        <v>1945.18</v>
      </c>
      <c r="J72" s="6">
        <v>6.821210263296962E-13</v>
      </c>
    </row>
    <row r="73" spans="1:10">
      <c r="A73" s="5">
        <v>45748</v>
      </c>
      <c r="B73" t="s">
        <v>47</v>
      </c>
      <c r="C73" t="s">
        <v>43</v>
      </c>
      <c r="D73" t="s">
        <v>41</v>
      </c>
      <c r="E73" s="6">
        <v>5875.2</v>
      </c>
      <c r="F73" s="6">
        <v>6821.8</v>
      </c>
      <c r="G73" s="6">
        <v>652.8</v>
      </c>
      <c r="H73" s="6">
        <v>293.8</v>
      </c>
      <c r="I73" s="6">
        <v>946.6000000000004</v>
      </c>
      <c r="J73" s="6">
        <v>4.547473508864641E-13</v>
      </c>
    </row>
    <row r="74" spans="1:10">
      <c r="A74" s="5">
        <v>45778</v>
      </c>
      <c r="B74" t="s">
        <v>38</v>
      </c>
      <c r="C74" t="s">
        <v>39</v>
      </c>
      <c r="D74" t="s">
        <v>40</v>
      </c>
      <c r="E74" s="6">
        <v>283207.6</v>
      </c>
      <c r="F74" s="6">
        <v>342972.84</v>
      </c>
      <c r="G74" s="6">
        <v>44995.60000000001</v>
      </c>
      <c r="H74" s="6">
        <v>14769.63999999996</v>
      </c>
      <c r="I74" s="6">
        <v>59765.24000000005</v>
      </c>
      <c r="J74" s="6">
        <v>8.36735125631094E-11</v>
      </c>
    </row>
    <row r="75" spans="1:10">
      <c r="A75" s="5">
        <v>45778</v>
      </c>
      <c r="B75" t="s">
        <v>38</v>
      </c>
      <c r="C75" t="s">
        <v>39</v>
      </c>
      <c r="D75" t="s">
        <v>41</v>
      </c>
      <c r="E75" s="6">
        <v>144768</v>
      </c>
      <c r="F75" s="6">
        <v>164324.16</v>
      </c>
      <c r="G75" s="6">
        <v>12480</v>
      </c>
      <c r="H75" s="6">
        <v>7076.160000000011</v>
      </c>
      <c r="I75" s="6">
        <v>19556.16</v>
      </c>
      <c r="J75" s="6">
        <v>-7.275957614183426E-12</v>
      </c>
    </row>
    <row r="76" spans="1:10">
      <c r="A76" s="5">
        <v>45778</v>
      </c>
      <c r="B76" t="s">
        <v>38</v>
      </c>
      <c r="C76" t="s">
        <v>42</v>
      </c>
      <c r="D76" t="s">
        <v>40</v>
      </c>
      <c r="E76" s="6">
        <v>129693.2</v>
      </c>
      <c r="F76" s="6">
        <v>168720.51</v>
      </c>
      <c r="G76" s="6">
        <v>31761.6</v>
      </c>
      <c r="H76" s="6">
        <v>7265.70999999998</v>
      </c>
      <c r="I76" s="6">
        <v>39027.31000000001</v>
      </c>
      <c r="J76" s="6">
        <v>3.001332515850663E-11</v>
      </c>
    </row>
    <row r="77" spans="1:10">
      <c r="A77" s="5">
        <v>45778</v>
      </c>
      <c r="B77" t="s">
        <v>38</v>
      </c>
      <c r="C77" t="s">
        <v>42</v>
      </c>
      <c r="D77" t="s">
        <v>41</v>
      </c>
      <c r="E77" s="6">
        <v>62400</v>
      </c>
      <c r="F77" s="6">
        <v>80857.92</v>
      </c>
      <c r="G77" s="6">
        <v>14976</v>
      </c>
      <c r="H77" s="6">
        <v>3481.920000000005</v>
      </c>
      <c r="I77" s="6">
        <v>18457.92</v>
      </c>
      <c r="J77" s="6">
        <v>-6.821210263296962E-12</v>
      </c>
    </row>
    <row r="78" spans="1:10">
      <c r="A78" s="5">
        <v>45778</v>
      </c>
      <c r="B78" t="s">
        <v>38</v>
      </c>
      <c r="C78" t="s">
        <v>43</v>
      </c>
      <c r="D78" t="s">
        <v>40</v>
      </c>
      <c r="E78" s="6">
        <v>95284.8</v>
      </c>
      <c r="F78" s="6">
        <v>110636.4</v>
      </c>
      <c r="G78" s="6">
        <v>10587.2</v>
      </c>
      <c r="H78" s="6">
        <v>4764.399999999987</v>
      </c>
      <c r="I78" s="6">
        <v>15351.59999999999</v>
      </c>
      <c r="J78" s="6">
        <v>3.637978807091713E-12</v>
      </c>
    </row>
    <row r="79" spans="1:10">
      <c r="A79" s="5">
        <v>45778</v>
      </c>
      <c r="B79" t="s">
        <v>38</v>
      </c>
      <c r="C79" t="s">
        <v>43</v>
      </c>
      <c r="D79" t="s">
        <v>41</v>
      </c>
      <c r="E79" s="6">
        <v>44928</v>
      </c>
      <c r="F79" s="6">
        <v>54774.72</v>
      </c>
      <c r="G79" s="6">
        <v>7488</v>
      </c>
      <c r="H79" s="6">
        <v>2358.720000000003</v>
      </c>
      <c r="I79" s="6">
        <v>9846.720000000001</v>
      </c>
      <c r="J79" s="6">
        <v>-2.273736754432321E-12</v>
      </c>
    </row>
    <row r="80" spans="1:10">
      <c r="A80" s="5">
        <v>45778</v>
      </c>
      <c r="B80" t="s">
        <v>45</v>
      </c>
      <c r="C80" t="s">
        <v>39</v>
      </c>
      <c r="D80" t="s">
        <v>40</v>
      </c>
      <c r="E80" s="6">
        <v>124297.8</v>
      </c>
      <c r="F80" s="6">
        <v>152710.23</v>
      </c>
      <c r="G80" s="6">
        <v>21836.1</v>
      </c>
      <c r="H80" s="6">
        <v>6576.329999999993</v>
      </c>
      <c r="I80" s="6">
        <v>28412.43000000001</v>
      </c>
      <c r="J80" s="6">
        <v>1.2732925824821E-11</v>
      </c>
    </row>
    <row r="81" spans="1:10">
      <c r="A81" s="5">
        <v>45778</v>
      </c>
      <c r="B81" t="s">
        <v>45</v>
      </c>
      <c r="C81" t="s">
        <v>39</v>
      </c>
      <c r="D81" t="s">
        <v>41</v>
      </c>
      <c r="E81" s="6">
        <v>58608</v>
      </c>
      <c r="F81" s="6">
        <v>76142.88</v>
      </c>
      <c r="G81" s="6">
        <v>14256</v>
      </c>
      <c r="H81" s="6">
        <v>3278.879999999999</v>
      </c>
      <c r="I81" s="6">
        <v>17534.88</v>
      </c>
      <c r="J81" s="6">
        <v>5.911715561524034E-12</v>
      </c>
    </row>
    <row r="82" spans="1:10">
      <c r="A82" s="5">
        <v>45778</v>
      </c>
      <c r="B82" t="s">
        <v>45</v>
      </c>
      <c r="C82" t="s">
        <v>42</v>
      </c>
      <c r="D82" t="s">
        <v>40</v>
      </c>
      <c r="E82" s="6">
        <v>58789.5</v>
      </c>
      <c r="F82" s="6">
        <v>73722.17999999999</v>
      </c>
      <c r="G82" s="6">
        <v>11757.9</v>
      </c>
      <c r="H82" s="6">
        <v>3174.779999999997</v>
      </c>
      <c r="I82" s="6">
        <v>14932.67999999999</v>
      </c>
      <c r="J82" s="6">
        <v>-3.183231456205249E-12</v>
      </c>
    </row>
    <row r="83" spans="1:10">
      <c r="A83" s="5">
        <v>45778</v>
      </c>
      <c r="B83" t="s">
        <v>45</v>
      </c>
      <c r="C83" t="s">
        <v>42</v>
      </c>
      <c r="D83" t="s">
        <v>41</v>
      </c>
      <c r="E83" s="6">
        <v>30096</v>
      </c>
      <c r="F83" s="6">
        <v>34760.88</v>
      </c>
      <c r="G83" s="6">
        <v>3168</v>
      </c>
      <c r="H83" s="6">
        <v>1496.879999999999</v>
      </c>
      <c r="I83" s="6">
        <v>4664.879999999997</v>
      </c>
      <c r="J83" s="6">
        <v>-2.046363078989089E-12</v>
      </c>
    </row>
    <row r="84" spans="1:10">
      <c r="A84" s="5">
        <v>45778</v>
      </c>
      <c r="B84" t="s">
        <v>45</v>
      </c>
      <c r="C84" t="s">
        <v>43</v>
      </c>
      <c r="D84" t="s">
        <v>40</v>
      </c>
      <c r="E84" s="6">
        <v>38633.1</v>
      </c>
      <c r="F84" s="6">
        <v>49148.12</v>
      </c>
      <c r="G84" s="6">
        <v>8398.5</v>
      </c>
      <c r="H84" s="6">
        <v>2116.519999999998</v>
      </c>
      <c r="I84" s="6">
        <v>10515.02</v>
      </c>
      <c r="J84" s="6">
        <v>6.366462912410498E-12</v>
      </c>
    </row>
    <row r="85" spans="1:10">
      <c r="A85" s="5">
        <v>45778</v>
      </c>
      <c r="B85" t="s">
        <v>45</v>
      </c>
      <c r="C85" t="s">
        <v>43</v>
      </c>
      <c r="D85" t="s">
        <v>41</v>
      </c>
      <c r="E85" s="6">
        <v>19008</v>
      </c>
      <c r="F85" s="6">
        <v>23173.92</v>
      </c>
      <c r="G85" s="6">
        <v>3168</v>
      </c>
      <c r="H85" s="6">
        <v>997.9199999999996</v>
      </c>
      <c r="I85" s="6">
        <v>4165.919999999998</v>
      </c>
      <c r="J85" s="6">
        <v>-1.364242052659392E-12</v>
      </c>
    </row>
    <row r="86" spans="1:10">
      <c r="A86" s="5">
        <v>45778</v>
      </c>
      <c r="B86" t="s">
        <v>47</v>
      </c>
      <c r="C86" t="s">
        <v>39</v>
      </c>
      <c r="D86" t="s">
        <v>40</v>
      </c>
      <c r="E86" s="6">
        <v>36688.72</v>
      </c>
      <c r="F86" s="6">
        <v>44850.18</v>
      </c>
      <c r="G86" s="6">
        <v>6230.16</v>
      </c>
      <c r="H86" s="6">
        <v>1931.299999999999</v>
      </c>
      <c r="I86" s="6">
        <v>8161.459999999999</v>
      </c>
      <c r="J86" s="6">
        <v>6.821210263296962E-13</v>
      </c>
    </row>
    <row r="87" spans="1:10">
      <c r="A87" s="5">
        <v>45778</v>
      </c>
      <c r="B87" t="s">
        <v>47</v>
      </c>
      <c r="C87" t="s">
        <v>39</v>
      </c>
      <c r="D87" t="s">
        <v>41</v>
      </c>
      <c r="E87" s="6">
        <v>18278.4</v>
      </c>
      <c r="F87" s="6">
        <v>22511.94</v>
      </c>
      <c r="G87" s="6">
        <v>3264</v>
      </c>
      <c r="H87" s="6">
        <v>969.5399999999998</v>
      </c>
      <c r="I87" s="6">
        <v>4233.539999999997</v>
      </c>
      <c r="J87" s="6">
        <v>-2.614797267597169E-12</v>
      </c>
    </row>
    <row r="88" spans="1:10">
      <c r="A88" s="5">
        <v>45778</v>
      </c>
      <c r="B88" t="s">
        <v>47</v>
      </c>
      <c r="C88" t="s">
        <v>42</v>
      </c>
      <c r="D88" t="s">
        <v>40</v>
      </c>
      <c r="E88" s="6">
        <v>15921.52</v>
      </c>
      <c r="F88" s="6">
        <v>19531.53</v>
      </c>
      <c r="G88" s="6">
        <v>2768.96</v>
      </c>
      <c r="H88" s="6">
        <v>841.0499999999994</v>
      </c>
      <c r="I88" s="6">
        <v>3610.009999999998</v>
      </c>
      <c r="J88" s="6">
        <v>-1.023181539494544E-12</v>
      </c>
    </row>
    <row r="89" spans="1:10">
      <c r="A89" s="5">
        <v>45778</v>
      </c>
      <c r="B89" t="s">
        <v>47</v>
      </c>
      <c r="C89" t="s">
        <v>42</v>
      </c>
      <c r="D89" t="s">
        <v>41</v>
      </c>
      <c r="E89" s="6">
        <v>8486.4</v>
      </c>
      <c r="F89" s="6">
        <v>9550.52</v>
      </c>
      <c r="G89" s="6">
        <v>652.8</v>
      </c>
      <c r="H89" s="6">
        <v>411.3199999999999</v>
      </c>
      <c r="I89" s="6">
        <v>1064.120000000001</v>
      </c>
      <c r="J89" s="6">
        <v>9.094947017729282E-13</v>
      </c>
    </row>
    <row r="90" spans="1:10">
      <c r="A90" s="5">
        <v>45778</v>
      </c>
      <c r="B90" t="s">
        <v>47</v>
      </c>
      <c r="C90" t="s">
        <v>43</v>
      </c>
      <c r="D90" t="s">
        <v>40</v>
      </c>
      <c r="E90" s="6">
        <v>11075.84</v>
      </c>
      <c r="F90" s="6">
        <v>14467.8</v>
      </c>
      <c r="G90" s="6">
        <v>2768.96</v>
      </c>
      <c r="H90" s="6">
        <v>622.9999999999995</v>
      </c>
      <c r="I90" s="6">
        <v>3391.959999999999</v>
      </c>
      <c r="J90" s="6">
        <v>-4.547473508864641E-13</v>
      </c>
    </row>
    <row r="91" spans="1:10">
      <c r="A91" s="5">
        <v>45778</v>
      </c>
      <c r="B91" t="s">
        <v>47</v>
      </c>
      <c r="C91" t="s">
        <v>43</v>
      </c>
      <c r="D91" t="s">
        <v>41</v>
      </c>
      <c r="E91" s="6">
        <v>5875.2</v>
      </c>
      <c r="F91" s="6">
        <v>6821.8</v>
      </c>
      <c r="G91" s="6">
        <v>652.8</v>
      </c>
      <c r="H91" s="6">
        <v>293.8</v>
      </c>
      <c r="I91" s="6">
        <v>946.6000000000004</v>
      </c>
      <c r="J91" s="6">
        <v>4.547473508864641E-13</v>
      </c>
    </row>
    <row r="92" spans="1:10">
      <c r="A92" s="5">
        <v>45809</v>
      </c>
      <c r="B92" t="s">
        <v>38</v>
      </c>
      <c r="C92" t="s">
        <v>39</v>
      </c>
      <c r="D92" t="s">
        <v>40</v>
      </c>
      <c r="E92" s="6">
        <v>307028.8</v>
      </c>
      <c r="F92" s="6">
        <v>362334.21</v>
      </c>
      <c r="G92" s="6">
        <v>39702</v>
      </c>
      <c r="H92" s="6">
        <v>15603.40999999996</v>
      </c>
      <c r="I92" s="6">
        <v>55305.41000000003</v>
      </c>
      <c r="J92" s="6">
        <v>7.639755494892597E-11</v>
      </c>
    </row>
    <row r="93" spans="1:10">
      <c r="A93" s="5">
        <v>45809</v>
      </c>
      <c r="B93" t="s">
        <v>38</v>
      </c>
      <c r="C93" t="s">
        <v>39</v>
      </c>
      <c r="D93" t="s">
        <v>41</v>
      </c>
      <c r="E93" s="6">
        <v>137280</v>
      </c>
      <c r="F93" s="6">
        <v>164324.16</v>
      </c>
      <c r="G93" s="6">
        <v>19968</v>
      </c>
      <c r="H93" s="6">
        <v>7076.160000000011</v>
      </c>
      <c r="I93" s="6">
        <v>27044.16</v>
      </c>
      <c r="J93" s="6">
        <v>-7.275957614183426E-12</v>
      </c>
    </row>
    <row r="94" spans="1:10">
      <c r="A94" s="5">
        <v>45809</v>
      </c>
      <c r="B94" t="s">
        <v>38</v>
      </c>
      <c r="C94" t="s">
        <v>42</v>
      </c>
      <c r="D94" t="s">
        <v>40</v>
      </c>
      <c r="E94" s="6">
        <v>132340</v>
      </c>
      <c r="F94" s="6">
        <v>165954.6</v>
      </c>
      <c r="G94" s="6">
        <v>26468</v>
      </c>
      <c r="H94" s="6">
        <v>7146.59999999998</v>
      </c>
      <c r="I94" s="6">
        <v>33614.60000000001</v>
      </c>
      <c r="J94" s="6">
        <v>2.546585164964199E-11</v>
      </c>
    </row>
    <row r="95" spans="1:10">
      <c r="A95" s="5">
        <v>45809</v>
      </c>
      <c r="B95" t="s">
        <v>38</v>
      </c>
      <c r="C95" t="s">
        <v>42</v>
      </c>
      <c r="D95" t="s">
        <v>41</v>
      </c>
      <c r="E95" s="6">
        <v>69888</v>
      </c>
      <c r="F95" s="6">
        <v>83466.24000000001</v>
      </c>
      <c r="G95" s="6">
        <v>9984</v>
      </c>
      <c r="H95" s="6">
        <v>3594.240000000005</v>
      </c>
      <c r="I95" s="6">
        <v>13578.24000000001</v>
      </c>
      <c r="J95" s="6">
        <v>0</v>
      </c>
    </row>
    <row r="96" spans="1:10">
      <c r="A96" s="5">
        <v>45809</v>
      </c>
      <c r="B96" t="s">
        <v>38</v>
      </c>
      <c r="C96" t="s">
        <v>43</v>
      </c>
      <c r="D96" t="s">
        <v>40</v>
      </c>
      <c r="E96" s="6">
        <v>95284.8</v>
      </c>
      <c r="F96" s="6">
        <v>110636.4</v>
      </c>
      <c r="G96" s="6">
        <v>10587.2</v>
      </c>
      <c r="H96" s="6">
        <v>4764.399999999987</v>
      </c>
      <c r="I96" s="6">
        <v>15351.59999999999</v>
      </c>
      <c r="J96" s="6">
        <v>3.637978807091713E-12</v>
      </c>
    </row>
    <row r="97" spans="1:10">
      <c r="A97" s="5">
        <v>45809</v>
      </c>
      <c r="B97" t="s">
        <v>38</v>
      </c>
      <c r="C97" t="s">
        <v>43</v>
      </c>
      <c r="D97" t="s">
        <v>41</v>
      </c>
      <c r="E97" s="6">
        <v>44928</v>
      </c>
      <c r="F97" s="6">
        <v>54774.72</v>
      </c>
      <c r="G97" s="6">
        <v>7488</v>
      </c>
      <c r="H97" s="6">
        <v>2358.720000000003</v>
      </c>
      <c r="I97" s="6">
        <v>9846.720000000001</v>
      </c>
      <c r="J97" s="6">
        <v>-2.273736754432321E-12</v>
      </c>
    </row>
    <row r="98" spans="1:10">
      <c r="A98" s="5">
        <v>45809</v>
      </c>
      <c r="B98" t="s">
        <v>45</v>
      </c>
      <c r="C98" t="s">
        <v>39</v>
      </c>
      <c r="D98" t="s">
        <v>40</v>
      </c>
      <c r="E98" s="6">
        <v>134376</v>
      </c>
      <c r="F98" s="6">
        <v>150954.94</v>
      </c>
      <c r="G98" s="6">
        <v>10078.2</v>
      </c>
      <c r="H98" s="6">
        <v>6500.739999999993</v>
      </c>
      <c r="I98" s="6">
        <v>16578.94</v>
      </c>
      <c r="J98" s="6">
        <v>9.094947017729282E-12</v>
      </c>
    </row>
    <row r="99" spans="1:10">
      <c r="A99" s="5">
        <v>45809</v>
      </c>
      <c r="B99" t="s">
        <v>45</v>
      </c>
      <c r="C99" t="s">
        <v>39</v>
      </c>
      <c r="D99" t="s">
        <v>41</v>
      </c>
      <c r="E99" s="6">
        <v>66528</v>
      </c>
      <c r="F99" s="6">
        <v>77798.16</v>
      </c>
      <c r="G99" s="6">
        <v>7920</v>
      </c>
      <c r="H99" s="6">
        <v>3350.159999999999</v>
      </c>
      <c r="I99" s="6">
        <v>11270.16</v>
      </c>
      <c r="J99" s="6">
        <v>4.547473508864641E-12</v>
      </c>
    </row>
    <row r="100" spans="1:10">
      <c r="A100" s="5">
        <v>45809</v>
      </c>
      <c r="B100" t="s">
        <v>45</v>
      </c>
      <c r="C100" t="s">
        <v>42</v>
      </c>
      <c r="D100" t="s">
        <v>40</v>
      </c>
      <c r="E100" s="6">
        <v>57109.8</v>
      </c>
      <c r="F100" s="6">
        <v>73722.17999999999</v>
      </c>
      <c r="G100" s="6">
        <v>13437.6</v>
      </c>
      <c r="H100" s="6">
        <v>3174.779999999997</v>
      </c>
      <c r="I100" s="6">
        <v>16612.37999999999</v>
      </c>
      <c r="J100" s="6">
        <v>-6.821210263296962E-12</v>
      </c>
    </row>
    <row r="101" spans="1:10">
      <c r="A101" s="5">
        <v>45809</v>
      </c>
      <c r="B101" t="s">
        <v>45</v>
      </c>
      <c r="C101" t="s">
        <v>42</v>
      </c>
      <c r="D101" t="s">
        <v>41</v>
      </c>
      <c r="E101" s="6">
        <v>26928</v>
      </c>
      <c r="F101" s="6">
        <v>36416.16</v>
      </c>
      <c r="G101" s="6">
        <v>7920</v>
      </c>
      <c r="H101" s="6">
        <v>1568.159999999999</v>
      </c>
      <c r="I101" s="6">
        <v>9488.160000000003</v>
      </c>
      <c r="J101" s="6">
        <v>4.092726157978177E-12</v>
      </c>
    </row>
    <row r="102" spans="1:10">
      <c r="A102" s="5">
        <v>45809</v>
      </c>
      <c r="B102" t="s">
        <v>45</v>
      </c>
      <c r="C102" t="s">
        <v>43</v>
      </c>
      <c r="D102" t="s">
        <v>40</v>
      </c>
      <c r="E102" s="6">
        <v>40312.8</v>
      </c>
      <c r="F102" s="6">
        <v>49148.12</v>
      </c>
      <c r="G102" s="6">
        <v>6718.8</v>
      </c>
      <c r="H102" s="6">
        <v>2116.519999999998</v>
      </c>
      <c r="I102" s="6">
        <v>8835.32</v>
      </c>
      <c r="J102" s="6">
        <v>1.818989403545856E-12</v>
      </c>
    </row>
    <row r="103" spans="1:10">
      <c r="A103" s="5">
        <v>45809</v>
      </c>
      <c r="B103" t="s">
        <v>45</v>
      </c>
      <c r="C103" t="s">
        <v>43</v>
      </c>
      <c r="D103" t="s">
        <v>41</v>
      </c>
      <c r="E103" s="6">
        <v>20592</v>
      </c>
      <c r="F103" s="6">
        <v>23173.92</v>
      </c>
      <c r="G103" s="6">
        <v>1584</v>
      </c>
      <c r="H103" s="6">
        <v>997.9199999999996</v>
      </c>
      <c r="I103" s="6">
        <v>2581.919999999998</v>
      </c>
      <c r="J103" s="6">
        <v>-1.364242052659392E-12</v>
      </c>
    </row>
    <row r="104" spans="1:10">
      <c r="A104" s="5">
        <v>45809</v>
      </c>
      <c r="B104" t="s">
        <v>47</v>
      </c>
      <c r="C104" t="s">
        <v>39</v>
      </c>
      <c r="D104" t="s">
        <v>40</v>
      </c>
      <c r="E104" s="6">
        <v>34612</v>
      </c>
      <c r="F104" s="6">
        <v>44850.18</v>
      </c>
      <c r="G104" s="6">
        <v>8306.880000000001</v>
      </c>
      <c r="H104" s="6">
        <v>1931.299999999999</v>
      </c>
      <c r="I104" s="6">
        <v>10238.18</v>
      </c>
      <c r="J104" s="6">
        <v>6.821210263296962E-13</v>
      </c>
    </row>
    <row r="105" spans="1:10">
      <c r="A105" s="5">
        <v>45809</v>
      </c>
      <c r="B105" t="s">
        <v>47</v>
      </c>
      <c r="C105" t="s">
        <v>39</v>
      </c>
      <c r="D105" t="s">
        <v>41</v>
      </c>
      <c r="E105" s="6">
        <v>18931.2</v>
      </c>
      <c r="F105" s="6">
        <v>22511.94</v>
      </c>
      <c r="G105" s="6">
        <v>2611.2</v>
      </c>
      <c r="H105" s="6">
        <v>969.5399999999998</v>
      </c>
      <c r="I105" s="6">
        <v>3580.739999999998</v>
      </c>
      <c r="J105" s="6">
        <v>-1.70530256582424E-12</v>
      </c>
    </row>
    <row r="106" spans="1:10">
      <c r="A106" s="5">
        <v>45809</v>
      </c>
      <c r="B106" t="s">
        <v>47</v>
      </c>
      <c r="C106" t="s">
        <v>42</v>
      </c>
      <c r="D106" t="s">
        <v>40</v>
      </c>
      <c r="E106" s="6">
        <v>16613.76</v>
      </c>
      <c r="F106" s="6">
        <v>20254.92</v>
      </c>
      <c r="G106" s="6">
        <v>2768.96</v>
      </c>
      <c r="H106" s="6">
        <v>872.1999999999994</v>
      </c>
      <c r="I106" s="6">
        <v>3641.16</v>
      </c>
      <c r="J106" s="6">
        <v>4.547473508864641E-13</v>
      </c>
    </row>
    <row r="107" spans="1:10">
      <c r="A107" s="5">
        <v>45809</v>
      </c>
      <c r="B107" t="s">
        <v>47</v>
      </c>
      <c r="C107" t="s">
        <v>42</v>
      </c>
      <c r="D107" t="s">
        <v>41</v>
      </c>
      <c r="E107" s="6">
        <v>8486.4</v>
      </c>
      <c r="F107" s="6">
        <v>9550.52</v>
      </c>
      <c r="G107" s="6">
        <v>652.8</v>
      </c>
      <c r="H107" s="6">
        <v>411.3199999999999</v>
      </c>
      <c r="I107" s="6">
        <v>1064.120000000001</v>
      </c>
      <c r="J107" s="6">
        <v>9.094947017729282E-13</v>
      </c>
    </row>
    <row r="108" spans="1:10">
      <c r="A108" s="5">
        <v>45809</v>
      </c>
      <c r="B108" t="s">
        <v>47</v>
      </c>
      <c r="C108" t="s">
        <v>43</v>
      </c>
      <c r="D108" t="s">
        <v>40</v>
      </c>
      <c r="E108" s="6">
        <v>11075.84</v>
      </c>
      <c r="F108" s="6">
        <v>14467.8</v>
      </c>
      <c r="G108" s="6">
        <v>2768.96</v>
      </c>
      <c r="H108" s="6">
        <v>622.9999999999995</v>
      </c>
      <c r="I108" s="6">
        <v>3391.959999999999</v>
      </c>
      <c r="J108" s="6">
        <v>-4.547473508864641E-13</v>
      </c>
    </row>
    <row r="109" spans="1:10">
      <c r="A109" s="5">
        <v>45809</v>
      </c>
      <c r="B109" t="s">
        <v>47</v>
      </c>
      <c r="C109" t="s">
        <v>43</v>
      </c>
      <c r="D109" t="s">
        <v>41</v>
      </c>
      <c r="E109" s="6">
        <v>5875.2</v>
      </c>
      <c r="F109" s="6">
        <v>6821.8</v>
      </c>
      <c r="G109" s="6">
        <v>652.8</v>
      </c>
      <c r="H109" s="6">
        <v>293.8</v>
      </c>
      <c r="I109" s="6">
        <v>946.6000000000004</v>
      </c>
      <c r="J109" s="6">
        <v>4.547473508864641E-13</v>
      </c>
    </row>
    <row r="110" spans="1:10">
      <c r="A110" s="5">
        <v>45839</v>
      </c>
      <c r="B110" t="s">
        <v>38</v>
      </c>
      <c r="C110" t="s">
        <v>39</v>
      </c>
      <c r="D110" t="s">
        <v>40</v>
      </c>
      <c r="E110" s="6">
        <v>251446</v>
      </c>
      <c r="F110" s="6">
        <v>262761.45</v>
      </c>
      <c r="G110" s="6">
        <v>0</v>
      </c>
      <c r="H110" s="6">
        <v>11315.44999999997</v>
      </c>
      <c r="I110" s="6">
        <v>11315.45000000001</v>
      </c>
      <c r="J110" s="6">
        <v>4.365574568510056E-11</v>
      </c>
    </row>
    <row r="111" spans="1:10">
      <c r="A111" s="5">
        <v>45839</v>
      </c>
      <c r="B111" t="s">
        <v>38</v>
      </c>
      <c r="C111" t="s">
        <v>39</v>
      </c>
      <c r="D111" t="s">
        <v>41</v>
      </c>
      <c r="E111" s="6">
        <v>129792</v>
      </c>
      <c r="F111" s="6">
        <v>138240.96</v>
      </c>
      <c r="G111" s="6">
        <v>2496</v>
      </c>
      <c r="H111" s="6">
        <v>5952.960000000008</v>
      </c>
      <c r="I111" s="6">
        <v>8448.959999999992</v>
      </c>
      <c r="J111" s="6">
        <v>-1.637090463191271E-11</v>
      </c>
    </row>
    <row r="112" spans="1:10">
      <c r="A112" s="5">
        <v>45839</v>
      </c>
      <c r="B112" t="s">
        <v>38</v>
      </c>
      <c r="C112" t="s">
        <v>42</v>
      </c>
      <c r="D112" t="s">
        <v>40</v>
      </c>
      <c r="E112" s="6">
        <v>129693.2</v>
      </c>
      <c r="F112" s="6">
        <v>121700.04</v>
      </c>
      <c r="G112" s="6">
        <v>-13234</v>
      </c>
      <c r="H112" s="6">
        <v>5240.839999999986</v>
      </c>
      <c r="I112" s="6">
        <v>-7993.160000000003</v>
      </c>
      <c r="J112" s="6">
        <v>1.091393642127514E-11</v>
      </c>
    </row>
    <row r="113" spans="1:10">
      <c r="A113" s="5">
        <v>45839</v>
      </c>
      <c r="B113" t="s">
        <v>38</v>
      </c>
      <c r="C113" t="s">
        <v>42</v>
      </c>
      <c r="D113" t="s">
        <v>41</v>
      </c>
      <c r="E113" s="6">
        <v>59904</v>
      </c>
      <c r="F113" s="6">
        <v>65208</v>
      </c>
      <c r="G113" s="6">
        <v>2496</v>
      </c>
      <c r="H113" s="6">
        <v>2808.000000000004</v>
      </c>
      <c r="I113" s="6">
        <v>5304</v>
      </c>
      <c r="J113" s="6">
        <v>-4.092726157978177E-12</v>
      </c>
    </row>
    <row r="114" spans="1:10">
      <c r="A114" s="5">
        <v>45839</v>
      </c>
      <c r="B114" t="s">
        <v>38</v>
      </c>
      <c r="C114" t="s">
        <v>43</v>
      </c>
      <c r="D114" t="s">
        <v>40</v>
      </c>
      <c r="E114" s="6">
        <v>89991.2</v>
      </c>
      <c r="F114" s="6">
        <v>88509.12</v>
      </c>
      <c r="G114" s="6">
        <v>-5293.6</v>
      </c>
      <c r="H114" s="6">
        <v>3811.51999999999</v>
      </c>
      <c r="I114" s="6">
        <v>-1482.080000000002</v>
      </c>
      <c r="J114" s="6">
        <v>9.094947017729282E-12</v>
      </c>
    </row>
    <row r="115" spans="1:10">
      <c r="A115" s="5">
        <v>45839</v>
      </c>
      <c r="B115" t="s">
        <v>38</v>
      </c>
      <c r="C115" t="s">
        <v>43</v>
      </c>
      <c r="D115" t="s">
        <v>41</v>
      </c>
      <c r="E115" s="6">
        <v>39936</v>
      </c>
      <c r="F115" s="6">
        <v>44341.44</v>
      </c>
      <c r="G115" s="6">
        <v>2496</v>
      </c>
      <c r="H115" s="6">
        <v>1909.440000000003</v>
      </c>
      <c r="I115" s="6">
        <v>4405.440000000002</v>
      </c>
      <c r="J115" s="6">
        <v>-4.547473508864641E-13</v>
      </c>
    </row>
    <row r="116" spans="1:10">
      <c r="A116" s="5">
        <v>45839</v>
      </c>
      <c r="B116" t="s">
        <v>45</v>
      </c>
      <c r="C116" t="s">
        <v>39</v>
      </c>
      <c r="D116" t="s">
        <v>40</v>
      </c>
      <c r="E116" s="6">
        <v>109180.5</v>
      </c>
      <c r="F116" s="6">
        <v>149199.65</v>
      </c>
      <c r="G116" s="6">
        <v>33594</v>
      </c>
      <c r="H116" s="6">
        <v>6425.149999999993</v>
      </c>
      <c r="I116" s="6">
        <v>40019.14999999999</v>
      </c>
      <c r="J116" s="6">
        <v>9.094947017729282E-13</v>
      </c>
    </row>
    <row r="117" spans="1:10">
      <c r="A117" s="5">
        <v>45839</v>
      </c>
      <c r="B117" t="s">
        <v>45</v>
      </c>
      <c r="C117" t="s">
        <v>39</v>
      </c>
      <c r="D117" t="s">
        <v>41</v>
      </c>
      <c r="E117" s="6">
        <v>55440</v>
      </c>
      <c r="F117" s="6">
        <v>69521.75999999999</v>
      </c>
      <c r="G117" s="6">
        <v>11088</v>
      </c>
      <c r="H117" s="6">
        <v>2993.759999999999</v>
      </c>
      <c r="I117" s="6">
        <v>14081.75999999999</v>
      </c>
      <c r="J117" s="6">
        <v>-4.092726157978177E-12</v>
      </c>
    </row>
    <row r="118" spans="1:10">
      <c r="A118" s="5">
        <v>45839</v>
      </c>
      <c r="B118" t="s">
        <v>45</v>
      </c>
      <c r="C118" t="s">
        <v>42</v>
      </c>
      <c r="D118" t="s">
        <v>40</v>
      </c>
      <c r="E118" s="6">
        <v>50391</v>
      </c>
      <c r="F118" s="6">
        <v>63190.44</v>
      </c>
      <c r="G118" s="6">
        <v>10078.2</v>
      </c>
      <c r="H118" s="6">
        <v>2721.239999999997</v>
      </c>
      <c r="I118" s="6">
        <v>12799.44</v>
      </c>
      <c r="J118" s="6">
        <v>4.547473508864641E-12</v>
      </c>
    </row>
    <row r="119" spans="1:10">
      <c r="A119" s="5">
        <v>45839</v>
      </c>
      <c r="B119" t="s">
        <v>45</v>
      </c>
      <c r="C119" t="s">
        <v>42</v>
      </c>
      <c r="D119" t="s">
        <v>41</v>
      </c>
      <c r="E119" s="6">
        <v>26928</v>
      </c>
      <c r="F119" s="6">
        <v>31450.32</v>
      </c>
      <c r="G119" s="6">
        <v>3168</v>
      </c>
      <c r="H119" s="6">
        <v>1354.319999999999</v>
      </c>
      <c r="I119" s="6">
        <v>4522.32</v>
      </c>
      <c r="J119" s="6">
        <v>2.273736754432321E-13</v>
      </c>
    </row>
    <row r="120" spans="1:10">
      <c r="A120" s="5">
        <v>45839</v>
      </c>
      <c r="B120" t="s">
        <v>45</v>
      </c>
      <c r="C120" t="s">
        <v>43</v>
      </c>
      <c r="D120" t="s">
        <v>40</v>
      </c>
      <c r="E120" s="6">
        <v>35273.7</v>
      </c>
      <c r="F120" s="6">
        <v>47392.83</v>
      </c>
      <c r="G120" s="6">
        <v>10078.2</v>
      </c>
      <c r="H120" s="6">
        <v>2040.929999999998</v>
      </c>
      <c r="I120" s="6">
        <v>12119.13</v>
      </c>
      <c r="J120" s="6">
        <v>6.139089236967266E-12</v>
      </c>
    </row>
    <row r="121" spans="1:10">
      <c r="A121" s="5">
        <v>45839</v>
      </c>
      <c r="B121" t="s">
        <v>45</v>
      </c>
      <c r="C121" t="s">
        <v>43</v>
      </c>
      <c r="D121" t="s">
        <v>41</v>
      </c>
      <c r="E121" s="6">
        <v>19008</v>
      </c>
      <c r="F121" s="6">
        <v>21518.64</v>
      </c>
      <c r="G121" s="6">
        <v>1584</v>
      </c>
      <c r="H121" s="6">
        <v>926.6399999999996</v>
      </c>
      <c r="I121" s="6">
        <v>2510.639999999999</v>
      </c>
      <c r="J121" s="6">
        <v>-2.273736754432321E-13</v>
      </c>
    </row>
    <row r="122" spans="1:10">
      <c r="A122" s="5">
        <v>45839</v>
      </c>
      <c r="B122" t="s">
        <v>47</v>
      </c>
      <c r="C122" t="s">
        <v>39</v>
      </c>
      <c r="D122" t="s">
        <v>40</v>
      </c>
      <c r="E122" s="6">
        <v>31843.04</v>
      </c>
      <c r="F122" s="6">
        <v>39063.06</v>
      </c>
      <c r="G122" s="6">
        <v>5537.92</v>
      </c>
      <c r="H122" s="6">
        <v>1682.099999999999</v>
      </c>
      <c r="I122" s="6">
        <v>7220.019999999997</v>
      </c>
      <c r="J122" s="6">
        <v>-2.046363078989089E-12</v>
      </c>
    </row>
    <row r="123" spans="1:10">
      <c r="A123" s="5">
        <v>45839</v>
      </c>
      <c r="B123" t="s">
        <v>47</v>
      </c>
      <c r="C123" t="s">
        <v>39</v>
      </c>
      <c r="D123" t="s">
        <v>41</v>
      </c>
      <c r="E123" s="6">
        <v>15667.2</v>
      </c>
      <c r="F123" s="6">
        <v>19101.04</v>
      </c>
      <c r="G123" s="6">
        <v>2611.2</v>
      </c>
      <c r="H123" s="6">
        <v>822.6399999999999</v>
      </c>
      <c r="I123" s="6">
        <v>3433.84</v>
      </c>
      <c r="J123" s="6">
        <v>4.547473508864641E-13</v>
      </c>
    </row>
    <row r="124" spans="1:10">
      <c r="A124" s="5">
        <v>45839</v>
      </c>
      <c r="B124" t="s">
        <v>47</v>
      </c>
      <c r="C124" t="s">
        <v>42</v>
      </c>
      <c r="D124" t="s">
        <v>40</v>
      </c>
      <c r="E124" s="6">
        <v>15921.52</v>
      </c>
      <c r="F124" s="6">
        <v>17361.36</v>
      </c>
      <c r="G124" s="6">
        <v>692.24</v>
      </c>
      <c r="H124" s="6">
        <v>747.5999999999995</v>
      </c>
      <c r="I124" s="6">
        <v>1439.84</v>
      </c>
      <c r="J124" s="6">
        <v>6.821210263296962E-13</v>
      </c>
    </row>
    <row r="125" spans="1:10">
      <c r="A125" s="5">
        <v>45839</v>
      </c>
      <c r="B125" t="s">
        <v>47</v>
      </c>
      <c r="C125" t="s">
        <v>42</v>
      </c>
      <c r="D125" t="s">
        <v>41</v>
      </c>
      <c r="E125" s="6">
        <v>7833.6</v>
      </c>
      <c r="F125" s="6">
        <v>8868.34</v>
      </c>
      <c r="G125" s="6">
        <v>652.8</v>
      </c>
      <c r="H125" s="6">
        <v>381.9399999999999</v>
      </c>
      <c r="I125" s="6">
        <v>1034.74</v>
      </c>
      <c r="J125" s="6">
        <v>-1.13686837721616E-13</v>
      </c>
    </row>
    <row r="126" spans="1:10">
      <c r="A126" s="5">
        <v>45839</v>
      </c>
      <c r="B126" t="s">
        <v>47</v>
      </c>
      <c r="C126" t="s">
        <v>43</v>
      </c>
      <c r="D126" t="s">
        <v>40</v>
      </c>
      <c r="E126" s="6">
        <v>10383.6</v>
      </c>
      <c r="F126" s="6">
        <v>13744.41</v>
      </c>
      <c r="G126" s="6">
        <v>2768.96</v>
      </c>
      <c r="H126" s="6">
        <v>591.8499999999996</v>
      </c>
      <c r="I126" s="6">
        <v>3360.809999999999</v>
      </c>
      <c r="J126" s="6">
        <v>-1.13686837721616E-13</v>
      </c>
    </row>
    <row r="127" spans="1:10">
      <c r="A127" s="5">
        <v>45839</v>
      </c>
      <c r="B127" t="s">
        <v>47</v>
      </c>
      <c r="C127" t="s">
        <v>43</v>
      </c>
      <c r="D127" t="s">
        <v>41</v>
      </c>
      <c r="E127" s="6">
        <v>5222.4</v>
      </c>
      <c r="F127" s="6">
        <v>6139.62</v>
      </c>
      <c r="G127" s="6">
        <v>652.8</v>
      </c>
      <c r="H127" s="6">
        <v>264.42</v>
      </c>
      <c r="I127" s="6">
        <v>917.2200000000003</v>
      </c>
      <c r="J127" s="6">
        <v>3.410605131648481E-13</v>
      </c>
    </row>
    <row r="128" spans="1:10">
      <c r="A128" s="5">
        <v>45870</v>
      </c>
      <c r="B128" t="s">
        <v>38</v>
      </c>
      <c r="C128" t="s">
        <v>39</v>
      </c>
      <c r="D128" t="s">
        <v>40</v>
      </c>
      <c r="E128" s="6">
        <v>275267.2</v>
      </c>
      <c r="F128" s="6">
        <v>290420.55</v>
      </c>
      <c r="G128" s="6">
        <v>2646.8</v>
      </c>
      <c r="H128" s="6">
        <v>12506.54999999997</v>
      </c>
      <c r="I128" s="6">
        <v>15153.34999999998</v>
      </c>
      <c r="J128" s="6">
        <v>1.091393642127514E-11</v>
      </c>
    </row>
    <row r="129" spans="1:10">
      <c r="A129" s="5">
        <v>45870</v>
      </c>
      <c r="B129" t="s">
        <v>38</v>
      </c>
      <c r="C129" t="s">
        <v>39</v>
      </c>
      <c r="D129" t="s">
        <v>41</v>
      </c>
      <c r="E129" s="6">
        <v>134784</v>
      </c>
      <c r="F129" s="6">
        <v>146065.92</v>
      </c>
      <c r="G129" s="6">
        <v>4992</v>
      </c>
      <c r="H129" s="6">
        <v>6289.920000000009</v>
      </c>
      <c r="I129" s="6">
        <v>11281.92000000001</v>
      </c>
      <c r="J129" s="6">
        <v>3.637978807091713E-12</v>
      </c>
    </row>
    <row r="130" spans="1:10">
      <c r="A130" s="5">
        <v>45870</v>
      </c>
      <c r="B130" t="s">
        <v>38</v>
      </c>
      <c r="C130" t="s">
        <v>42</v>
      </c>
      <c r="D130" t="s">
        <v>40</v>
      </c>
      <c r="E130" s="6">
        <v>132340</v>
      </c>
      <c r="F130" s="6">
        <v>135529.59</v>
      </c>
      <c r="G130" s="6">
        <v>-2646.8</v>
      </c>
      <c r="H130" s="6">
        <v>5836.389999999984</v>
      </c>
      <c r="I130" s="6">
        <v>3189.589999999997</v>
      </c>
      <c r="J130" s="6">
        <v>1.2732925824821E-11</v>
      </c>
    </row>
    <row r="131" spans="1:10">
      <c r="A131" s="5">
        <v>45870</v>
      </c>
      <c r="B131" t="s">
        <v>38</v>
      </c>
      <c r="C131" t="s">
        <v>42</v>
      </c>
      <c r="D131" t="s">
        <v>41</v>
      </c>
      <c r="E131" s="6">
        <v>64896</v>
      </c>
      <c r="F131" s="6">
        <v>70424.64</v>
      </c>
      <c r="G131" s="6">
        <v>2496</v>
      </c>
      <c r="H131" s="6">
        <v>3032.640000000004</v>
      </c>
      <c r="I131" s="6">
        <v>5528.639999999999</v>
      </c>
      <c r="J131" s="6">
        <v>-5.002220859751105E-12</v>
      </c>
    </row>
    <row r="132" spans="1:10">
      <c r="A132" s="5">
        <v>45870</v>
      </c>
      <c r="B132" t="s">
        <v>38</v>
      </c>
      <c r="C132" t="s">
        <v>43</v>
      </c>
      <c r="D132" t="s">
        <v>40</v>
      </c>
      <c r="E132" s="6">
        <v>92638</v>
      </c>
      <c r="F132" s="6">
        <v>94040.94</v>
      </c>
      <c r="G132" s="6">
        <v>-2646.8</v>
      </c>
      <c r="H132" s="6">
        <v>4049.739999999989</v>
      </c>
      <c r="I132" s="6">
        <v>1402.940000000002</v>
      </c>
      <c r="J132" s="6">
        <v>1.364242052659392E-11</v>
      </c>
    </row>
    <row r="133" spans="1:10">
      <c r="A133" s="5">
        <v>45870</v>
      </c>
      <c r="B133" t="s">
        <v>38</v>
      </c>
      <c r="C133" t="s">
        <v>43</v>
      </c>
      <c r="D133" t="s">
        <v>41</v>
      </c>
      <c r="E133" s="6">
        <v>47424</v>
      </c>
      <c r="F133" s="6">
        <v>46949.76</v>
      </c>
      <c r="G133" s="6">
        <v>-2496</v>
      </c>
      <c r="H133" s="6">
        <v>2021.760000000003</v>
      </c>
      <c r="I133" s="6">
        <v>-474.239999999998</v>
      </c>
      <c r="J133" s="6">
        <v>-9.094947017729282E-13</v>
      </c>
    </row>
    <row r="134" spans="1:10">
      <c r="A134" s="5">
        <v>45870</v>
      </c>
      <c r="B134" t="s">
        <v>45</v>
      </c>
      <c r="C134" t="s">
        <v>39</v>
      </c>
      <c r="D134" t="s">
        <v>40</v>
      </c>
      <c r="E134" s="6">
        <v>124297.8</v>
      </c>
      <c r="F134" s="6">
        <v>143933.78</v>
      </c>
      <c r="G134" s="6">
        <v>13437.6</v>
      </c>
      <c r="H134" s="6">
        <v>6198.379999999994</v>
      </c>
      <c r="I134" s="6">
        <v>19635.98</v>
      </c>
      <c r="J134" s="6">
        <v>1.818989403545856E-12</v>
      </c>
    </row>
    <row r="135" spans="1:10">
      <c r="A135" s="5">
        <v>45870</v>
      </c>
      <c r="B135" t="s">
        <v>45</v>
      </c>
      <c r="C135" t="s">
        <v>39</v>
      </c>
      <c r="D135" t="s">
        <v>41</v>
      </c>
      <c r="E135" s="6">
        <v>60192</v>
      </c>
      <c r="F135" s="6">
        <v>77798.16</v>
      </c>
      <c r="G135" s="6">
        <v>14256</v>
      </c>
      <c r="H135" s="6">
        <v>3350.159999999999</v>
      </c>
      <c r="I135" s="6">
        <v>17606.16</v>
      </c>
      <c r="J135" s="6">
        <v>4.547473508864641E-12</v>
      </c>
    </row>
    <row r="136" spans="1:10">
      <c r="A136" s="5">
        <v>45870</v>
      </c>
      <c r="B136" t="s">
        <v>45</v>
      </c>
      <c r="C136" t="s">
        <v>42</v>
      </c>
      <c r="D136" t="s">
        <v>40</v>
      </c>
      <c r="E136" s="6">
        <v>57109.8</v>
      </c>
      <c r="F136" s="6">
        <v>66701.02</v>
      </c>
      <c r="G136" s="6">
        <v>6718.8</v>
      </c>
      <c r="H136" s="6">
        <v>2872.419999999997</v>
      </c>
      <c r="I136" s="6">
        <v>9591.220000000001</v>
      </c>
      <c r="J136" s="6">
        <v>4.092726157978177E-12</v>
      </c>
    </row>
    <row r="137" spans="1:10">
      <c r="A137" s="5">
        <v>45870</v>
      </c>
      <c r="B137" t="s">
        <v>45</v>
      </c>
      <c r="C137" t="s">
        <v>42</v>
      </c>
      <c r="D137" t="s">
        <v>41</v>
      </c>
      <c r="E137" s="6">
        <v>28512</v>
      </c>
      <c r="F137" s="6">
        <v>34760.88</v>
      </c>
      <c r="G137" s="6">
        <v>4752</v>
      </c>
      <c r="H137" s="6">
        <v>1496.879999999999</v>
      </c>
      <c r="I137" s="6">
        <v>6248.879999999997</v>
      </c>
      <c r="J137" s="6">
        <v>-2.046363078989089E-12</v>
      </c>
    </row>
    <row r="138" spans="1:10">
      <c r="A138" s="5">
        <v>45870</v>
      </c>
      <c r="B138" t="s">
        <v>45</v>
      </c>
      <c r="C138" t="s">
        <v>43</v>
      </c>
      <c r="D138" t="s">
        <v>40</v>
      </c>
      <c r="E138" s="6">
        <v>41992.5</v>
      </c>
      <c r="F138" s="6">
        <v>50903.41</v>
      </c>
      <c r="G138" s="6">
        <v>6718.8</v>
      </c>
      <c r="H138" s="6">
        <v>2192.109999999998</v>
      </c>
      <c r="I138" s="6">
        <v>8910.910000000003</v>
      </c>
      <c r="J138" s="6">
        <v>5.456968210637569E-12</v>
      </c>
    </row>
    <row r="139" spans="1:10">
      <c r="A139" s="5">
        <v>45870</v>
      </c>
      <c r="B139" t="s">
        <v>45</v>
      </c>
      <c r="C139" t="s">
        <v>43</v>
      </c>
      <c r="D139" t="s">
        <v>41</v>
      </c>
      <c r="E139" s="6">
        <v>19008</v>
      </c>
      <c r="F139" s="6">
        <v>24829.2</v>
      </c>
      <c r="G139" s="6">
        <v>4752</v>
      </c>
      <c r="H139" s="6">
        <v>1069.2</v>
      </c>
      <c r="I139" s="6">
        <v>5821.200000000001</v>
      </c>
      <c r="J139" s="6">
        <v>1.13686837721616E-12</v>
      </c>
    </row>
    <row r="140" spans="1:10">
      <c r="A140" s="5">
        <v>45870</v>
      </c>
      <c r="B140" t="s">
        <v>47</v>
      </c>
      <c r="C140" t="s">
        <v>39</v>
      </c>
      <c r="D140" t="s">
        <v>40</v>
      </c>
      <c r="E140" s="6">
        <v>34612</v>
      </c>
      <c r="F140" s="6">
        <v>44126.79</v>
      </c>
      <c r="G140" s="6">
        <v>7614.64</v>
      </c>
      <c r="H140" s="6">
        <v>1900.149999999999</v>
      </c>
      <c r="I140" s="6">
        <v>9514.790000000001</v>
      </c>
      <c r="J140" s="6">
        <v>1.818989403545856E-12</v>
      </c>
    </row>
    <row r="141" spans="1:10">
      <c r="A141" s="5">
        <v>45870</v>
      </c>
      <c r="B141" t="s">
        <v>47</v>
      </c>
      <c r="C141" t="s">
        <v>39</v>
      </c>
      <c r="D141" t="s">
        <v>41</v>
      </c>
      <c r="E141" s="6">
        <v>17625.6</v>
      </c>
      <c r="F141" s="6">
        <v>21829.76</v>
      </c>
      <c r="G141" s="6">
        <v>3264</v>
      </c>
      <c r="H141" s="6">
        <v>940.1599999999999</v>
      </c>
      <c r="I141" s="6">
        <v>4204.16</v>
      </c>
      <c r="J141" s="6">
        <v>0</v>
      </c>
    </row>
    <row r="142" spans="1:10">
      <c r="A142" s="5">
        <v>45870</v>
      </c>
      <c r="B142" t="s">
        <v>47</v>
      </c>
      <c r="C142" t="s">
        <v>42</v>
      </c>
      <c r="D142" t="s">
        <v>40</v>
      </c>
      <c r="E142" s="6">
        <v>16613.76</v>
      </c>
      <c r="F142" s="6">
        <v>19531.53</v>
      </c>
      <c r="G142" s="6">
        <v>2076.72</v>
      </c>
      <c r="H142" s="6">
        <v>841.0499999999994</v>
      </c>
      <c r="I142" s="6">
        <v>2917.77</v>
      </c>
      <c r="J142" s="6">
        <v>7.958078640513122E-13</v>
      </c>
    </row>
    <row r="143" spans="1:10">
      <c r="A143" s="5">
        <v>45870</v>
      </c>
      <c r="B143" t="s">
        <v>47</v>
      </c>
      <c r="C143" t="s">
        <v>42</v>
      </c>
      <c r="D143" t="s">
        <v>41</v>
      </c>
      <c r="E143" s="6">
        <v>8486.4</v>
      </c>
      <c r="F143" s="6">
        <v>9550.52</v>
      </c>
      <c r="G143" s="6">
        <v>652.8</v>
      </c>
      <c r="H143" s="6">
        <v>411.3199999999999</v>
      </c>
      <c r="I143" s="6">
        <v>1064.120000000001</v>
      </c>
      <c r="J143" s="6">
        <v>9.094947017729282E-13</v>
      </c>
    </row>
    <row r="144" spans="1:10">
      <c r="A144" s="5">
        <v>45870</v>
      </c>
      <c r="B144" t="s">
        <v>47</v>
      </c>
      <c r="C144" t="s">
        <v>43</v>
      </c>
      <c r="D144" t="s">
        <v>40</v>
      </c>
      <c r="E144" s="6">
        <v>11768.08</v>
      </c>
      <c r="F144" s="6">
        <v>13744.41</v>
      </c>
      <c r="G144" s="6">
        <v>1384.48</v>
      </c>
      <c r="H144" s="6">
        <v>591.8499999999996</v>
      </c>
      <c r="I144" s="6">
        <v>1976.33</v>
      </c>
      <c r="J144" s="6">
        <v>3.410605131648481E-13</v>
      </c>
    </row>
    <row r="145" spans="1:10">
      <c r="A145" s="5">
        <v>45870</v>
      </c>
      <c r="B145" t="s">
        <v>47</v>
      </c>
      <c r="C145" t="s">
        <v>43</v>
      </c>
      <c r="D145" t="s">
        <v>41</v>
      </c>
      <c r="E145" s="6">
        <v>5875.2</v>
      </c>
      <c r="F145" s="6">
        <v>7503.98</v>
      </c>
      <c r="G145" s="6">
        <v>1305.6</v>
      </c>
      <c r="H145" s="6">
        <v>323.1799999999999</v>
      </c>
      <c r="I145" s="6">
        <v>1628.78</v>
      </c>
      <c r="J145" s="6">
        <v>-1.13686837721616E-13</v>
      </c>
    </row>
    <row r="146" spans="1:10">
      <c r="A146" s="5">
        <v>45901</v>
      </c>
      <c r="B146" t="s">
        <v>38</v>
      </c>
      <c r="C146" t="s">
        <v>39</v>
      </c>
      <c r="D146" t="s">
        <v>40</v>
      </c>
      <c r="E146" s="6">
        <v>293794.8</v>
      </c>
      <c r="F146" s="6">
        <v>323611.47</v>
      </c>
      <c r="G146" s="6">
        <v>15880.8</v>
      </c>
      <c r="H146" s="6">
        <v>13935.86999999996</v>
      </c>
      <c r="I146" s="6">
        <v>29816.66999999998</v>
      </c>
      <c r="J146" s="6">
        <v>2.000888343900442E-11</v>
      </c>
    </row>
    <row r="147" spans="1:10">
      <c r="A147" s="5">
        <v>45901</v>
      </c>
      <c r="B147" t="s">
        <v>38</v>
      </c>
      <c r="C147" t="s">
        <v>39</v>
      </c>
      <c r="D147" t="s">
        <v>41</v>
      </c>
      <c r="E147" s="6">
        <v>134784</v>
      </c>
      <c r="F147" s="6">
        <v>143457.6</v>
      </c>
      <c r="G147" s="6">
        <v>2496</v>
      </c>
      <c r="H147" s="6">
        <v>6177.600000000009</v>
      </c>
      <c r="I147" s="6">
        <v>8673.600000000006</v>
      </c>
      <c r="J147" s="6">
        <v>-3.637978807091713E-12</v>
      </c>
    </row>
    <row r="148" spans="1:10">
      <c r="A148" s="5">
        <v>45901</v>
      </c>
      <c r="B148" t="s">
        <v>38</v>
      </c>
      <c r="C148" t="s">
        <v>42</v>
      </c>
      <c r="D148" t="s">
        <v>40</v>
      </c>
      <c r="E148" s="6">
        <v>134986.8</v>
      </c>
      <c r="F148" s="6">
        <v>154890.96</v>
      </c>
      <c r="G148" s="6">
        <v>13234</v>
      </c>
      <c r="H148" s="6">
        <v>6670.159999999982</v>
      </c>
      <c r="I148" s="6">
        <v>19904.16</v>
      </c>
      <c r="J148" s="6">
        <v>2.182787284255028E-11</v>
      </c>
    </row>
    <row r="149" spans="1:10">
      <c r="A149" s="5">
        <v>45901</v>
      </c>
      <c r="B149" t="s">
        <v>38</v>
      </c>
      <c r="C149" t="s">
        <v>42</v>
      </c>
      <c r="D149" t="s">
        <v>41</v>
      </c>
      <c r="E149" s="6">
        <v>64896</v>
      </c>
      <c r="F149" s="6">
        <v>67816.32000000001</v>
      </c>
      <c r="G149" s="6">
        <v>0</v>
      </c>
      <c r="H149" s="6">
        <v>2920.320000000004</v>
      </c>
      <c r="I149" s="6">
        <v>2920.320000000007</v>
      </c>
      <c r="J149" s="6">
        <v>2.728484105318785E-12</v>
      </c>
    </row>
    <row r="150" spans="1:10">
      <c r="A150" s="5">
        <v>45901</v>
      </c>
      <c r="B150" t="s">
        <v>38</v>
      </c>
      <c r="C150" t="s">
        <v>43</v>
      </c>
      <c r="D150" t="s">
        <v>40</v>
      </c>
      <c r="E150" s="6">
        <v>97931.60000000001</v>
      </c>
      <c r="F150" s="6">
        <v>96806.85000000001</v>
      </c>
      <c r="G150" s="6">
        <v>-5293.6</v>
      </c>
      <c r="H150" s="6">
        <v>4168.849999999989</v>
      </c>
      <c r="I150" s="6">
        <v>-1124.75</v>
      </c>
      <c r="J150" s="6">
        <v>1.182343112304807E-11</v>
      </c>
    </row>
    <row r="151" spans="1:10">
      <c r="A151" s="5">
        <v>45901</v>
      </c>
      <c r="B151" t="s">
        <v>38</v>
      </c>
      <c r="C151" t="s">
        <v>43</v>
      </c>
      <c r="D151" t="s">
        <v>41</v>
      </c>
      <c r="E151" s="6">
        <v>44928</v>
      </c>
      <c r="F151" s="6">
        <v>49558.08</v>
      </c>
      <c r="G151" s="6">
        <v>2496</v>
      </c>
      <c r="H151" s="6">
        <v>2134.080000000003</v>
      </c>
      <c r="I151" s="6">
        <v>4630.080000000002</v>
      </c>
      <c r="J151" s="6">
        <v>-1.364242052659392E-12</v>
      </c>
    </row>
    <row r="152" spans="1:10">
      <c r="A152" s="5">
        <v>45901</v>
      </c>
      <c r="B152" t="s">
        <v>45</v>
      </c>
      <c r="C152" t="s">
        <v>39</v>
      </c>
      <c r="D152" t="s">
        <v>40</v>
      </c>
      <c r="E152" s="6">
        <v>136055.7</v>
      </c>
      <c r="F152" s="6">
        <v>166752.55</v>
      </c>
      <c r="G152" s="6">
        <v>23515.8</v>
      </c>
      <c r="H152" s="6">
        <v>7181.049999999992</v>
      </c>
      <c r="I152" s="6">
        <v>30696.84999999998</v>
      </c>
      <c r="J152" s="6">
        <v>-1.455191522836685E-11</v>
      </c>
    </row>
    <row r="153" spans="1:10">
      <c r="A153" s="5">
        <v>45901</v>
      </c>
      <c r="B153" t="s">
        <v>45</v>
      </c>
      <c r="C153" t="s">
        <v>39</v>
      </c>
      <c r="D153" t="s">
        <v>41</v>
      </c>
      <c r="E153" s="6">
        <v>61776</v>
      </c>
      <c r="F153" s="6">
        <v>77798.16</v>
      </c>
      <c r="G153" s="6">
        <v>12672</v>
      </c>
      <c r="H153" s="6">
        <v>3350.159999999999</v>
      </c>
      <c r="I153" s="6">
        <v>16022.16</v>
      </c>
      <c r="J153" s="6">
        <v>4.547473508864641E-12</v>
      </c>
    </row>
    <row r="154" spans="1:10">
      <c r="A154" s="5">
        <v>45901</v>
      </c>
      <c r="B154" t="s">
        <v>45</v>
      </c>
      <c r="C154" t="s">
        <v>42</v>
      </c>
      <c r="D154" t="s">
        <v>40</v>
      </c>
      <c r="E154" s="6">
        <v>60469.2</v>
      </c>
      <c r="F154" s="6">
        <v>71966.89</v>
      </c>
      <c r="G154" s="6">
        <v>8398.5</v>
      </c>
      <c r="H154" s="6">
        <v>3099.189999999997</v>
      </c>
      <c r="I154" s="6">
        <v>11497.69</v>
      </c>
      <c r="J154" s="6">
        <v>5.456968210637569E-12</v>
      </c>
    </row>
    <row r="155" spans="1:10">
      <c r="A155" s="5">
        <v>45901</v>
      </c>
      <c r="B155" t="s">
        <v>45</v>
      </c>
      <c r="C155" t="s">
        <v>42</v>
      </c>
      <c r="D155" t="s">
        <v>41</v>
      </c>
      <c r="E155" s="6">
        <v>30096</v>
      </c>
      <c r="F155" s="6">
        <v>36416.16</v>
      </c>
      <c r="G155" s="6">
        <v>4752</v>
      </c>
      <c r="H155" s="6">
        <v>1568.159999999999</v>
      </c>
      <c r="I155" s="6">
        <v>6320.160000000003</v>
      </c>
      <c r="J155" s="6">
        <v>4.092726157978177E-12</v>
      </c>
    </row>
    <row r="156" spans="1:10">
      <c r="A156" s="5">
        <v>45901</v>
      </c>
      <c r="B156" t="s">
        <v>45</v>
      </c>
      <c r="C156" t="s">
        <v>43</v>
      </c>
      <c r="D156" t="s">
        <v>40</v>
      </c>
      <c r="E156" s="6">
        <v>40312.8</v>
      </c>
      <c r="F156" s="6">
        <v>50903.41</v>
      </c>
      <c r="G156" s="6">
        <v>8398.5</v>
      </c>
      <c r="H156" s="6">
        <v>2192.109999999998</v>
      </c>
      <c r="I156" s="6">
        <v>10590.61</v>
      </c>
      <c r="J156" s="6">
        <v>2.728484105318785E-12</v>
      </c>
    </row>
    <row r="157" spans="1:10">
      <c r="A157" s="5">
        <v>45901</v>
      </c>
      <c r="B157" t="s">
        <v>45</v>
      </c>
      <c r="C157" t="s">
        <v>43</v>
      </c>
      <c r="D157" t="s">
        <v>41</v>
      </c>
      <c r="E157" s="6">
        <v>20592</v>
      </c>
      <c r="F157" s="6">
        <v>24829.2</v>
      </c>
      <c r="G157" s="6">
        <v>3168</v>
      </c>
      <c r="H157" s="6">
        <v>1069.2</v>
      </c>
      <c r="I157" s="6">
        <v>4237.200000000001</v>
      </c>
      <c r="J157" s="6">
        <v>1.13686837721616E-12</v>
      </c>
    </row>
    <row r="158" spans="1:10">
      <c r="A158" s="5">
        <v>45901</v>
      </c>
      <c r="B158" t="s">
        <v>47</v>
      </c>
      <c r="C158" t="s">
        <v>39</v>
      </c>
      <c r="D158" t="s">
        <v>40</v>
      </c>
      <c r="E158" s="6">
        <v>35996.48</v>
      </c>
      <c r="F158" s="6">
        <v>44126.79</v>
      </c>
      <c r="G158" s="6">
        <v>6230.16</v>
      </c>
      <c r="H158" s="6">
        <v>1900.149999999999</v>
      </c>
      <c r="I158" s="6">
        <v>8130.309999999998</v>
      </c>
      <c r="J158" s="6">
        <v>-9.094947017729282E-13</v>
      </c>
    </row>
    <row r="159" spans="1:10">
      <c r="A159" s="5">
        <v>45901</v>
      </c>
      <c r="B159" t="s">
        <v>47</v>
      </c>
      <c r="C159" t="s">
        <v>39</v>
      </c>
      <c r="D159" t="s">
        <v>41</v>
      </c>
      <c r="E159" s="6">
        <v>18931.2</v>
      </c>
      <c r="F159" s="6">
        <v>23194.12</v>
      </c>
      <c r="G159" s="6">
        <v>3264</v>
      </c>
      <c r="H159" s="6">
        <v>998.9199999999998</v>
      </c>
      <c r="I159" s="6">
        <v>4262.919999999998</v>
      </c>
      <c r="J159" s="6">
        <v>-1.591615728102624E-12</v>
      </c>
    </row>
    <row r="160" spans="1:10">
      <c r="A160" s="5">
        <v>45901</v>
      </c>
      <c r="B160" t="s">
        <v>47</v>
      </c>
      <c r="C160" t="s">
        <v>42</v>
      </c>
      <c r="D160" t="s">
        <v>40</v>
      </c>
      <c r="E160" s="6">
        <v>16613.76</v>
      </c>
      <c r="F160" s="6">
        <v>20978.31</v>
      </c>
      <c r="G160" s="6">
        <v>3461.2</v>
      </c>
      <c r="H160" s="6">
        <v>903.3499999999993</v>
      </c>
      <c r="I160" s="6">
        <v>4364.550000000003</v>
      </c>
      <c r="J160" s="6">
        <v>3.751665644813329E-12</v>
      </c>
    </row>
    <row r="161" spans="1:10">
      <c r="A161" s="5">
        <v>45901</v>
      </c>
      <c r="B161" t="s">
        <v>47</v>
      </c>
      <c r="C161" t="s">
        <v>42</v>
      </c>
      <c r="D161" t="s">
        <v>41</v>
      </c>
      <c r="E161" s="6">
        <v>8486.4</v>
      </c>
      <c r="F161" s="6">
        <v>10232.7</v>
      </c>
      <c r="G161" s="6">
        <v>1305.6</v>
      </c>
      <c r="H161" s="6">
        <v>440.6999999999999</v>
      </c>
      <c r="I161" s="6">
        <v>1746.300000000001</v>
      </c>
      <c r="J161" s="6">
        <v>1.250555214937776E-12</v>
      </c>
    </row>
    <row r="162" spans="1:10">
      <c r="A162" s="5">
        <v>45901</v>
      </c>
      <c r="B162" t="s">
        <v>47</v>
      </c>
      <c r="C162" t="s">
        <v>43</v>
      </c>
      <c r="D162" t="s">
        <v>40</v>
      </c>
      <c r="E162" s="6">
        <v>12460.32</v>
      </c>
      <c r="F162" s="6">
        <v>14467.8</v>
      </c>
      <c r="G162" s="6">
        <v>1384.48</v>
      </c>
      <c r="H162" s="6">
        <v>622.9999999999995</v>
      </c>
      <c r="I162" s="6">
        <v>2007.48</v>
      </c>
      <c r="J162" s="6">
        <v>0</v>
      </c>
    </row>
    <row r="163" spans="1:10">
      <c r="A163" s="5">
        <v>45901</v>
      </c>
      <c r="B163" t="s">
        <v>47</v>
      </c>
      <c r="C163" t="s">
        <v>43</v>
      </c>
      <c r="D163" t="s">
        <v>41</v>
      </c>
      <c r="E163" s="6">
        <v>5875.2</v>
      </c>
      <c r="F163" s="6">
        <v>7503.98</v>
      </c>
      <c r="G163" s="6">
        <v>1305.6</v>
      </c>
      <c r="H163" s="6">
        <v>323.1799999999999</v>
      </c>
      <c r="I163" s="6">
        <v>1628.78</v>
      </c>
      <c r="J163" s="6">
        <v>-1.13686837721616E-13</v>
      </c>
    </row>
    <row r="164" spans="1:10">
      <c r="A164" s="5">
        <v>45931</v>
      </c>
      <c r="B164" t="s">
        <v>38</v>
      </c>
      <c r="C164" t="s">
        <v>39</v>
      </c>
      <c r="D164" t="s">
        <v>40</v>
      </c>
      <c r="E164" s="6">
        <v>333496.8</v>
      </c>
      <c r="F164" s="6">
        <v>370631.94</v>
      </c>
      <c r="G164" s="6">
        <v>21174.4</v>
      </c>
      <c r="H164" s="6">
        <v>15960.73999999996</v>
      </c>
      <c r="I164" s="6">
        <v>37135.14000000001</v>
      </c>
      <c r="J164" s="6">
        <v>5.638867150992155E-11</v>
      </c>
    </row>
    <row r="165" spans="1:10">
      <c r="A165" s="5">
        <v>45931</v>
      </c>
      <c r="B165" t="s">
        <v>38</v>
      </c>
      <c r="C165" t="s">
        <v>39</v>
      </c>
      <c r="D165" t="s">
        <v>41</v>
      </c>
      <c r="E165" s="6">
        <v>149760</v>
      </c>
      <c r="F165" s="6">
        <v>185190.72</v>
      </c>
      <c r="G165" s="6">
        <v>27456</v>
      </c>
      <c r="H165" s="6">
        <v>7974.720000000012</v>
      </c>
      <c r="I165" s="6">
        <v>35430.72</v>
      </c>
      <c r="J165" s="6">
        <v>-1.091393642127514E-11</v>
      </c>
    </row>
    <row r="166" spans="1:10">
      <c r="A166" s="5">
        <v>45931</v>
      </c>
      <c r="B166" t="s">
        <v>38</v>
      </c>
      <c r="C166" t="s">
        <v>42</v>
      </c>
      <c r="D166" t="s">
        <v>40</v>
      </c>
      <c r="E166" s="6">
        <v>153514.4</v>
      </c>
      <c r="F166" s="6">
        <v>171486.42</v>
      </c>
      <c r="G166" s="6">
        <v>10587.2</v>
      </c>
      <c r="H166" s="6">
        <v>7384.81999999998</v>
      </c>
      <c r="I166" s="6">
        <v>17972.02000000002</v>
      </c>
      <c r="J166" s="6">
        <v>3.819877747446299E-11</v>
      </c>
    </row>
    <row r="167" spans="1:10">
      <c r="A167" s="5">
        <v>45931</v>
      </c>
      <c r="B167" t="s">
        <v>38</v>
      </c>
      <c r="C167" t="s">
        <v>42</v>
      </c>
      <c r="D167" t="s">
        <v>41</v>
      </c>
      <c r="E167" s="6">
        <v>74880</v>
      </c>
      <c r="F167" s="6">
        <v>80857.92</v>
      </c>
      <c r="G167" s="6">
        <v>2496</v>
      </c>
      <c r="H167" s="6">
        <v>3481.920000000005</v>
      </c>
      <c r="I167" s="6">
        <v>5977.919999999998</v>
      </c>
      <c r="J167" s="6">
        <v>-6.821210263296962E-12</v>
      </c>
    </row>
    <row r="168" spans="1:10">
      <c r="A168" s="5">
        <v>45931</v>
      </c>
      <c r="B168" t="s">
        <v>38</v>
      </c>
      <c r="C168" t="s">
        <v>43</v>
      </c>
      <c r="D168" t="s">
        <v>40</v>
      </c>
      <c r="E168" s="6">
        <v>100578.4</v>
      </c>
      <c r="F168" s="6">
        <v>118934.13</v>
      </c>
      <c r="G168" s="6">
        <v>13234</v>
      </c>
      <c r="H168" s="6">
        <v>5121.729999999986</v>
      </c>
      <c r="I168" s="6">
        <v>18355.73000000001</v>
      </c>
      <c r="J168" s="6">
        <v>2.455635694786906E-11</v>
      </c>
    </row>
    <row r="169" spans="1:10">
      <c r="A169" s="5">
        <v>45931</v>
      </c>
      <c r="B169" t="s">
        <v>38</v>
      </c>
      <c r="C169" t="s">
        <v>43</v>
      </c>
      <c r="D169" t="s">
        <v>41</v>
      </c>
      <c r="E169" s="6">
        <v>52416</v>
      </c>
      <c r="F169" s="6">
        <v>62599.68</v>
      </c>
      <c r="G169" s="6">
        <v>7488</v>
      </c>
      <c r="H169" s="6">
        <v>2695.680000000004</v>
      </c>
      <c r="I169" s="6">
        <v>10183.68</v>
      </c>
      <c r="J169" s="6">
        <v>-3.637978807091713E-12</v>
      </c>
    </row>
    <row r="170" spans="1:10">
      <c r="A170" s="5">
        <v>45931</v>
      </c>
      <c r="B170" t="s">
        <v>45</v>
      </c>
      <c r="C170" t="s">
        <v>39</v>
      </c>
      <c r="D170" t="s">
        <v>40</v>
      </c>
      <c r="E170" s="6">
        <v>142774.5</v>
      </c>
      <c r="F170" s="6">
        <v>163241.97</v>
      </c>
      <c r="G170" s="6">
        <v>13437.6</v>
      </c>
      <c r="H170" s="6">
        <v>7029.869999999993</v>
      </c>
      <c r="I170" s="6">
        <v>20467.47</v>
      </c>
      <c r="J170" s="6">
        <v>8.185452315956354E-12</v>
      </c>
    </row>
    <row r="171" spans="1:10">
      <c r="A171" s="5">
        <v>45931</v>
      </c>
      <c r="B171" t="s">
        <v>45</v>
      </c>
      <c r="C171" t="s">
        <v>39</v>
      </c>
      <c r="D171" t="s">
        <v>41</v>
      </c>
      <c r="E171" s="6">
        <v>68112</v>
      </c>
      <c r="F171" s="6">
        <v>84419.28</v>
      </c>
      <c r="G171" s="6">
        <v>12672</v>
      </c>
      <c r="H171" s="6">
        <v>3635.279999999999</v>
      </c>
      <c r="I171" s="6">
        <v>16307.28</v>
      </c>
      <c r="J171" s="6">
        <v>0</v>
      </c>
    </row>
    <row r="172" spans="1:10">
      <c r="A172" s="5">
        <v>45931</v>
      </c>
      <c r="B172" t="s">
        <v>45</v>
      </c>
      <c r="C172" t="s">
        <v>42</v>
      </c>
      <c r="D172" t="s">
        <v>40</v>
      </c>
      <c r="E172" s="6">
        <v>62148.9</v>
      </c>
      <c r="F172" s="6">
        <v>77232.75999999999</v>
      </c>
      <c r="G172" s="6">
        <v>11757.9</v>
      </c>
      <c r="H172" s="6">
        <v>3325.959999999996</v>
      </c>
      <c r="I172" s="6">
        <v>15083.85999999999</v>
      </c>
      <c r="J172" s="6">
        <v>-2.728484105318785E-12</v>
      </c>
    </row>
    <row r="173" spans="1:10">
      <c r="A173" s="5">
        <v>45931</v>
      </c>
      <c r="B173" t="s">
        <v>45</v>
      </c>
      <c r="C173" t="s">
        <v>42</v>
      </c>
      <c r="D173" t="s">
        <v>41</v>
      </c>
      <c r="E173" s="6">
        <v>30096</v>
      </c>
      <c r="F173" s="6">
        <v>36416.16</v>
      </c>
      <c r="G173" s="6">
        <v>4752</v>
      </c>
      <c r="H173" s="6">
        <v>1568.159999999999</v>
      </c>
      <c r="I173" s="6">
        <v>6320.160000000003</v>
      </c>
      <c r="J173" s="6">
        <v>4.092726157978177E-12</v>
      </c>
    </row>
    <row r="174" spans="1:10">
      <c r="A174" s="5">
        <v>45931</v>
      </c>
      <c r="B174" t="s">
        <v>45</v>
      </c>
      <c r="C174" t="s">
        <v>43</v>
      </c>
      <c r="D174" t="s">
        <v>40</v>
      </c>
      <c r="E174" s="6">
        <v>45351.9</v>
      </c>
      <c r="F174" s="6">
        <v>54413.99</v>
      </c>
      <c r="G174" s="6">
        <v>6718.8</v>
      </c>
      <c r="H174" s="6">
        <v>2343.289999999997</v>
      </c>
      <c r="I174" s="6">
        <v>9062.089999999997</v>
      </c>
      <c r="J174" s="6">
        <v>-9.094947017729282E-13</v>
      </c>
    </row>
    <row r="175" spans="1:10">
      <c r="A175" s="5">
        <v>45931</v>
      </c>
      <c r="B175" t="s">
        <v>45</v>
      </c>
      <c r="C175" t="s">
        <v>43</v>
      </c>
      <c r="D175" t="s">
        <v>41</v>
      </c>
      <c r="E175" s="6">
        <v>22176</v>
      </c>
      <c r="F175" s="6">
        <v>26484.48</v>
      </c>
      <c r="G175" s="6">
        <v>3168</v>
      </c>
      <c r="H175" s="6">
        <v>1140.48</v>
      </c>
      <c r="I175" s="6">
        <v>4308.48</v>
      </c>
      <c r="J175" s="6">
        <v>0</v>
      </c>
    </row>
    <row r="176" spans="1:10">
      <c r="A176" s="5">
        <v>45931</v>
      </c>
      <c r="B176" t="s">
        <v>47</v>
      </c>
      <c r="C176" t="s">
        <v>39</v>
      </c>
      <c r="D176" t="s">
        <v>40</v>
      </c>
      <c r="E176" s="6">
        <v>38073.2</v>
      </c>
      <c r="F176" s="6">
        <v>44850.18</v>
      </c>
      <c r="G176" s="6">
        <v>4845.68</v>
      </c>
      <c r="H176" s="6">
        <v>1931.299999999999</v>
      </c>
      <c r="I176" s="6">
        <v>6776.980000000003</v>
      </c>
      <c r="J176" s="6">
        <v>4.320099833421409E-12</v>
      </c>
    </row>
    <row r="177" spans="1:10">
      <c r="A177" s="5">
        <v>45931</v>
      </c>
      <c r="B177" t="s">
        <v>47</v>
      </c>
      <c r="C177" t="s">
        <v>39</v>
      </c>
      <c r="D177" t="s">
        <v>41</v>
      </c>
      <c r="E177" s="6">
        <v>17625.6</v>
      </c>
      <c r="F177" s="6">
        <v>24558.48</v>
      </c>
      <c r="G177" s="6">
        <v>5875.2</v>
      </c>
      <c r="H177" s="6">
        <v>1057.68</v>
      </c>
      <c r="I177" s="6">
        <v>6932.880000000001</v>
      </c>
      <c r="J177" s="6">
        <v>1.364242052659392E-12</v>
      </c>
    </row>
    <row r="178" spans="1:10">
      <c r="A178" s="5">
        <v>45931</v>
      </c>
      <c r="B178" t="s">
        <v>47</v>
      </c>
      <c r="C178" t="s">
        <v>42</v>
      </c>
      <c r="D178" t="s">
        <v>40</v>
      </c>
      <c r="E178" s="6">
        <v>17998.24</v>
      </c>
      <c r="F178" s="6">
        <v>21701.7</v>
      </c>
      <c r="G178" s="6">
        <v>2768.96</v>
      </c>
      <c r="H178" s="6">
        <v>934.4999999999993</v>
      </c>
      <c r="I178" s="6">
        <v>3703.459999999999</v>
      </c>
      <c r="J178" s="6">
        <v>-2.273736754432321E-13</v>
      </c>
    </row>
    <row r="179" spans="1:10">
      <c r="A179" s="5">
        <v>45931</v>
      </c>
      <c r="B179" t="s">
        <v>47</v>
      </c>
      <c r="C179" t="s">
        <v>42</v>
      </c>
      <c r="D179" t="s">
        <v>41</v>
      </c>
      <c r="E179" s="6">
        <v>9139.200000000001</v>
      </c>
      <c r="F179" s="6">
        <v>10232.7</v>
      </c>
      <c r="G179" s="6">
        <v>652.8</v>
      </c>
      <c r="H179" s="6">
        <v>440.6999999999999</v>
      </c>
      <c r="I179" s="6">
        <v>1093.5</v>
      </c>
      <c r="J179" s="6">
        <v>1.13686837721616E-13</v>
      </c>
    </row>
    <row r="180" spans="1:10">
      <c r="A180" s="5">
        <v>45931</v>
      </c>
      <c r="B180" t="s">
        <v>47</v>
      </c>
      <c r="C180" t="s">
        <v>43</v>
      </c>
      <c r="D180" t="s">
        <v>40</v>
      </c>
      <c r="E180" s="6">
        <v>12460.32</v>
      </c>
      <c r="F180" s="6">
        <v>15914.58</v>
      </c>
      <c r="G180" s="6">
        <v>2768.96</v>
      </c>
      <c r="H180" s="6">
        <v>685.2999999999995</v>
      </c>
      <c r="I180" s="6">
        <v>3454.26</v>
      </c>
      <c r="J180" s="6">
        <v>6.821210263296962E-13</v>
      </c>
    </row>
    <row r="181" spans="1:10">
      <c r="A181" s="5">
        <v>45931</v>
      </c>
      <c r="B181" t="s">
        <v>47</v>
      </c>
      <c r="C181" t="s">
        <v>43</v>
      </c>
      <c r="D181" t="s">
        <v>41</v>
      </c>
      <c r="E181" s="6">
        <v>5875.2</v>
      </c>
      <c r="F181" s="6">
        <v>6821.8</v>
      </c>
      <c r="G181" s="6">
        <v>652.8</v>
      </c>
      <c r="H181" s="6">
        <v>293.8</v>
      </c>
      <c r="I181" s="6">
        <v>946.6000000000004</v>
      </c>
      <c r="J181" s="6">
        <v>4.547473508864641E-13</v>
      </c>
    </row>
    <row r="182" spans="1:10">
      <c r="A182" s="5">
        <v>45962</v>
      </c>
      <c r="B182" t="s">
        <v>38</v>
      </c>
      <c r="C182" t="s">
        <v>39</v>
      </c>
      <c r="D182" t="s">
        <v>40</v>
      </c>
      <c r="E182" s="6">
        <v>383786</v>
      </c>
      <c r="F182" s="6">
        <v>450843.33</v>
      </c>
      <c r="G182" s="6">
        <v>47642.4</v>
      </c>
      <c r="H182" s="6">
        <v>19414.92999999995</v>
      </c>
      <c r="I182" s="6">
        <v>67057.33000000002</v>
      </c>
      <c r="J182" s="6">
        <v>6.912159733474255E-11</v>
      </c>
    </row>
    <row r="183" spans="1:10">
      <c r="A183" s="5">
        <v>45962</v>
      </c>
      <c r="B183" t="s">
        <v>38</v>
      </c>
      <c r="C183" t="s">
        <v>39</v>
      </c>
      <c r="D183" t="s">
        <v>41</v>
      </c>
      <c r="E183" s="6">
        <v>169728</v>
      </c>
      <c r="F183" s="6">
        <v>206057.28</v>
      </c>
      <c r="G183" s="6">
        <v>27456</v>
      </c>
      <c r="H183" s="6">
        <v>8873.280000000013</v>
      </c>
      <c r="I183" s="6">
        <v>36329.28</v>
      </c>
      <c r="J183" s="6">
        <v>-1.455191522836685E-11</v>
      </c>
    </row>
    <row r="184" spans="1:10">
      <c r="A184" s="5">
        <v>45962</v>
      </c>
      <c r="B184" t="s">
        <v>38</v>
      </c>
      <c r="C184" t="s">
        <v>42</v>
      </c>
      <c r="D184" t="s">
        <v>40</v>
      </c>
      <c r="E184" s="6">
        <v>166748.4</v>
      </c>
      <c r="F184" s="6">
        <v>204677.34</v>
      </c>
      <c r="G184" s="6">
        <v>29114.8</v>
      </c>
      <c r="H184" s="6">
        <v>8814.139999999976</v>
      </c>
      <c r="I184" s="6">
        <v>37928.94</v>
      </c>
      <c r="J184" s="6">
        <v>2.364686224609613E-11</v>
      </c>
    </row>
    <row r="185" spans="1:10">
      <c r="A185" s="5">
        <v>45962</v>
      </c>
      <c r="B185" t="s">
        <v>38</v>
      </c>
      <c r="C185" t="s">
        <v>42</v>
      </c>
      <c r="D185" t="s">
        <v>41</v>
      </c>
      <c r="E185" s="6">
        <v>82368</v>
      </c>
      <c r="F185" s="6">
        <v>93899.52</v>
      </c>
      <c r="G185" s="6">
        <v>7488</v>
      </c>
      <c r="H185" s="6">
        <v>4043.520000000006</v>
      </c>
      <c r="I185" s="6">
        <v>11531.52</v>
      </c>
      <c r="J185" s="6">
        <v>-1.818989403545856E-12</v>
      </c>
    </row>
    <row r="186" spans="1:10">
      <c r="A186" s="5">
        <v>45962</v>
      </c>
      <c r="B186" t="s">
        <v>38</v>
      </c>
      <c r="C186" t="s">
        <v>43</v>
      </c>
      <c r="D186" t="s">
        <v>40</v>
      </c>
      <c r="E186" s="6">
        <v>116459.2</v>
      </c>
      <c r="F186" s="6">
        <v>149359.14</v>
      </c>
      <c r="G186" s="6">
        <v>26468</v>
      </c>
      <c r="H186" s="6">
        <v>6431.939999999982</v>
      </c>
      <c r="I186" s="6">
        <v>32899.94000000002</v>
      </c>
      <c r="J186" s="6">
        <v>3.456079866737127E-11</v>
      </c>
    </row>
    <row r="187" spans="1:10">
      <c r="A187" s="5">
        <v>45962</v>
      </c>
      <c r="B187" t="s">
        <v>38</v>
      </c>
      <c r="C187" t="s">
        <v>43</v>
      </c>
      <c r="D187" t="s">
        <v>41</v>
      </c>
      <c r="E187" s="6">
        <v>52416</v>
      </c>
      <c r="F187" s="6">
        <v>67816.32000000001</v>
      </c>
      <c r="G187" s="6">
        <v>12480</v>
      </c>
      <c r="H187" s="6">
        <v>2920.320000000004</v>
      </c>
      <c r="I187" s="6">
        <v>15400.32000000001</v>
      </c>
      <c r="J187" s="6">
        <v>2.728484105318785E-12</v>
      </c>
    </row>
    <row r="188" spans="1:10">
      <c r="A188" s="5">
        <v>45962</v>
      </c>
      <c r="B188" t="s">
        <v>45</v>
      </c>
      <c r="C188" t="s">
        <v>39</v>
      </c>
      <c r="D188" t="s">
        <v>40</v>
      </c>
      <c r="E188" s="6">
        <v>154532.4</v>
      </c>
      <c r="F188" s="6">
        <v>180794.87</v>
      </c>
      <c r="G188" s="6">
        <v>18476.7</v>
      </c>
      <c r="H188" s="6">
        <v>7785.769999999991</v>
      </c>
      <c r="I188" s="6">
        <v>26262.47</v>
      </c>
      <c r="J188" s="6">
        <v>9.094947017729282E-12</v>
      </c>
    </row>
    <row r="189" spans="1:10">
      <c r="A189" s="5">
        <v>45962</v>
      </c>
      <c r="B189" t="s">
        <v>45</v>
      </c>
      <c r="C189" t="s">
        <v>39</v>
      </c>
      <c r="D189" t="s">
        <v>41</v>
      </c>
      <c r="E189" s="6">
        <v>74448</v>
      </c>
      <c r="F189" s="6">
        <v>92695.67999999999</v>
      </c>
      <c r="G189" s="6">
        <v>14256</v>
      </c>
      <c r="H189" s="6">
        <v>3991.679999999998</v>
      </c>
      <c r="I189" s="6">
        <v>18247.67999999999</v>
      </c>
      <c r="J189" s="6">
        <v>-5.456968210637569E-12</v>
      </c>
    </row>
    <row r="190" spans="1:10">
      <c r="A190" s="5">
        <v>45962</v>
      </c>
      <c r="B190" t="s">
        <v>45</v>
      </c>
      <c r="C190" t="s">
        <v>42</v>
      </c>
      <c r="D190" t="s">
        <v>40</v>
      </c>
      <c r="E190" s="6">
        <v>70547.39999999999</v>
      </c>
      <c r="F190" s="6">
        <v>91275.08</v>
      </c>
      <c r="G190" s="6">
        <v>16797</v>
      </c>
      <c r="H190" s="6">
        <v>3930.679999999996</v>
      </c>
      <c r="I190" s="6">
        <v>20727.68000000001</v>
      </c>
      <c r="J190" s="6">
        <v>1.182343112304807E-11</v>
      </c>
    </row>
    <row r="191" spans="1:10">
      <c r="A191" s="5">
        <v>45962</v>
      </c>
      <c r="B191" t="s">
        <v>45</v>
      </c>
      <c r="C191" t="s">
        <v>42</v>
      </c>
      <c r="D191" t="s">
        <v>41</v>
      </c>
      <c r="E191" s="6">
        <v>38016</v>
      </c>
      <c r="F191" s="6">
        <v>44692.56</v>
      </c>
      <c r="G191" s="6">
        <v>4752</v>
      </c>
      <c r="H191" s="6">
        <v>1924.559999999999</v>
      </c>
      <c r="I191" s="6">
        <v>6676.559999999998</v>
      </c>
      <c r="J191" s="6">
        <v>-1.591615728102624E-12</v>
      </c>
    </row>
    <row r="192" spans="1:10">
      <c r="A192" s="5">
        <v>45962</v>
      </c>
      <c r="B192" t="s">
        <v>45</v>
      </c>
      <c r="C192" t="s">
        <v>43</v>
      </c>
      <c r="D192" t="s">
        <v>40</v>
      </c>
      <c r="E192" s="6">
        <v>50391</v>
      </c>
      <c r="F192" s="6">
        <v>63190.44</v>
      </c>
      <c r="G192" s="6">
        <v>10078.2</v>
      </c>
      <c r="H192" s="6">
        <v>2721.239999999997</v>
      </c>
      <c r="I192" s="6">
        <v>12799.44</v>
      </c>
      <c r="J192" s="6">
        <v>4.547473508864641E-12</v>
      </c>
    </row>
    <row r="193" spans="1:10">
      <c r="A193" s="5">
        <v>45962</v>
      </c>
      <c r="B193" t="s">
        <v>45</v>
      </c>
      <c r="C193" t="s">
        <v>43</v>
      </c>
      <c r="D193" t="s">
        <v>41</v>
      </c>
      <c r="E193" s="6">
        <v>26928</v>
      </c>
      <c r="F193" s="6">
        <v>31450.32</v>
      </c>
      <c r="G193" s="6">
        <v>3168</v>
      </c>
      <c r="H193" s="6">
        <v>1354.319999999999</v>
      </c>
      <c r="I193" s="6">
        <v>4522.32</v>
      </c>
      <c r="J193" s="6">
        <v>2.273736754432321E-13</v>
      </c>
    </row>
    <row r="194" spans="1:10">
      <c r="A194" s="5">
        <v>45962</v>
      </c>
      <c r="B194" t="s">
        <v>47</v>
      </c>
      <c r="C194" t="s">
        <v>39</v>
      </c>
      <c r="D194" t="s">
        <v>40</v>
      </c>
      <c r="E194" s="6">
        <v>42226.64</v>
      </c>
      <c r="F194" s="6">
        <v>57147.81</v>
      </c>
      <c r="G194" s="6">
        <v>12460.32</v>
      </c>
      <c r="H194" s="6">
        <v>2460.849999999998</v>
      </c>
      <c r="I194" s="6">
        <v>14921.17</v>
      </c>
      <c r="J194" s="6">
        <v>4.547473508864641E-13</v>
      </c>
    </row>
    <row r="195" spans="1:10">
      <c r="A195" s="5">
        <v>45962</v>
      </c>
      <c r="B195" t="s">
        <v>47</v>
      </c>
      <c r="C195" t="s">
        <v>39</v>
      </c>
      <c r="D195" t="s">
        <v>41</v>
      </c>
      <c r="E195" s="6">
        <v>22848</v>
      </c>
      <c r="F195" s="6">
        <v>25922.84</v>
      </c>
      <c r="G195" s="6">
        <v>1958.4</v>
      </c>
      <c r="H195" s="6">
        <v>1116.44</v>
      </c>
      <c r="I195" s="6">
        <v>3074.84</v>
      </c>
      <c r="J195" s="6">
        <v>4.547473508864641E-13</v>
      </c>
    </row>
    <row r="196" spans="1:10">
      <c r="A196" s="5">
        <v>45962</v>
      </c>
      <c r="B196" t="s">
        <v>47</v>
      </c>
      <c r="C196" t="s">
        <v>42</v>
      </c>
      <c r="D196" t="s">
        <v>40</v>
      </c>
      <c r="E196" s="6">
        <v>20767.2</v>
      </c>
      <c r="F196" s="6">
        <v>26765.43</v>
      </c>
      <c r="G196" s="6">
        <v>4845.68</v>
      </c>
      <c r="H196" s="6">
        <v>1152.549999999999</v>
      </c>
      <c r="I196" s="6">
        <v>5998.23</v>
      </c>
      <c r="J196" s="6">
        <v>0</v>
      </c>
    </row>
    <row r="197" spans="1:10">
      <c r="A197" s="5">
        <v>45962</v>
      </c>
      <c r="B197" t="s">
        <v>47</v>
      </c>
      <c r="C197" t="s">
        <v>42</v>
      </c>
      <c r="D197" t="s">
        <v>41</v>
      </c>
      <c r="E197" s="6">
        <v>10444.8</v>
      </c>
      <c r="F197" s="6">
        <v>11597.06</v>
      </c>
      <c r="G197" s="6">
        <v>652.8</v>
      </c>
      <c r="H197" s="6">
        <v>499.4599999999999</v>
      </c>
      <c r="I197" s="6">
        <v>1152.26</v>
      </c>
      <c r="J197" s="6">
        <v>3.410605131648481E-13</v>
      </c>
    </row>
    <row r="198" spans="1:10">
      <c r="A198" s="5">
        <v>45962</v>
      </c>
      <c r="B198" t="s">
        <v>47</v>
      </c>
      <c r="C198" t="s">
        <v>43</v>
      </c>
      <c r="D198" t="s">
        <v>40</v>
      </c>
      <c r="E198" s="6">
        <v>15229.28</v>
      </c>
      <c r="F198" s="6">
        <v>17361.36</v>
      </c>
      <c r="G198" s="6">
        <v>1384.48</v>
      </c>
      <c r="H198" s="6">
        <v>747.5999999999995</v>
      </c>
      <c r="I198" s="6">
        <v>2132.08</v>
      </c>
      <c r="J198" s="6">
        <v>4.547473508864641E-13</v>
      </c>
    </row>
    <row r="199" spans="1:10">
      <c r="A199" s="5">
        <v>45962</v>
      </c>
      <c r="B199" t="s">
        <v>47</v>
      </c>
      <c r="C199" t="s">
        <v>43</v>
      </c>
      <c r="D199" t="s">
        <v>41</v>
      </c>
      <c r="E199" s="6">
        <v>6528</v>
      </c>
      <c r="F199" s="6">
        <v>8868.34</v>
      </c>
      <c r="G199" s="6">
        <v>1958.4</v>
      </c>
      <c r="H199" s="6">
        <v>381.9399999999999</v>
      </c>
      <c r="I199" s="6">
        <v>2340.34</v>
      </c>
      <c r="J199" s="6">
        <v>3.410605131648481E-13</v>
      </c>
    </row>
    <row r="200" spans="1:10">
      <c r="A200" s="5">
        <v>45992</v>
      </c>
      <c r="B200" t="s">
        <v>38</v>
      </c>
      <c r="C200" t="s">
        <v>39</v>
      </c>
      <c r="D200" t="s">
        <v>40</v>
      </c>
      <c r="E200" s="6">
        <v>341437.2</v>
      </c>
      <c r="F200" s="6">
        <v>412120.59</v>
      </c>
      <c r="G200" s="6">
        <v>52936</v>
      </c>
      <c r="H200" s="6">
        <v>17747.38999999995</v>
      </c>
      <c r="I200" s="6">
        <v>70683.39000000001</v>
      </c>
      <c r="J200" s="6">
        <v>6.184563972055912E-11</v>
      </c>
    </row>
    <row r="201" spans="1:10">
      <c r="A201" s="5">
        <v>45992</v>
      </c>
      <c r="B201" t="s">
        <v>38</v>
      </c>
      <c r="C201" t="s">
        <v>39</v>
      </c>
      <c r="D201" t="s">
        <v>41</v>
      </c>
      <c r="E201" s="6">
        <v>167232</v>
      </c>
      <c r="F201" s="6">
        <v>206057.28</v>
      </c>
      <c r="G201" s="6">
        <v>29952</v>
      </c>
      <c r="H201" s="6">
        <v>8873.280000000013</v>
      </c>
      <c r="I201" s="6">
        <v>38825.28</v>
      </c>
      <c r="J201" s="6">
        <v>-1.455191522836685E-11</v>
      </c>
    </row>
    <row r="202" spans="1:10">
      <c r="A202" s="5">
        <v>45992</v>
      </c>
      <c r="B202" t="s">
        <v>38</v>
      </c>
      <c r="C202" t="s">
        <v>42</v>
      </c>
      <c r="D202" t="s">
        <v>40</v>
      </c>
      <c r="E202" s="6">
        <v>148220.8</v>
      </c>
      <c r="F202" s="6">
        <v>185315.97</v>
      </c>
      <c r="G202" s="6">
        <v>29114.8</v>
      </c>
      <c r="H202" s="6">
        <v>7980.369999999978</v>
      </c>
      <c r="I202" s="6">
        <v>37095.17000000001</v>
      </c>
      <c r="J202" s="6">
        <v>3.183231456205249E-11</v>
      </c>
    </row>
    <row r="203" spans="1:10">
      <c r="A203" s="5">
        <v>45992</v>
      </c>
      <c r="B203" t="s">
        <v>38</v>
      </c>
      <c r="C203" t="s">
        <v>42</v>
      </c>
      <c r="D203" t="s">
        <v>41</v>
      </c>
      <c r="E203" s="6">
        <v>69888</v>
      </c>
      <c r="F203" s="6">
        <v>91291.2</v>
      </c>
      <c r="G203" s="6">
        <v>17472</v>
      </c>
      <c r="H203" s="6">
        <v>3931.200000000006</v>
      </c>
      <c r="I203" s="6">
        <v>21403.2</v>
      </c>
      <c r="J203" s="6">
        <v>-8.640199666842818E-12</v>
      </c>
    </row>
    <row r="204" spans="1:10">
      <c r="A204" s="5">
        <v>45992</v>
      </c>
      <c r="B204" t="s">
        <v>38</v>
      </c>
      <c r="C204" t="s">
        <v>43</v>
      </c>
      <c r="D204" t="s">
        <v>40</v>
      </c>
      <c r="E204" s="6">
        <v>111165.6</v>
      </c>
      <c r="F204" s="6">
        <v>132763.68</v>
      </c>
      <c r="G204" s="6">
        <v>15880.8</v>
      </c>
      <c r="H204" s="6">
        <v>5717.279999999984</v>
      </c>
      <c r="I204" s="6">
        <v>21598.07999999999</v>
      </c>
      <c r="J204" s="6">
        <v>1.818989403545856E-12</v>
      </c>
    </row>
    <row r="205" spans="1:10">
      <c r="A205" s="5">
        <v>45992</v>
      </c>
      <c r="B205" t="s">
        <v>38</v>
      </c>
      <c r="C205" t="s">
        <v>43</v>
      </c>
      <c r="D205" t="s">
        <v>41</v>
      </c>
      <c r="E205" s="6">
        <v>49920</v>
      </c>
      <c r="F205" s="6">
        <v>62599.68</v>
      </c>
      <c r="G205" s="6">
        <v>9984</v>
      </c>
      <c r="H205" s="6">
        <v>2695.680000000004</v>
      </c>
      <c r="I205" s="6">
        <v>12679.68</v>
      </c>
      <c r="J205" s="6">
        <v>-3.637978807091713E-12</v>
      </c>
    </row>
    <row r="206" spans="1:10">
      <c r="A206" s="5">
        <v>45992</v>
      </c>
      <c r="B206" t="s">
        <v>45</v>
      </c>
      <c r="C206" t="s">
        <v>39</v>
      </c>
      <c r="D206" t="s">
        <v>40</v>
      </c>
      <c r="E206" s="6">
        <v>139415.1</v>
      </c>
      <c r="F206" s="6">
        <v>175529</v>
      </c>
      <c r="G206" s="6">
        <v>28554.9</v>
      </c>
      <c r="H206" s="6">
        <v>7558.999999999992</v>
      </c>
      <c r="I206" s="6">
        <v>36113.89999999999</v>
      </c>
      <c r="J206" s="6">
        <v>9.094947017729282E-13</v>
      </c>
    </row>
    <row r="207" spans="1:10">
      <c r="A207" s="5">
        <v>45992</v>
      </c>
      <c r="B207" t="s">
        <v>45</v>
      </c>
      <c r="C207" t="s">
        <v>39</v>
      </c>
      <c r="D207" t="s">
        <v>41</v>
      </c>
      <c r="E207" s="6">
        <v>74448</v>
      </c>
      <c r="F207" s="6">
        <v>91040.39999999999</v>
      </c>
      <c r="G207" s="6">
        <v>12672</v>
      </c>
      <c r="H207" s="6">
        <v>3920.399999999999</v>
      </c>
      <c r="I207" s="6">
        <v>16592.39999999999</v>
      </c>
      <c r="J207" s="6">
        <v>-4.547473508864641E-12</v>
      </c>
    </row>
    <row r="208" spans="1:10">
      <c r="A208" s="5">
        <v>45992</v>
      </c>
      <c r="B208" t="s">
        <v>45</v>
      </c>
      <c r="C208" t="s">
        <v>42</v>
      </c>
      <c r="D208" t="s">
        <v>40</v>
      </c>
      <c r="E208" s="6">
        <v>63828.6</v>
      </c>
      <c r="F208" s="6">
        <v>82498.63</v>
      </c>
      <c r="G208" s="6">
        <v>15117.3</v>
      </c>
      <c r="H208" s="6">
        <v>3552.729999999996</v>
      </c>
      <c r="I208" s="6">
        <v>18670.03000000001</v>
      </c>
      <c r="J208" s="6">
        <v>9.094947017729282E-12</v>
      </c>
    </row>
    <row r="209" spans="1:10">
      <c r="A209" s="5">
        <v>45992</v>
      </c>
      <c r="B209" t="s">
        <v>45</v>
      </c>
      <c r="C209" t="s">
        <v>42</v>
      </c>
      <c r="D209" t="s">
        <v>41</v>
      </c>
      <c r="E209" s="6">
        <v>34848</v>
      </c>
      <c r="F209" s="6">
        <v>39726.72</v>
      </c>
      <c r="G209" s="6">
        <v>3168</v>
      </c>
      <c r="H209" s="6">
        <v>1710.719999999999</v>
      </c>
      <c r="I209" s="6">
        <v>4878.720000000001</v>
      </c>
      <c r="J209" s="6">
        <v>1.818989403545856E-12</v>
      </c>
    </row>
    <row r="210" spans="1:10">
      <c r="A210" s="5">
        <v>45992</v>
      </c>
      <c r="B210" t="s">
        <v>45</v>
      </c>
      <c r="C210" t="s">
        <v>43</v>
      </c>
      <c r="D210" t="s">
        <v>40</v>
      </c>
      <c r="E210" s="6">
        <v>50391</v>
      </c>
      <c r="F210" s="6">
        <v>56169.28</v>
      </c>
      <c r="G210" s="6">
        <v>3359.4</v>
      </c>
      <c r="H210" s="6">
        <v>2418.879999999997</v>
      </c>
      <c r="I210" s="6">
        <v>5778.279999999999</v>
      </c>
      <c r="J210" s="6">
        <v>1.364242052659392E-12</v>
      </c>
    </row>
    <row r="211" spans="1:10">
      <c r="A211" s="5">
        <v>45992</v>
      </c>
      <c r="B211" t="s">
        <v>45</v>
      </c>
      <c r="C211" t="s">
        <v>43</v>
      </c>
      <c r="D211" t="s">
        <v>41</v>
      </c>
      <c r="E211" s="6">
        <v>23760</v>
      </c>
      <c r="F211" s="6">
        <v>28139.76</v>
      </c>
      <c r="G211" s="6">
        <v>3168</v>
      </c>
      <c r="H211" s="6">
        <v>1211.76</v>
      </c>
      <c r="I211" s="6">
        <v>4379.759999999998</v>
      </c>
      <c r="J211" s="6">
        <v>-1.13686837721616E-12</v>
      </c>
    </row>
    <row r="212" spans="1:10">
      <c r="A212" s="5">
        <v>45992</v>
      </c>
      <c r="B212" t="s">
        <v>47</v>
      </c>
      <c r="C212" t="s">
        <v>39</v>
      </c>
      <c r="D212" t="s">
        <v>40</v>
      </c>
      <c r="E212" s="6">
        <v>38765.44</v>
      </c>
      <c r="F212" s="6">
        <v>48467.13</v>
      </c>
      <c r="G212" s="6">
        <v>7614.64</v>
      </c>
      <c r="H212" s="6">
        <v>2087.049999999998</v>
      </c>
      <c r="I212" s="6">
        <v>9701.689999999995</v>
      </c>
      <c r="J212" s="6">
        <v>-3.637978807091713E-12</v>
      </c>
    </row>
    <row r="213" spans="1:10">
      <c r="A213" s="5">
        <v>45992</v>
      </c>
      <c r="B213" t="s">
        <v>47</v>
      </c>
      <c r="C213" t="s">
        <v>39</v>
      </c>
      <c r="D213" t="s">
        <v>41</v>
      </c>
      <c r="E213" s="6">
        <v>19584</v>
      </c>
      <c r="F213" s="6">
        <v>25922.84</v>
      </c>
      <c r="G213" s="6">
        <v>5222.4</v>
      </c>
      <c r="H213" s="6">
        <v>1116.44</v>
      </c>
      <c r="I213" s="6">
        <v>6338.84</v>
      </c>
      <c r="J213" s="6">
        <v>6.821210263296962E-13</v>
      </c>
    </row>
    <row r="214" spans="1:10">
      <c r="A214" s="5">
        <v>45992</v>
      </c>
      <c r="B214" t="s">
        <v>47</v>
      </c>
      <c r="C214" t="s">
        <v>42</v>
      </c>
      <c r="D214" t="s">
        <v>40</v>
      </c>
      <c r="E214" s="6">
        <v>18690.48</v>
      </c>
      <c r="F214" s="6">
        <v>22425.09</v>
      </c>
      <c r="G214" s="6">
        <v>2768.96</v>
      </c>
      <c r="H214" s="6">
        <v>965.6499999999993</v>
      </c>
      <c r="I214" s="6">
        <v>3734.610000000001</v>
      </c>
      <c r="J214" s="6">
        <v>1.250555214937776E-12</v>
      </c>
    </row>
    <row r="215" spans="1:10">
      <c r="A215" s="5">
        <v>45992</v>
      </c>
      <c r="B215" t="s">
        <v>47</v>
      </c>
      <c r="C215" t="s">
        <v>42</v>
      </c>
      <c r="D215" t="s">
        <v>41</v>
      </c>
      <c r="E215" s="6">
        <v>9792</v>
      </c>
      <c r="F215" s="6">
        <v>10914.88</v>
      </c>
      <c r="G215" s="6">
        <v>652.8</v>
      </c>
      <c r="H215" s="6">
        <v>470.0799999999999</v>
      </c>
      <c r="I215" s="6">
        <v>1122.879999999999</v>
      </c>
      <c r="J215" s="6">
        <v>-6.821210263296962E-13</v>
      </c>
    </row>
    <row r="216" spans="1:10">
      <c r="A216" s="5">
        <v>45992</v>
      </c>
      <c r="B216" t="s">
        <v>47</v>
      </c>
      <c r="C216" t="s">
        <v>43</v>
      </c>
      <c r="D216" t="s">
        <v>40</v>
      </c>
      <c r="E216" s="6">
        <v>13152.56</v>
      </c>
      <c r="F216" s="6">
        <v>16637.97</v>
      </c>
      <c r="G216" s="6">
        <v>2768.96</v>
      </c>
      <c r="H216" s="6">
        <v>716.4499999999995</v>
      </c>
      <c r="I216" s="6">
        <v>3485.410000000002</v>
      </c>
      <c r="J216" s="6">
        <v>2.160049916710705E-12</v>
      </c>
    </row>
    <row r="217" spans="1:10">
      <c r="A217" s="5">
        <v>45992</v>
      </c>
      <c r="B217" t="s">
        <v>47</v>
      </c>
      <c r="C217" t="s">
        <v>43</v>
      </c>
      <c r="D217" t="s">
        <v>41</v>
      </c>
      <c r="E217" s="6">
        <v>7180.8</v>
      </c>
      <c r="F217" s="6">
        <v>7503.98</v>
      </c>
      <c r="G217" s="6">
        <v>0</v>
      </c>
      <c r="H217" s="6">
        <v>323.1799999999999</v>
      </c>
      <c r="I217" s="6">
        <v>323.1799999999994</v>
      </c>
      <c r="J217" s="6">
        <v>-5.684341886080801E-13</v>
      </c>
    </row>
  </sheetData>
  <autoFilter ref="A1:J217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0A899"/>
  </sheetPr>
  <dimension ref="A1:H9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8" width="22.7109375" customWidth="1"/>
  </cols>
  <sheetData>
    <row r="1" spans="1:8">
      <c r="A1" s="4" t="s">
        <v>27</v>
      </c>
      <c r="B1" s="4" t="s">
        <v>932</v>
      </c>
      <c r="C1" s="4" t="s">
        <v>983</v>
      </c>
      <c r="D1" s="4" t="s">
        <v>984</v>
      </c>
      <c r="E1" s="4" t="s">
        <v>985</v>
      </c>
      <c r="F1" s="4" t="s">
        <v>986</v>
      </c>
      <c r="G1" s="4" t="s">
        <v>987</v>
      </c>
      <c r="H1" s="4" t="s">
        <v>988</v>
      </c>
    </row>
    <row r="2" spans="1:8">
      <c r="A2" s="5">
        <v>45292</v>
      </c>
      <c r="B2" t="s">
        <v>78</v>
      </c>
      <c r="C2" s="6">
        <f>'12_MODELO'!AZ2</f>
        <v>0.0</v>
      </c>
      <c r="D2" s="6">
        <f>'12_MODELO'!BA2</f>
        <v>0.0</v>
      </c>
      <c r="E2" s="6">
        <f>'12_MODELO'!BN2</f>
        <v>4.656612873077393e-10</v>
      </c>
      <c r="F2" s="6">
        <f>'12_MODELO'!AV2</f>
        <v>2503481.8133333335</v>
      </c>
      <c r="G2" s="11" t="str">
        <f>IF(MAX(ABS(C2),ABS(D2),ABS(E2))&lt;0.01,"OK","REVISAR")</f>
        <v>OK</v>
      </c>
      <c r="H2" s="11" t="str">
        <f>IF(F2&lt;0,"Necessidade de financiamento","Caixa positivo")</f>
        <v>Caixa positivo</v>
      </c>
    </row>
    <row r="3" spans="1:8">
      <c r="A3" s="5">
        <v>45323</v>
      </c>
      <c r="B3" t="s">
        <v>78</v>
      </c>
      <c r="C3" s="6">
        <f>'12_MODELO'!AZ3</f>
        <v>0.0</v>
      </c>
      <c r="D3" s="6">
        <f>'12_MODELO'!BA3</f>
        <v>-5.093170329928398e-11</v>
      </c>
      <c r="E3" s="6">
        <f>'12_MODELO'!BN3</f>
        <v>9.313225746154785e-10</v>
      </c>
      <c r="F3" s="6">
        <f>'12_MODELO'!AV3</f>
        <v>2435948.005482</v>
      </c>
      <c r="G3" s="11" t="str">
        <f>IF(MAX(ABS(C3),ABS(D3),ABS(E3))&lt;0.01,"OK","REVISAR")</f>
        <v>OK</v>
      </c>
      <c r="H3" s="11" t="str">
        <f>IF(F3&lt;0,"Necessidade de financiamento","Caixa positivo")</f>
        <v>Caixa positivo</v>
      </c>
    </row>
    <row r="4" spans="1:8">
      <c r="A4" s="5">
        <v>45352</v>
      </c>
      <c r="B4" t="s">
        <v>78</v>
      </c>
      <c r="C4" s="6">
        <f>'12_MODELO'!AZ4</f>
        <v>0.0</v>
      </c>
      <c r="D4" s="6">
        <f>'12_MODELO'!BA4</f>
        <v>-2.9103830456733704e-11</v>
      </c>
      <c r="E4" s="6">
        <f>'12_MODELO'!BN4</f>
        <v>1.3969838619232178e-09</v>
      </c>
      <c r="F4" s="6">
        <f>'12_MODELO'!AV4</f>
        <v>2142410.1688873335</v>
      </c>
      <c r="G4" s="11" t="str">
        <f>IF(MAX(ABS(C4),ABS(D4),ABS(E4))&lt;0.01,"OK","REVISAR")</f>
        <v>OK</v>
      </c>
      <c r="H4" s="11" t="str">
        <f>IF(F4&lt;0,"Necessidade de financiamento","Caixa positivo")</f>
        <v>Caixa positivo</v>
      </c>
    </row>
    <row r="5" spans="1:8">
      <c r="A5" s="5">
        <v>45383</v>
      </c>
      <c r="B5" t="s">
        <v>78</v>
      </c>
      <c r="C5" s="6">
        <f>'12_MODELO'!AZ5</f>
        <v>0.0</v>
      </c>
      <c r="D5" s="6">
        <f>'12_MODELO'!BA5</f>
        <v>-1.5279510989785194e-10</v>
      </c>
      <c r="E5" s="6">
        <f>'12_MODELO'!BN5</f>
        <v>9.313225746154785e-10</v>
      </c>
      <c r="F5" s="6">
        <f>'12_MODELO'!AV5</f>
        <v>2155778.6258266666</v>
      </c>
      <c r="G5" s="11" t="str">
        <f>IF(MAX(ABS(C5),ABS(D5),ABS(E5))&lt;0.01,"OK","REVISAR")</f>
        <v>OK</v>
      </c>
      <c r="H5" s="11" t="str">
        <f>IF(F5&lt;0,"Necessidade de financiamento","Caixa positivo")</f>
        <v>Caixa positivo</v>
      </c>
    </row>
    <row r="6" spans="1:8">
      <c r="A6" s="5">
        <v>45413</v>
      </c>
      <c r="B6" t="s">
        <v>78</v>
      </c>
      <c r="C6" s="6">
        <f>'12_MODELO'!AZ6</f>
        <v>0.0</v>
      </c>
      <c r="D6" s="6">
        <f>'12_MODELO'!BA6</f>
        <v>8.731149137020111e-11</v>
      </c>
      <c r="E6" s="6">
        <f>'12_MODELO'!BN6</f>
        <v>1.3969838619232178e-09</v>
      </c>
      <c r="F6" s="6">
        <f>'12_MODELO'!AV6</f>
        <v>2110181.4374586665</v>
      </c>
      <c r="G6" s="11" t="str">
        <f>IF(MAX(ABS(C6),ABS(D6),ABS(E6))&lt;0.01,"OK","REVISAR")</f>
        <v>OK</v>
      </c>
      <c r="H6" s="11" t="str">
        <f>IF(F6&lt;0,"Necessidade de financiamento","Caixa positivo")</f>
        <v>Caixa positivo</v>
      </c>
    </row>
    <row r="7" spans="1:8">
      <c r="A7" s="5">
        <v>45444</v>
      </c>
      <c r="B7" t="s">
        <v>78</v>
      </c>
      <c r="C7" s="6">
        <f>'12_MODELO'!AZ7</f>
        <v>0.0</v>
      </c>
      <c r="D7" s="6">
        <f>'12_MODELO'!BA7</f>
        <v>9.094947017729282e-11</v>
      </c>
      <c r="E7" s="6">
        <f>'12_MODELO'!BN7</f>
        <v>1.6298145055770874e-09</v>
      </c>
      <c r="F7" s="6">
        <f>'12_MODELO'!AV7</f>
        <v>2004745.1672373333</v>
      </c>
      <c r="G7" s="11" t="str">
        <f>IF(MAX(ABS(C7),ABS(D7),ABS(E7))&lt;0.01,"OK","REVISAR")</f>
        <v>OK</v>
      </c>
      <c r="H7" s="11" t="str">
        <f>IF(F7&lt;0,"Necessidade de financiamento","Caixa positivo")</f>
        <v>Caixa positivo</v>
      </c>
    </row>
    <row r="8" spans="1:8">
      <c r="A8" s="5">
        <v>45474</v>
      </c>
      <c r="B8" t="s">
        <v>78</v>
      </c>
      <c r="C8" s="6">
        <f>'12_MODELO'!AZ8</f>
        <v>-9.313225746154785e-10</v>
      </c>
      <c r="D8" s="6">
        <f>'12_MODELO'!BA8</f>
        <v>2.9103830456733704e-10</v>
      </c>
      <c r="E8" s="6">
        <f>'12_MODELO'!BN8</f>
        <v>1.862645149230957e-09</v>
      </c>
      <c r="F8" s="6">
        <f>'12_MODELO'!AV8</f>
        <v>2214304.2109106667</v>
      </c>
      <c r="G8" s="11" t="str">
        <f>IF(MAX(ABS(C8),ABS(D8),ABS(E8))&lt;0.01,"OK","REVISAR")</f>
        <v>OK</v>
      </c>
      <c r="H8" s="11" t="str">
        <f>IF(F8&lt;0,"Necessidade de financiamento","Caixa positivo")</f>
        <v>Caixa positivo</v>
      </c>
    </row>
    <row r="9" spans="1:8">
      <c r="A9" s="5">
        <v>45505</v>
      </c>
      <c r="B9" t="s">
        <v>78</v>
      </c>
      <c r="C9" s="6">
        <f>'12_MODELO'!AZ9</f>
        <v>9.313225746154785e-10</v>
      </c>
      <c r="D9" s="6">
        <f>'12_MODELO'!BA9</f>
        <v>2.1827872842550278e-10</v>
      </c>
      <c r="E9" s="6">
        <f>'12_MODELO'!BN9</f>
        <v>1.862645149230957e-09</v>
      </c>
      <c r="F9" s="6">
        <f>'12_MODELO'!AV9</f>
        <v>2105324.4918546667</v>
      </c>
      <c r="G9" s="11" t="str">
        <f>IF(MAX(ABS(C9),ABS(D9),ABS(E9))&lt;0.01,"OK","REVISAR")</f>
        <v>OK</v>
      </c>
      <c r="H9" s="11" t="str">
        <f>IF(F9&lt;0,"Necessidade de financiamento","Caixa positivo")</f>
        <v>Caixa positivo</v>
      </c>
    </row>
    <row r="10" spans="1:8">
      <c r="A10" s="5">
        <v>45536</v>
      </c>
      <c r="B10" t="s">
        <v>78</v>
      </c>
      <c r="C10" s="6">
        <f>'12_MODELO'!AZ10</f>
        <v>0.0</v>
      </c>
      <c r="D10" s="6">
        <f>'12_MODELO'!BA10</f>
        <v>3.2378011383116245e-10</v>
      </c>
      <c r="E10" s="6">
        <f>'12_MODELO'!BN10</f>
        <v>2.3283064365386963e-09</v>
      </c>
      <c r="F10" s="6">
        <f>'12_MODELO'!AV10</f>
        <v>1993655.3386473334</v>
      </c>
      <c r="G10" s="11" t="str">
        <f>IF(MAX(ABS(C10),ABS(D10),ABS(E10))&lt;0.01,"OK","REVISAR")</f>
        <v>OK</v>
      </c>
      <c r="H10" s="11" t="str">
        <f>IF(F10&lt;0,"Necessidade de financiamento","Caixa positivo")</f>
        <v>Caixa positivo</v>
      </c>
    </row>
    <row r="11" spans="1:8">
      <c r="A11" s="5">
        <v>45566</v>
      </c>
      <c r="B11" t="s">
        <v>78</v>
      </c>
      <c r="C11" s="6">
        <f>'12_MODELO'!AZ11</f>
        <v>0.0</v>
      </c>
      <c r="D11" s="6">
        <f>'12_MODELO'!BA11</f>
        <v>1.4551915228366852e-11</v>
      </c>
      <c r="E11" s="6">
        <f>'12_MODELO'!BN11</f>
        <v>2.3283064365386963e-09</v>
      </c>
      <c r="F11" s="6">
        <f>'12_MODELO'!AV11</f>
        <v>1863198.5824613336</v>
      </c>
      <c r="G11" s="11" t="str">
        <f>IF(MAX(ABS(C11),ABS(D11),ABS(E11))&lt;0.01,"OK","REVISAR")</f>
        <v>OK</v>
      </c>
      <c r="H11" s="11" t="str">
        <f>IF(F11&lt;0,"Necessidade de financiamento","Caixa positivo")</f>
        <v>Caixa positivo</v>
      </c>
    </row>
    <row r="12" spans="1:8">
      <c r="A12" s="5">
        <v>45597</v>
      </c>
      <c r="B12" t="s">
        <v>78</v>
      </c>
      <c r="C12" s="6">
        <f>'12_MODELO'!AZ12</f>
        <v>-9.313225746154785e-10</v>
      </c>
      <c r="D12" s="6">
        <f>'12_MODELO'!BA12</f>
        <v>2.0372681319713593e-10</v>
      </c>
      <c r="E12" s="6">
        <f>'12_MODELO'!BN12</f>
        <v>2.3283064365386963e-09</v>
      </c>
      <c r="F12" s="6">
        <f>'12_MODELO'!AV12</f>
        <v>1684879.1351020003</v>
      </c>
      <c r="G12" s="11" t="str">
        <f>IF(MAX(ABS(C12),ABS(D12),ABS(E12))&lt;0.01,"OK","REVISAR")</f>
        <v>OK</v>
      </c>
      <c r="H12" s="11" t="str">
        <f>IF(F12&lt;0,"Necessidade de financiamento","Caixa positivo")</f>
        <v>Caixa positivo</v>
      </c>
    </row>
    <row r="13" spans="1:8">
      <c r="A13" s="5">
        <v>45627</v>
      </c>
      <c r="B13" t="s">
        <v>78</v>
      </c>
      <c r="C13" s="6">
        <f>'12_MODELO'!AZ13</f>
        <v>0.0</v>
      </c>
      <c r="D13" s="6">
        <f>'12_MODELO'!BA13</f>
        <v>5.238689482212067e-10</v>
      </c>
      <c r="E13" s="6">
        <f>'12_MODELO'!BN13</f>
        <v>2.561137080192566e-09</v>
      </c>
      <c r="F13" s="6">
        <f>'12_MODELO'!AV13</f>
        <v>1832722.7945500002</v>
      </c>
      <c r="G13" s="11" t="str">
        <f>IF(MAX(ABS(C13),ABS(D13),ABS(E13))&lt;0.01,"OK","REVISAR")</f>
        <v>OK</v>
      </c>
      <c r="H13" s="11" t="str">
        <f>IF(F13&lt;0,"Necessidade de financiamento","Caixa positivo")</f>
        <v>Caixa positivo</v>
      </c>
    </row>
    <row r="14" spans="1:8">
      <c r="A14" s="5">
        <v>45658</v>
      </c>
      <c r="B14" t="s">
        <v>78</v>
      </c>
      <c r="C14" s="6">
        <f>'12_MODELO'!AZ14</f>
        <v>9.313225746154785e-10</v>
      </c>
      <c r="D14" s="6">
        <f>'12_MODELO'!BA14</f>
        <v>0.0</v>
      </c>
      <c r="E14" s="6">
        <f>'12_MODELO'!BN14</f>
        <v>2.561137080192566e-09</v>
      </c>
      <c r="F14" s="6">
        <f>'12_MODELO'!AV14</f>
        <v>1707637.290778667</v>
      </c>
      <c r="G14" s="11" t="str">
        <f>IF(MAX(ABS(C14),ABS(D14),ABS(E14))&lt;0.01,"OK","REVISAR")</f>
        <v>OK</v>
      </c>
      <c r="H14" s="11" t="str">
        <f>IF(F14&lt;0,"Necessidade de financiamento","Caixa positivo")</f>
        <v>Caixa positivo</v>
      </c>
    </row>
    <row r="15" spans="1:8">
      <c r="A15" s="5">
        <v>45689</v>
      </c>
      <c r="B15" t="s">
        <v>78</v>
      </c>
      <c r="C15" s="6">
        <f>'12_MODELO'!AZ15</f>
        <v>0.0</v>
      </c>
      <c r="D15" s="6">
        <f>'12_MODELO'!BA15</f>
        <v>1.5643308870494366e-10</v>
      </c>
      <c r="E15" s="6">
        <f>'12_MODELO'!BN15</f>
        <v>2.561137080192566e-09</v>
      </c>
      <c r="F15" s="6">
        <f>'12_MODELO'!AV15</f>
        <v>1654600.6491230004</v>
      </c>
      <c r="G15" s="11" t="str">
        <f>IF(MAX(ABS(C15),ABS(D15),ABS(E15))&lt;0.01,"OK","REVISAR")</f>
        <v>OK</v>
      </c>
      <c r="H15" s="11" t="str">
        <f>IF(F15&lt;0,"Necessidade de financiamento","Caixa positivo")</f>
        <v>Caixa positivo</v>
      </c>
    </row>
    <row r="16" spans="1:8">
      <c r="A16" s="5">
        <v>45717</v>
      </c>
      <c r="B16" t="s">
        <v>78</v>
      </c>
      <c r="C16" s="6">
        <f>'12_MODELO'!AZ16</f>
        <v>-1.862645149230957e-09</v>
      </c>
      <c r="D16" s="6">
        <f>'12_MODELO'!BA16</f>
        <v>0.0</v>
      </c>
      <c r="E16" s="6">
        <f>'12_MODELO'!BN16</f>
        <v>2.561137080192566e-09</v>
      </c>
      <c r="F16" s="6">
        <f>'12_MODELO'!AV16</f>
        <v>1214670.768320333</v>
      </c>
      <c r="G16" s="11" t="str">
        <f>IF(MAX(ABS(C16),ABS(D16),ABS(E16))&lt;0.01,"OK","REVISAR")</f>
        <v>OK</v>
      </c>
      <c r="H16" s="11" t="str">
        <f>IF(F16&lt;0,"Necessidade de financiamento","Caixa positivo")</f>
        <v>Caixa positivo</v>
      </c>
    </row>
    <row r="17" spans="1:8">
      <c r="A17" s="5">
        <v>45748</v>
      </c>
      <c r="B17" t="s">
        <v>78</v>
      </c>
      <c r="C17" s="6">
        <f>'12_MODELO'!AZ17</f>
        <v>0.0</v>
      </c>
      <c r="D17" s="6">
        <f>'12_MODELO'!BA17</f>
        <v>3.346940502524376e-10</v>
      </c>
      <c r="E17" s="6">
        <f>'12_MODELO'!BN17</f>
        <v>3.259629011154175e-09</v>
      </c>
      <c r="F17" s="6">
        <f>'12_MODELO'!AV17</f>
        <v>1562533.5379990004</v>
      </c>
      <c r="G17" s="11" t="str">
        <f>IF(MAX(ABS(C17),ABS(D17),ABS(E17))&lt;0.01,"OK","REVISAR")</f>
        <v>OK</v>
      </c>
      <c r="H17" s="11" t="str">
        <f>IF(F17&lt;0,"Necessidade de financiamento","Caixa positivo")</f>
        <v>Caixa positivo</v>
      </c>
    </row>
    <row r="18" spans="1:8">
      <c r="A18" s="5">
        <v>45778</v>
      </c>
      <c r="B18" t="s">
        <v>78</v>
      </c>
      <c r="C18" s="6">
        <f>'12_MODELO'!AZ18</f>
        <v>-9.313225746154785e-10</v>
      </c>
      <c r="D18" s="6">
        <f>'12_MODELO'!BA18</f>
        <v>2.9103830456733704e-10</v>
      </c>
      <c r="E18" s="6">
        <f>'12_MODELO'!BN18</f>
        <v>3.725290298461914e-09</v>
      </c>
      <c r="F18" s="6">
        <f>'12_MODELO'!AV18</f>
        <v>1451222.024957</v>
      </c>
      <c r="G18" s="11" t="str">
        <f>IF(MAX(ABS(C18),ABS(D18),ABS(E18))&lt;0.01,"OK","REVISAR")</f>
        <v>OK</v>
      </c>
      <c r="H18" s="11" t="str">
        <f>IF(F18&lt;0,"Necessidade de financiamento","Caixa positivo")</f>
        <v>Caixa positivo</v>
      </c>
    </row>
    <row r="19" spans="1:8">
      <c r="A19" s="5">
        <v>45809</v>
      </c>
      <c r="B19" t="s">
        <v>78</v>
      </c>
      <c r="C19" s="6">
        <f>'12_MODELO'!AZ19</f>
        <v>0.0</v>
      </c>
      <c r="D19" s="6">
        <f>'12_MODELO'!BA19</f>
        <v>1.8917489796876907e-10</v>
      </c>
      <c r="E19" s="6">
        <f>'12_MODELO'!BN19</f>
        <v>3.958120942115784e-09</v>
      </c>
      <c r="F19" s="6">
        <f>'12_MODELO'!AV19</f>
        <v>1375665.142290667</v>
      </c>
      <c r="G19" s="11" t="str">
        <f>IF(MAX(ABS(C19),ABS(D19),ABS(E19))&lt;0.01,"OK","REVISAR")</f>
        <v>OK</v>
      </c>
      <c r="H19" s="11" t="str">
        <f>IF(F19&lt;0,"Necessidade de financiamento","Caixa positivo")</f>
        <v>Caixa positivo</v>
      </c>
    </row>
    <row r="20" spans="1:8">
      <c r="A20" s="5">
        <v>45839</v>
      </c>
      <c r="B20" t="s">
        <v>78</v>
      </c>
      <c r="C20" s="6">
        <f>'12_MODELO'!AZ20</f>
        <v>0.0</v>
      </c>
      <c r="D20" s="6">
        <f>'12_MODELO'!BA20</f>
        <v>1.7462298274040222e-10</v>
      </c>
      <c r="E20" s="6">
        <f>'12_MODELO'!BN20</f>
        <v>4.190951585769653e-09</v>
      </c>
      <c r="F20" s="6">
        <f>'12_MODELO'!AV20</f>
        <v>1060377.6342070003</v>
      </c>
      <c r="G20" s="11" t="str">
        <f>IF(MAX(ABS(C20),ABS(D20),ABS(E20))&lt;0.01,"OK","REVISAR")</f>
        <v>OK</v>
      </c>
      <c r="H20" s="11" t="str">
        <f>IF(F20&lt;0,"Necessidade de financiamento","Caixa positivo")</f>
        <v>Caixa positivo</v>
      </c>
    </row>
    <row r="21" spans="1:8">
      <c r="A21" s="5">
        <v>45870</v>
      </c>
      <c r="B21" t="s">
        <v>78</v>
      </c>
      <c r="C21" s="6">
        <f>'12_MODELO'!AZ21</f>
        <v>0.0</v>
      </c>
      <c r="D21" s="6">
        <f>'12_MODELO'!BA21</f>
        <v>-2.6193447411060333e-10</v>
      </c>
      <c r="E21" s="6">
        <f>'12_MODELO'!BN21</f>
        <v>3.958120942115784e-09</v>
      </c>
      <c r="F21" s="6">
        <f>'12_MODELO'!AV21</f>
        <v>842526.8548790005</v>
      </c>
      <c r="G21" s="11" t="str">
        <f>IF(MAX(ABS(C21),ABS(D21),ABS(E21))&lt;0.01,"OK","REVISAR")</f>
        <v>OK</v>
      </c>
      <c r="H21" s="11" t="str">
        <f>IF(F21&lt;0,"Necessidade de financiamento","Caixa positivo")</f>
        <v>Caixa positivo</v>
      </c>
    </row>
    <row r="22" spans="1:8">
      <c r="A22" s="5">
        <v>45901</v>
      </c>
      <c r="B22" t="s">
        <v>78</v>
      </c>
      <c r="C22" s="6">
        <f>'12_MODELO'!AZ22</f>
        <v>0.0</v>
      </c>
      <c r="D22" s="6">
        <f>'12_MODELO'!BA22</f>
        <v>-2.6193447411060333e-10</v>
      </c>
      <c r="E22" s="6">
        <f>'12_MODELO'!BN22</f>
        <v>3.6088749766349792e-09</v>
      </c>
      <c r="F22" s="6">
        <f>'12_MODELO'!AV22</f>
        <v>577513.7557550005</v>
      </c>
      <c r="G22" s="11" t="str">
        <f>IF(MAX(ABS(C22),ABS(D22),ABS(E22))&lt;0.01,"OK","REVISAR")</f>
        <v>OK</v>
      </c>
      <c r="H22" s="11" t="str">
        <f>IF(F22&lt;0,"Necessidade de financiamento","Caixa positivo")</f>
        <v>Caixa positivo</v>
      </c>
    </row>
    <row r="23" spans="1:8">
      <c r="A23" s="5">
        <v>45931</v>
      </c>
      <c r="B23" t="s">
        <v>78</v>
      </c>
      <c r="C23" s="6">
        <f>'12_MODELO'!AZ23</f>
        <v>-9.313225746154785e-10</v>
      </c>
      <c r="D23" s="6">
        <f>'12_MODELO'!BA23</f>
        <v>-2.3283064365386963e-10</v>
      </c>
      <c r="E23" s="6">
        <f>'12_MODELO'!BN23</f>
        <v>3.259629011154175e-09</v>
      </c>
      <c r="F23" s="6">
        <f>'12_MODELO'!AV23</f>
        <v>1210533.9128866668</v>
      </c>
      <c r="G23" s="11" t="str">
        <f>IF(MAX(ABS(C23),ABS(D23),ABS(E23))&lt;0.01,"OK","REVISAR")</f>
        <v>OK</v>
      </c>
      <c r="H23" s="11" t="str">
        <f>IF(F23&lt;0,"Necessidade de financiamento","Caixa positivo")</f>
        <v>Caixa positivo</v>
      </c>
    </row>
    <row r="24" spans="1:8">
      <c r="A24" s="5">
        <v>45962</v>
      </c>
      <c r="B24" t="s">
        <v>78</v>
      </c>
      <c r="C24" s="6">
        <f>'12_MODELO'!AZ24</f>
        <v>0.0</v>
      </c>
      <c r="D24" s="6">
        <f>'12_MODELO'!BA24</f>
        <v>2.3283064365386963e-10</v>
      </c>
      <c r="E24" s="6">
        <f>'12_MODELO'!BN24</f>
        <v>3.4924596548080444e-09</v>
      </c>
      <c r="F24" s="6">
        <f>'12_MODELO'!AV24</f>
        <v>789243.6640243335</v>
      </c>
      <c r="G24" s="11" t="str">
        <f>IF(MAX(ABS(C24),ABS(D24),ABS(E24))&lt;0.01,"OK","REVISAR")</f>
        <v>OK</v>
      </c>
      <c r="H24" s="11" t="str">
        <f>IF(F24&lt;0,"Necessidade de financiamento","Caixa positivo")</f>
        <v>Caixa positivo</v>
      </c>
    </row>
    <row r="25" spans="1:8">
      <c r="A25" s="5">
        <v>45992</v>
      </c>
      <c r="B25" t="s">
        <v>78</v>
      </c>
      <c r="C25" s="6">
        <f>'12_MODELO'!AZ25</f>
        <v>9.313225746154785e-10</v>
      </c>
      <c r="D25" s="6">
        <f>'12_MODELO'!BA25</f>
        <v>5.820766091346741e-10</v>
      </c>
      <c r="E25" s="6">
        <f>'12_MODELO'!BN25</f>
        <v>4.190951585769653e-09</v>
      </c>
      <c r="F25" s="6">
        <f>'12_MODELO'!AV25</f>
        <v>1000255.5938990002</v>
      </c>
      <c r="G25" s="11" t="str">
        <f>IF(MAX(ABS(C25),ABS(D25),ABS(E25))&lt;0.01,"OK","REVISAR")</f>
        <v>OK</v>
      </c>
      <c r="H25" s="11" t="str">
        <f>IF(F25&lt;0,"Necessidade de financiamento","Caixa positivo")</f>
        <v>Caixa positivo</v>
      </c>
    </row>
    <row r="26" spans="1:8">
      <c r="A26" s="5">
        <v>45292</v>
      </c>
      <c r="B26" t="s">
        <v>79</v>
      </c>
      <c r="C26" s="6">
        <f>'12_MODELO'!AZ26</f>
        <v>0.0</v>
      </c>
      <c r="D26" s="6">
        <f>'12_MODELO'!BA26</f>
        <v>0.0</v>
      </c>
      <c r="E26" s="6">
        <f>'12_MODELO'!BN26</f>
        <v>0.0</v>
      </c>
      <c r="F26" s="6">
        <f>'12_MODELO'!AV26</f>
        <v>2610045.6</v>
      </c>
      <c r="G26" s="11" t="str">
        <f>IF(MAX(ABS(C26),ABS(D26),ABS(E26))&lt;0.01,"OK","REVISAR")</f>
        <v>OK</v>
      </c>
      <c r="H26" s="11" t="str">
        <f>IF(F26&lt;0,"Necessidade de financiamento","Caixa positivo")</f>
        <v>Caixa positivo</v>
      </c>
    </row>
    <row r="27" spans="1:8">
      <c r="A27" s="5">
        <v>45323</v>
      </c>
      <c r="B27" t="s">
        <v>79</v>
      </c>
      <c r="C27" s="6">
        <f>'12_MODELO'!AZ27</f>
        <v>0.0</v>
      </c>
      <c r="D27" s="6">
        <f>'12_MODELO'!BA27</f>
        <v>0.0</v>
      </c>
      <c r="E27" s="6">
        <f>'12_MODELO'!BN27</f>
        <v>0.0</v>
      </c>
      <c r="F27" s="6">
        <f>'12_MODELO'!AV27</f>
        <v>2557383.0300000003</v>
      </c>
      <c r="G27" s="11" t="str">
        <f>IF(MAX(ABS(C27),ABS(D27),ABS(E27))&lt;0.01,"OK","REVISAR")</f>
        <v>OK</v>
      </c>
      <c r="H27" s="11" t="str">
        <f>IF(F27&lt;0,"Necessidade de financiamento","Caixa positivo")</f>
        <v>Caixa positivo</v>
      </c>
    </row>
    <row r="28" spans="1:8">
      <c r="A28" s="5">
        <v>45352</v>
      </c>
      <c r="B28" t="s">
        <v>79</v>
      </c>
      <c r="C28" s="6">
        <f>'12_MODELO'!AZ28</f>
        <v>0.0</v>
      </c>
      <c r="D28" s="6">
        <f>'12_MODELO'!BA28</f>
        <v>2.6193447411060333e-10</v>
      </c>
      <c r="E28" s="6">
        <f>'12_MODELO'!BN28</f>
        <v>0.0</v>
      </c>
      <c r="F28" s="6">
        <f>'12_MODELO'!AV28</f>
        <v>2259360.032</v>
      </c>
      <c r="G28" s="11" t="str">
        <f>IF(MAX(ABS(C28),ABS(D28),ABS(E28))&lt;0.01,"OK","REVISAR")</f>
        <v>OK</v>
      </c>
      <c r="H28" s="11" t="str">
        <f>IF(F28&lt;0,"Necessidade de financiamento","Caixa positivo")</f>
        <v>Caixa positivo</v>
      </c>
    </row>
    <row r="29" spans="1:8">
      <c r="A29" s="5">
        <v>45383</v>
      </c>
      <c r="B29" t="s">
        <v>79</v>
      </c>
      <c r="C29" s="6">
        <f>'12_MODELO'!AZ29</f>
        <v>0.0</v>
      </c>
      <c r="D29" s="6">
        <f>'12_MODELO'!BA29</f>
        <v>0.0</v>
      </c>
      <c r="E29" s="6">
        <f>'12_MODELO'!BN29</f>
        <v>0.0</v>
      </c>
      <c r="F29" s="6">
        <f>'12_MODELO'!AV29</f>
        <v>2304718.6780000003</v>
      </c>
      <c r="G29" s="11" t="str">
        <f>IF(MAX(ABS(C29),ABS(D29),ABS(E29))&lt;0.01,"OK","REVISAR")</f>
        <v>OK</v>
      </c>
      <c r="H29" s="11" t="str">
        <f>IF(F29&lt;0,"Necessidade de financiamento","Caixa positivo")</f>
        <v>Caixa positivo</v>
      </c>
    </row>
    <row r="30" spans="1:8">
      <c r="A30" s="5">
        <v>45413</v>
      </c>
      <c r="B30" t="s">
        <v>79</v>
      </c>
      <c r="C30" s="6">
        <f>'12_MODELO'!AZ30</f>
        <v>0.0</v>
      </c>
      <c r="D30" s="6">
        <f>'12_MODELO'!BA30</f>
        <v>1.2005330063402653e-10</v>
      </c>
      <c r="E30" s="6">
        <f>'12_MODELO'!BN30</f>
        <v>0.0</v>
      </c>
      <c r="F30" s="6">
        <f>'12_MODELO'!AV30</f>
        <v>2237828.176</v>
      </c>
      <c r="G30" s="11" t="str">
        <f>IF(MAX(ABS(C30),ABS(D30),ABS(E30))&lt;0.01,"OK","REVISAR")</f>
        <v>OK</v>
      </c>
      <c r="H30" s="11" t="str">
        <f>IF(F30&lt;0,"Necessidade de financiamento","Caixa positivo")</f>
        <v>Caixa positivo</v>
      </c>
    </row>
    <row r="31" spans="1:8">
      <c r="A31" s="5">
        <v>45444</v>
      </c>
      <c r="B31" t="s">
        <v>79</v>
      </c>
      <c r="C31" s="6">
        <f>'12_MODELO'!AZ31</f>
        <v>0.0</v>
      </c>
      <c r="D31" s="6">
        <f>'12_MODELO'!BA31</f>
        <v>2.3283064365386963e-10</v>
      </c>
      <c r="E31" s="6">
        <f>'12_MODELO'!BN31</f>
        <v>0.0</v>
      </c>
      <c r="F31" s="6">
        <f>'12_MODELO'!AV31</f>
        <v>2176850.388</v>
      </c>
      <c r="G31" s="11" t="str">
        <f>IF(MAX(ABS(C31),ABS(D31),ABS(E31))&lt;0.01,"OK","REVISAR")</f>
        <v>OK</v>
      </c>
      <c r="H31" s="11" t="str">
        <f>IF(F31&lt;0,"Necessidade de financiamento","Caixa positivo")</f>
        <v>Caixa positivo</v>
      </c>
    </row>
    <row r="32" spans="1:8">
      <c r="A32" s="5">
        <v>45474</v>
      </c>
      <c r="B32" t="s">
        <v>79</v>
      </c>
      <c r="C32" s="6">
        <f>'12_MODELO'!AZ32</f>
        <v>0.0</v>
      </c>
      <c r="D32" s="6">
        <f>'12_MODELO'!BA32</f>
        <v>2.0372681319713593e-10</v>
      </c>
      <c r="E32" s="6">
        <f>'12_MODELO'!BN32</f>
        <v>0.0</v>
      </c>
      <c r="F32" s="6">
        <f>'12_MODELO'!AV32</f>
        <v>2340356.224</v>
      </c>
      <c r="G32" s="11" t="str">
        <f>IF(MAX(ABS(C32),ABS(D32),ABS(E32))&lt;0.01,"OK","REVISAR")</f>
        <v>OK</v>
      </c>
      <c r="H32" s="11" t="str">
        <f>IF(F32&lt;0,"Necessidade de financiamento","Caixa positivo")</f>
        <v>Caixa positivo</v>
      </c>
    </row>
    <row r="33" spans="1:8">
      <c r="A33" s="5">
        <v>45505</v>
      </c>
      <c r="B33" t="s">
        <v>79</v>
      </c>
      <c r="C33" s="6">
        <f>'12_MODELO'!AZ33</f>
        <v>0.0</v>
      </c>
      <c r="D33" s="6">
        <f>'12_MODELO'!BA33</f>
        <v>4.3655745685100555e-10</v>
      </c>
      <c r="E33" s="6">
        <f>'12_MODELO'!BN33</f>
        <v>0.0</v>
      </c>
      <c r="F33" s="6">
        <f>'12_MODELO'!AV33</f>
        <v>2242319.5399999996</v>
      </c>
      <c r="G33" s="11" t="str">
        <f>IF(MAX(ABS(C33),ABS(D33),ABS(E33))&lt;0.01,"OK","REVISAR")</f>
        <v>OK</v>
      </c>
      <c r="H33" s="11" t="str">
        <f>IF(F33&lt;0,"Necessidade de financiamento","Caixa positivo")</f>
        <v>Caixa positivo</v>
      </c>
    </row>
    <row r="34" spans="1:8">
      <c r="A34" s="5">
        <v>45536</v>
      </c>
      <c r="B34" t="s">
        <v>79</v>
      </c>
      <c r="C34" s="6">
        <f>'12_MODELO'!AZ34</f>
        <v>0.0</v>
      </c>
      <c r="D34" s="6">
        <f>'12_MODELO'!BA34</f>
        <v>-1.2369127944111824e-10</v>
      </c>
      <c r="E34" s="6">
        <f>'12_MODELO'!BN34</f>
        <v>0.0</v>
      </c>
      <c r="F34" s="6">
        <f>'12_MODELO'!AV34</f>
        <v>2139553.4079999994</v>
      </c>
      <c r="G34" s="11" t="str">
        <f>IF(MAX(ABS(C34),ABS(D34),ABS(E34))&lt;0.01,"OK","REVISAR")</f>
        <v>OK</v>
      </c>
      <c r="H34" s="11" t="str">
        <f>IF(F34&lt;0,"Necessidade de financiamento","Caixa positivo")</f>
        <v>Caixa positivo</v>
      </c>
    </row>
    <row r="35" spans="1:8">
      <c r="A35" s="5">
        <v>45566</v>
      </c>
      <c r="B35" t="s">
        <v>79</v>
      </c>
      <c r="C35" s="6">
        <f>'12_MODELO'!AZ35</f>
        <v>0.0</v>
      </c>
      <c r="D35" s="6">
        <f>'12_MODELO'!BA35</f>
        <v>-2.510205376893282e-10</v>
      </c>
      <c r="E35" s="6">
        <f>'12_MODELO'!BN35</f>
        <v>0.0</v>
      </c>
      <c r="F35" s="6">
        <f>'12_MODELO'!AV35</f>
        <v>2087706.7119999991</v>
      </c>
      <c r="G35" s="11" t="str">
        <f>IF(MAX(ABS(C35),ABS(D35),ABS(E35))&lt;0.01,"OK","REVISAR")</f>
        <v>OK</v>
      </c>
      <c r="H35" s="11" t="str">
        <f>IF(F35&lt;0,"Necessidade de financiamento","Caixa positivo")</f>
        <v>Caixa positivo</v>
      </c>
    </row>
    <row r="36" spans="1:8">
      <c r="A36" s="5">
        <v>45597</v>
      </c>
      <c r="B36" t="s">
        <v>79</v>
      </c>
      <c r="C36" s="6">
        <f>'12_MODELO'!AZ36</f>
        <v>0.0</v>
      </c>
      <c r="D36" s="6">
        <f>'12_MODELO'!BA36</f>
        <v>-2.6193447411060333e-10</v>
      </c>
      <c r="E36" s="6">
        <f>'12_MODELO'!BN36</f>
        <v>0.0</v>
      </c>
      <c r="F36" s="6">
        <f>'12_MODELO'!AV36</f>
        <v>1894746.6499999994</v>
      </c>
      <c r="G36" s="11" t="str">
        <f>IF(MAX(ABS(C36),ABS(D36),ABS(E36))&lt;0.01,"OK","REVISAR")</f>
        <v>OK</v>
      </c>
      <c r="H36" s="11" t="str">
        <f>IF(F36&lt;0,"Necessidade de financiamento","Caixa positivo")</f>
        <v>Caixa positivo</v>
      </c>
    </row>
    <row r="37" spans="1:8">
      <c r="A37" s="5">
        <v>45627</v>
      </c>
      <c r="B37" t="s">
        <v>79</v>
      </c>
      <c r="C37" s="6">
        <f>'12_MODELO'!AZ37</f>
        <v>-9.313225746154785e-10</v>
      </c>
      <c r="D37" s="6">
        <f>'12_MODELO'!BA37</f>
        <v>5.820766091346741e-11</v>
      </c>
      <c r="E37" s="6">
        <f>'12_MODELO'!BN37</f>
        <v>0.0</v>
      </c>
      <c r="F37" s="6">
        <f>'12_MODELO'!AV37</f>
        <v>2039743.6659999995</v>
      </c>
      <c r="G37" s="11" t="str">
        <f>IF(MAX(ABS(C37),ABS(D37),ABS(E37))&lt;0.01,"OK","REVISAR")</f>
        <v>OK</v>
      </c>
      <c r="H37" s="11" t="str">
        <f>IF(F37&lt;0,"Necessidade de financiamento","Caixa positivo")</f>
        <v>Caixa positivo</v>
      </c>
    </row>
    <row r="38" spans="1:8">
      <c r="A38" s="5">
        <v>45658</v>
      </c>
      <c r="B38" t="s">
        <v>79</v>
      </c>
      <c r="C38" s="6">
        <f>'12_MODELO'!AZ38</f>
        <v>-9.313225746154785e-10</v>
      </c>
      <c r="D38" s="6">
        <f>'12_MODELO'!BA38</f>
        <v>0.0</v>
      </c>
      <c r="E38" s="6">
        <f>'12_MODELO'!BN38</f>
        <v>0.0</v>
      </c>
      <c r="F38" s="6">
        <f>'12_MODELO'!AV38</f>
        <v>2406697.7859999994</v>
      </c>
      <c r="G38" s="11" t="str">
        <f>IF(MAX(ABS(C38),ABS(D38),ABS(E38))&lt;0.01,"OK","REVISAR")</f>
        <v>OK</v>
      </c>
      <c r="H38" s="11" t="str">
        <f>IF(F38&lt;0,"Necessidade de financiamento","Caixa positivo")</f>
        <v>Caixa positivo</v>
      </c>
    </row>
    <row r="39" spans="1:8">
      <c r="A39" s="5">
        <v>45689</v>
      </c>
      <c r="B39" t="s">
        <v>79</v>
      </c>
      <c r="C39" s="6">
        <f>'12_MODELO'!AZ39</f>
        <v>0.0</v>
      </c>
      <c r="D39" s="6">
        <f>'12_MODELO'!BA39</f>
        <v>1.291482476517558e-10</v>
      </c>
      <c r="E39" s="6">
        <f>'12_MODELO'!BN39</f>
        <v>0.0</v>
      </c>
      <c r="F39" s="6">
        <f>'12_MODELO'!AV39</f>
        <v>2367091.4733999996</v>
      </c>
      <c r="G39" s="11" t="str">
        <f>IF(MAX(ABS(C39),ABS(D39),ABS(E39))&lt;0.01,"OK","REVISAR")</f>
        <v>OK</v>
      </c>
      <c r="H39" s="11" t="str">
        <f>IF(F39&lt;0,"Necessidade de financiamento","Caixa positivo")</f>
        <v>Caixa positivo</v>
      </c>
    </row>
    <row r="40" spans="1:8">
      <c r="A40" s="5">
        <v>45717</v>
      </c>
      <c r="B40" t="s">
        <v>79</v>
      </c>
      <c r="C40" s="6">
        <f>'12_MODELO'!AZ40</f>
        <v>0.0</v>
      </c>
      <c r="D40" s="6">
        <f>'12_MODELO'!BA40</f>
        <v>-2.0372681319713593e-10</v>
      </c>
      <c r="E40" s="6">
        <f>'12_MODELO'!BN40</f>
        <v>0.0</v>
      </c>
      <c r="F40" s="6">
        <f>'12_MODELO'!AV40</f>
        <v>2050883.1789599997</v>
      </c>
      <c r="G40" s="11" t="str">
        <f>IF(MAX(ABS(C40),ABS(D40),ABS(E40))&lt;0.01,"OK","REVISAR")</f>
        <v>OK</v>
      </c>
      <c r="H40" s="11" t="str">
        <f>IF(F40&lt;0,"Necessidade de financiamento","Caixa positivo")</f>
        <v>Caixa positivo</v>
      </c>
    </row>
    <row r="41" spans="1:8">
      <c r="A41" s="5">
        <v>45748</v>
      </c>
      <c r="B41" t="s">
        <v>79</v>
      </c>
      <c r="C41" s="6">
        <f>'12_MODELO'!AZ41</f>
        <v>0.0</v>
      </c>
      <c r="D41" s="6">
        <f>'12_MODELO'!BA41</f>
        <v>1.1641532182693481e-10</v>
      </c>
      <c r="E41" s="6">
        <f>'12_MODELO'!BN41</f>
        <v>0.0</v>
      </c>
      <c r="F41" s="6">
        <f>'12_MODELO'!AV41</f>
        <v>2476868.5476399995</v>
      </c>
      <c r="G41" s="11" t="str">
        <f>IF(MAX(ABS(C41),ABS(D41),ABS(E41))&lt;0.01,"OK","REVISAR")</f>
        <v>OK</v>
      </c>
      <c r="H41" s="11" t="str">
        <f>IF(F41&lt;0,"Necessidade de financiamento","Caixa positivo")</f>
        <v>Caixa positivo</v>
      </c>
    </row>
    <row r="42" spans="1:8">
      <c r="A42" s="5">
        <v>45778</v>
      </c>
      <c r="B42" t="s">
        <v>79</v>
      </c>
      <c r="C42" s="6">
        <f>'12_MODELO'!AZ42</f>
        <v>-9.313225746154785e-10</v>
      </c>
      <c r="D42" s="6">
        <f>'12_MODELO'!BA42</f>
        <v>-1.2369127944111824e-10</v>
      </c>
      <c r="E42" s="6">
        <f>'12_MODELO'!BN42</f>
        <v>0.0</v>
      </c>
      <c r="F42" s="6">
        <f>'12_MODELO'!AV42</f>
        <v>2416119.1808799994</v>
      </c>
      <c r="G42" s="11" t="str">
        <f>IF(MAX(ABS(C42),ABS(D42),ABS(E42))&lt;0.01,"OK","REVISAR")</f>
        <v>OK</v>
      </c>
      <c r="H42" s="11" t="str">
        <f>IF(F42&lt;0,"Necessidade de financiamento","Caixa positivo")</f>
        <v>Caixa positivo</v>
      </c>
    </row>
    <row r="43" spans="1:8">
      <c r="A43" s="5">
        <v>45809</v>
      </c>
      <c r="B43" t="s">
        <v>79</v>
      </c>
      <c r="C43" s="6">
        <f>'12_MODELO'!AZ43</f>
        <v>0.0</v>
      </c>
      <c r="D43" s="6">
        <f>'12_MODELO'!BA43</f>
        <v>-1.6007106751203537e-10</v>
      </c>
      <c r="E43" s="6">
        <f>'12_MODELO'!BN43</f>
        <v>0.0</v>
      </c>
      <c r="F43" s="6">
        <f>'12_MODELO'!AV43</f>
        <v>2376698.1398399994</v>
      </c>
      <c r="G43" s="11" t="str">
        <f>IF(MAX(ABS(C43),ABS(D43),ABS(E43))&lt;0.01,"OK","REVISAR")</f>
        <v>OK</v>
      </c>
      <c r="H43" s="11" t="str">
        <f>IF(F43&lt;0,"Necessidade de financiamento","Caixa positivo")</f>
        <v>Caixa positivo</v>
      </c>
    </row>
    <row r="44" spans="1:8">
      <c r="A44" s="5">
        <v>45839</v>
      </c>
      <c r="B44" t="s">
        <v>79</v>
      </c>
      <c r="C44" s="6">
        <f>'12_MODELO'!AZ44</f>
        <v>0.0</v>
      </c>
      <c r="D44" s="6">
        <f>'12_MODELO'!BA44</f>
        <v>1.7462298274040222e-10</v>
      </c>
      <c r="E44" s="6">
        <f>'12_MODELO'!BN44</f>
        <v>0.0</v>
      </c>
      <c r="F44" s="6">
        <f>'12_MODELO'!AV44</f>
        <v>2589171.09832</v>
      </c>
      <c r="G44" s="11" t="str">
        <f>IF(MAX(ABS(C44),ABS(D44),ABS(E44))&lt;0.01,"OK","REVISAR")</f>
        <v>OK</v>
      </c>
      <c r="H44" s="11" t="str">
        <f>IF(F44&lt;0,"Necessidade de financiamento","Caixa positivo")</f>
        <v>Caixa positivo</v>
      </c>
    </row>
    <row r="45" spans="1:8">
      <c r="A45" s="5">
        <v>45870</v>
      </c>
      <c r="B45" t="s">
        <v>79</v>
      </c>
      <c r="C45" s="6">
        <f>'12_MODELO'!AZ45</f>
        <v>-9.313225746154785e-10</v>
      </c>
      <c r="D45" s="6">
        <f>'12_MODELO'!BA45</f>
        <v>-8.731149137020111e-11</v>
      </c>
      <c r="E45" s="6">
        <f>'12_MODELO'!BN45</f>
        <v>0.0</v>
      </c>
      <c r="F45" s="6">
        <f>'12_MODELO'!AV45</f>
        <v>2492943.1423999993</v>
      </c>
      <c r="G45" s="11" t="str">
        <f>IF(MAX(ABS(C45),ABS(D45),ABS(E45))&lt;0.01,"OK","REVISAR")</f>
        <v>OK</v>
      </c>
      <c r="H45" s="11" t="str">
        <f>IF(F45&lt;0,"Necessidade de financiamento","Caixa positivo")</f>
        <v>Caixa positivo</v>
      </c>
    </row>
    <row r="46" spans="1:8">
      <c r="A46" s="5">
        <v>45901</v>
      </c>
      <c r="B46" t="s">
        <v>79</v>
      </c>
      <c r="C46" s="6">
        <f>'12_MODELO'!AZ46</f>
        <v>0.0</v>
      </c>
      <c r="D46" s="6">
        <f>'12_MODELO'!BA46</f>
        <v>2.0372681319713593e-10</v>
      </c>
      <c r="E46" s="6">
        <f>'12_MODELO'!BN46</f>
        <v>0.0</v>
      </c>
      <c r="F46" s="6">
        <f>'12_MODELO'!AV46</f>
        <v>2404057.7610399993</v>
      </c>
      <c r="G46" s="11" t="str">
        <f>IF(MAX(ABS(C46),ABS(D46),ABS(E46))&lt;0.01,"OK","REVISAR")</f>
        <v>OK</v>
      </c>
      <c r="H46" s="11" t="str">
        <f>IF(F46&lt;0,"Necessidade de financiamento","Caixa positivo")</f>
        <v>Caixa positivo</v>
      </c>
    </row>
    <row r="47" spans="1:8">
      <c r="A47" s="5">
        <v>45931</v>
      </c>
      <c r="B47" t="s">
        <v>79</v>
      </c>
      <c r="C47" s="6">
        <f>'12_MODELO'!AZ47</f>
        <v>-9.313225746154785e-10</v>
      </c>
      <c r="D47" s="6">
        <f>'12_MODELO'!BA47</f>
        <v>-8.731149137020111e-11</v>
      </c>
      <c r="E47" s="6">
        <f>'12_MODELO'!BN47</f>
        <v>0.0</v>
      </c>
      <c r="F47" s="6">
        <f>'12_MODELO'!AV47</f>
        <v>2362260.637359999</v>
      </c>
      <c r="G47" s="11" t="str">
        <f>IF(MAX(ABS(C47),ABS(D47),ABS(E47))&lt;0.01,"OK","REVISAR")</f>
        <v>OK</v>
      </c>
      <c r="H47" s="11" t="str">
        <f>IF(F47&lt;0,"Necessidade de financiamento","Caixa positivo")</f>
        <v>Caixa positivo</v>
      </c>
    </row>
    <row r="48" spans="1:8">
      <c r="A48" s="5">
        <v>45962</v>
      </c>
      <c r="B48" t="s">
        <v>79</v>
      </c>
      <c r="C48" s="6">
        <f>'12_MODELO'!AZ48</f>
        <v>-9.313225746154785e-10</v>
      </c>
      <c r="D48" s="6">
        <f>'12_MODELO'!BA48</f>
        <v>-1.7462298274040222e-10</v>
      </c>
      <c r="E48" s="6">
        <f>'12_MODELO'!BN48</f>
        <v>0.0</v>
      </c>
      <c r="F48" s="6">
        <f>'12_MODELO'!AV48</f>
        <v>2153869.000999999</v>
      </c>
      <c r="G48" s="11" t="str">
        <f>IF(MAX(ABS(C48),ABS(D48),ABS(E48))&lt;0.01,"OK","REVISAR")</f>
        <v>OK</v>
      </c>
      <c r="H48" s="11" t="str">
        <f>IF(F48&lt;0,"Necessidade de financiamento","Caixa positivo")</f>
        <v>Caixa positivo</v>
      </c>
    </row>
    <row r="49" spans="1:8">
      <c r="A49" s="5">
        <v>45992</v>
      </c>
      <c r="B49" t="s">
        <v>79</v>
      </c>
      <c r="C49" s="6">
        <f>'12_MODELO'!AZ49</f>
        <v>-9.313225746154785e-10</v>
      </c>
      <c r="D49" s="6">
        <f>'12_MODELO'!BA49</f>
        <v>-1.1641532182693481e-10</v>
      </c>
      <c r="E49" s="6">
        <f>'12_MODELO'!BN49</f>
        <v>0.0</v>
      </c>
      <c r="F49" s="6">
        <f>'12_MODELO'!AV49</f>
        <v>2357190.039879999</v>
      </c>
      <c r="G49" s="11" t="str">
        <f>IF(MAX(ABS(C49),ABS(D49),ABS(E49))&lt;0.01,"OK","REVISAR")</f>
        <v>OK</v>
      </c>
      <c r="H49" s="11" t="str">
        <f>IF(F49&lt;0,"Necessidade de financiamento","Caixa positivo")</f>
        <v>Caixa positivo</v>
      </c>
    </row>
    <row r="50" spans="1:8">
      <c r="A50" s="5">
        <v>45658</v>
      </c>
      <c r="B50" t="s">
        <v>80</v>
      </c>
      <c r="C50" s="6">
        <f>'12_MODELO'!AZ50</f>
        <v>9.313225746154785e-10</v>
      </c>
      <c r="D50" s="6">
        <f>'12_MODELO'!BA50</f>
        <v>0.0</v>
      </c>
      <c r="E50" s="6">
        <f>'12_MODELO'!BN50</f>
        <v>0.0</v>
      </c>
      <c r="F50" s="6">
        <f>'12_MODELO'!AV50</f>
        <v>1707637.290778667</v>
      </c>
      <c r="G50" s="11" t="str">
        <f>IF(MAX(ABS(C50),ABS(D50),ABS(E50))&lt;0.01,"OK","REVISAR")</f>
        <v>OK</v>
      </c>
      <c r="H50" s="11" t="str">
        <f>IF(F50&lt;0,"Necessidade de financiamento","Caixa positivo")</f>
        <v>Caixa positivo</v>
      </c>
    </row>
    <row r="51" spans="1:8">
      <c r="A51" s="5">
        <v>45689</v>
      </c>
      <c r="B51" t="s">
        <v>80</v>
      </c>
      <c r="C51" s="6">
        <f>'12_MODELO'!AZ51</f>
        <v>0.0</v>
      </c>
      <c r="D51" s="6">
        <f>'12_MODELO'!BA51</f>
        <v>1.5643308870494366e-10</v>
      </c>
      <c r="E51" s="6">
        <f>'12_MODELO'!BN51</f>
        <v>0.0</v>
      </c>
      <c r="F51" s="6">
        <f>'12_MODELO'!AV51</f>
        <v>1654600.6491230004</v>
      </c>
      <c r="G51" s="11" t="str">
        <f>IF(MAX(ABS(C51),ABS(D51),ABS(E51))&lt;0.01,"OK","REVISAR")</f>
        <v>OK</v>
      </c>
      <c r="H51" s="11" t="str">
        <f>IF(F51&lt;0,"Necessidade de financiamento","Caixa positivo")</f>
        <v>Caixa positivo</v>
      </c>
    </row>
    <row r="52" spans="1:8">
      <c r="A52" s="5">
        <v>45717</v>
      </c>
      <c r="B52" t="s">
        <v>80</v>
      </c>
      <c r="C52" s="6">
        <f>'12_MODELO'!AZ52</f>
        <v>-1.862645149230957e-09</v>
      </c>
      <c r="D52" s="6">
        <f>'12_MODELO'!BA52</f>
        <v>0.0</v>
      </c>
      <c r="E52" s="6">
        <f>'12_MODELO'!BN52</f>
        <v>0.0</v>
      </c>
      <c r="F52" s="6">
        <f>'12_MODELO'!AV52</f>
        <v>1214670.768320333</v>
      </c>
      <c r="G52" s="11" t="str">
        <f>IF(MAX(ABS(C52),ABS(D52),ABS(E52))&lt;0.01,"OK","REVISAR")</f>
        <v>OK</v>
      </c>
      <c r="H52" s="11" t="str">
        <f>IF(F52&lt;0,"Necessidade de financiamento","Caixa positivo")</f>
        <v>Caixa positivo</v>
      </c>
    </row>
    <row r="53" spans="1:8">
      <c r="A53" s="5">
        <v>45748</v>
      </c>
      <c r="B53" t="s">
        <v>80</v>
      </c>
      <c r="C53" s="6">
        <f>'12_MODELO'!AZ53</f>
        <v>0.0</v>
      </c>
      <c r="D53" s="6">
        <f>'12_MODELO'!BA53</f>
        <v>3.346940502524376e-10</v>
      </c>
      <c r="E53" s="6">
        <f>'12_MODELO'!BN53</f>
        <v>0.0</v>
      </c>
      <c r="F53" s="6">
        <f>'12_MODELO'!AV53</f>
        <v>1562533.5379990004</v>
      </c>
      <c r="G53" s="11" t="str">
        <f>IF(MAX(ABS(C53),ABS(D53),ABS(E53))&lt;0.01,"OK","REVISAR")</f>
        <v>OK</v>
      </c>
      <c r="H53" s="11" t="str">
        <f>IF(F53&lt;0,"Necessidade de financiamento","Caixa positivo")</f>
        <v>Caixa positivo</v>
      </c>
    </row>
    <row r="54" spans="1:8">
      <c r="A54" s="5">
        <v>45778</v>
      </c>
      <c r="B54" t="s">
        <v>80</v>
      </c>
      <c r="C54" s="6">
        <f>'12_MODELO'!AZ54</f>
        <v>-9.313225746154785e-10</v>
      </c>
      <c r="D54" s="6">
        <f>'12_MODELO'!BA54</f>
        <v>2.9103830456733704e-10</v>
      </c>
      <c r="E54" s="6">
        <f>'12_MODELO'!BN54</f>
        <v>0.0</v>
      </c>
      <c r="F54" s="6">
        <f>'12_MODELO'!AV54</f>
        <v>1451222.024957</v>
      </c>
      <c r="G54" s="11" t="str">
        <f>IF(MAX(ABS(C54),ABS(D54),ABS(E54))&lt;0.01,"OK","REVISAR")</f>
        <v>OK</v>
      </c>
      <c r="H54" s="11" t="str">
        <f>IF(F54&lt;0,"Necessidade de financiamento","Caixa positivo")</f>
        <v>Caixa positivo</v>
      </c>
    </row>
    <row r="55" spans="1:8">
      <c r="A55" s="5">
        <v>45809</v>
      </c>
      <c r="B55" t="s">
        <v>80</v>
      </c>
      <c r="C55" s="6">
        <f>'12_MODELO'!AZ55</f>
        <v>0.0</v>
      </c>
      <c r="D55" s="6">
        <f>'12_MODELO'!BA55</f>
        <v>1.8917489796876907e-10</v>
      </c>
      <c r="E55" s="6">
        <f>'12_MODELO'!BN55</f>
        <v>0.0</v>
      </c>
      <c r="F55" s="6">
        <f>'12_MODELO'!AV55</f>
        <v>1375665.142290667</v>
      </c>
      <c r="G55" s="11" t="str">
        <f>IF(MAX(ABS(C55),ABS(D55),ABS(E55))&lt;0.01,"OK","REVISAR")</f>
        <v>OK</v>
      </c>
      <c r="H55" s="11" t="str">
        <f>IF(F55&lt;0,"Necessidade de financiamento","Caixa positivo")</f>
        <v>Caixa positivo</v>
      </c>
    </row>
    <row r="56" spans="1:8">
      <c r="A56" s="5">
        <v>45839</v>
      </c>
      <c r="B56" t="s">
        <v>80</v>
      </c>
      <c r="C56" s="6">
        <f>'12_MODELO'!AZ56</f>
        <v>-9.313225746154785e-10</v>
      </c>
      <c r="D56" s="6">
        <f>'12_MODELO'!BA56</f>
        <v>-1.1641532182693481e-10</v>
      </c>
      <c r="E56" s="6">
        <f>'12_MODELO'!BN56</f>
        <v>0.0</v>
      </c>
      <c r="F56" s="6">
        <f>'12_MODELO'!AV56</f>
        <v>1776059.2662070005</v>
      </c>
      <c r="G56" s="11" t="str">
        <f>IF(MAX(ABS(C56),ABS(D56),ABS(E56))&lt;0.01,"OK","REVISAR")</f>
        <v>OK</v>
      </c>
      <c r="H56" s="11" t="str">
        <f>IF(F56&lt;0,"Necessidade de financiamento","Caixa positivo")</f>
        <v>Caixa positivo</v>
      </c>
    </row>
    <row r="57" spans="1:8">
      <c r="A57" s="5">
        <v>45870</v>
      </c>
      <c r="B57" t="s">
        <v>80</v>
      </c>
      <c r="C57" s="6">
        <f>'12_MODELO'!AZ57</f>
        <v>0.0</v>
      </c>
      <c r="D57" s="6">
        <f>'12_MODELO'!BA57</f>
        <v>1.4551915228366852e-10</v>
      </c>
      <c r="E57" s="6">
        <f>'12_MODELO'!BN57</f>
        <v>0.0</v>
      </c>
      <c r="F57" s="6">
        <f>'12_MODELO'!AV57</f>
        <v>1590887.771807</v>
      </c>
      <c r="G57" s="11" t="str">
        <f>IF(MAX(ABS(C57),ABS(D57),ABS(E57))&lt;0.01,"OK","REVISAR")</f>
        <v>OK</v>
      </c>
      <c r="H57" s="11" t="str">
        <f>IF(F57&lt;0,"Necessidade de financiamento","Caixa positivo")</f>
        <v>Caixa positivo</v>
      </c>
    </row>
    <row r="58" spans="1:8">
      <c r="A58" s="5">
        <v>45901</v>
      </c>
      <c r="B58" t="s">
        <v>80</v>
      </c>
      <c r="C58" s="6">
        <f>'12_MODELO'!AZ58</f>
        <v>0.0</v>
      </c>
      <c r="D58" s="6">
        <f>'12_MODELO'!BA58</f>
        <v>2.4010660126805305e-10</v>
      </c>
      <c r="E58" s="6">
        <f>'12_MODELO'!BN58</f>
        <v>0.0</v>
      </c>
      <c r="F58" s="6">
        <f>'12_MODELO'!AV58</f>
        <v>1435924.6566070002</v>
      </c>
      <c r="G58" s="11" t="str">
        <f>IF(MAX(ABS(C58),ABS(D58),ABS(E58))&lt;0.01,"OK","REVISAR")</f>
        <v>OK</v>
      </c>
      <c r="H58" s="11" t="str">
        <f>IF(F58&lt;0,"Necessidade de financiamento","Caixa positivo")</f>
        <v>Caixa positivo</v>
      </c>
    </row>
    <row r="59" spans="1:8">
      <c r="A59" s="5">
        <v>45931</v>
      </c>
      <c r="B59" t="s">
        <v>80</v>
      </c>
      <c r="C59" s="6">
        <f>'12_MODELO'!AZ59</f>
        <v>-9.313225746154785e-10</v>
      </c>
      <c r="D59" s="6">
        <f>'12_MODELO'!BA59</f>
        <v>1.1641532182693481e-10</v>
      </c>
      <c r="E59" s="6">
        <f>'12_MODELO'!BN59</f>
        <v>0.0</v>
      </c>
      <c r="F59" s="6">
        <f>'12_MODELO'!AV59</f>
        <v>1314025.251006999</v>
      </c>
      <c r="G59" s="11" t="str">
        <f>IF(MAX(ABS(C59),ABS(D59),ABS(E59))&lt;0.01,"OK","REVISAR")</f>
        <v>OK</v>
      </c>
      <c r="H59" s="11" t="str">
        <f>IF(F59&lt;0,"Necessidade de financiamento","Caixa positivo")</f>
        <v>Caixa positivo</v>
      </c>
    </row>
    <row r="60" spans="1:8">
      <c r="A60" s="5">
        <v>45962</v>
      </c>
      <c r="B60" t="s">
        <v>80</v>
      </c>
      <c r="C60" s="6">
        <f>'12_MODELO'!AZ60</f>
        <v>0.0</v>
      </c>
      <c r="D60" s="6">
        <f>'12_MODELO'!BA60</f>
        <v>1.1641532182693481e-10</v>
      </c>
      <c r="E60" s="6">
        <f>'12_MODELO'!BN60</f>
        <v>0.0</v>
      </c>
      <c r="F60" s="6">
        <f>'12_MODELO'!AV60</f>
        <v>953579.6098069996</v>
      </c>
      <c r="G60" s="11" t="str">
        <f>IF(MAX(ABS(C60),ABS(D60),ABS(E60))&lt;0.01,"OK","REVISAR")</f>
        <v>OK</v>
      </c>
      <c r="H60" s="11" t="str">
        <f>IF(F60&lt;0,"Necessidade de financiamento","Caixa positivo")</f>
        <v>Caixa positivo</v>
      </c>
    </row>
    <row r="61" spans="1:8">
      <c r="A61" s="5">
        <v>45992</v>
      </c>
      <c r="B61" t="s">
        <v>80</v>
      </c>
      <c r="C61" s="6">
        <f>'12_MODELO'!AZ61</f>
        <v>0.0</v>
      </c>
      <c r="D61" s="6">
        <f>'12_MODELO'!BA61</f>
        <v>1.7462298274040222e-10</v>
      </c>
      <c r="E61" s="6">
        <f>'12_MODELO'!BN61</f>
        <v>0.0</v>
      </c>
      <c r="F61" s="6">
        <f>'12_MODELO'!AV61</f>
        <v>1177541.5494070002</v>
      </c>
      <c r="G61" s="11" t="str">
        <f>IF(MAX(ABS(C61),ABS(D61),ABS(E61))&lt;0.01,"OK","REVISAR")</f>
        <v>OK</v>
      </c>
      <c r="H61" s="11" t="str">
        <f>IF(F61&lt;0,"Necessidade de financiamento","Caixa positivo")</f>
        <v>Caixa positivo</v>
      </c>
    </row>
    <row r="62" spans="1:8">
      <c r="A62" s="5">
        <v>46023</v>
      </c>
      <c r="B62" t="s">
        <v>81</v>
      </c>
      <c r="C62" s="6">
        <f>'12_MODELO'!AZ62</f>
        <v>-9.313225746154785e-10</v>
      </c>
      <c r="D62" s="6">
        <f>'12_MODELO'!BA62</f>
        <v>-5.820766091346741e-10</v>
      </c>
      <c r="E62" s="6">
        <f>'12_MODELO'!BN62</f>
        <v>0.0</v>
      </c>
      <c r="F62" s="6">
        <f>'12_MODELO'!AV62</f>
        <v>1996192.8454494001</v>
      </c>
      <c r="G62" s="11" t="str">
        <f>IF(MAX(ABS(C62),ABS(D62),ABS(E62))&lt;0.01,"OK","REVISAR")</f>
        <v>OK</v>
      </c>
      <c r="H62" s="11" t="str">
        <f>IF(F62&lt;0,"Necessidade de financiamento","Caixa positivo")</f>
        <v>Caixa positivo</v>
      </c>
    </row>
    <row r="63" spans="1:8">
      <c r="A63" s="5">
        <v>46054</v>
      </c>
      <c r="B63" t="s">
        <v>81</v>
      </c>
      <c r="C63" s="6">
        <f>'12_MODELO'!AZ63</f>
        <v>0.0</v>
      </c>
      <c r="D63" s="6">
        <f>'12_MODELO'!BA63</f>
        <v>1.6007106751203537e-10</v>
      </c>
      <c r="E63" s="6">
        <f>'12_MODELO'!BN63</f>
        <v>0.0</v>
      </c>
      <c r="F63" s="6">
        <f>'12_MODELO'!AV63</f>
        <v>1961555.4450859765</v>
      </c>
      <c r="G63" s="11" t="str">
        <f>IF(MAX(ABS(C63),ABS(D63),ABS(E63))&lt;0.01,"OK","REVISAR")</f>
        <v>OK</v>
      </c>
      <c r="H63" s="11" t="str">
        <f>IF(F63&lt;0,"Necessidade de financiamento","Caixa positivo")</f>
        <v>Caixa positivo</v>
      </c>
    </row>
    <row r="64" spans="1:8">
      <c r="A64" s="5">
        <v>46082</v>
      </c>
      <c r="B64" t="s">
        <v>81</v>
      </c>
      <c r="C64" s="6">
        <f>'12_MODELO'!AZ64</f>
        <v>9.313225746154785e-10</v>
      </c>
      <c r="D64" s="6">
        <f>'12_MODELO'!BA64</f>
        <v>2.3283064365386963e-10</v>
      </c>
      <c r="E64" s="6">
        <f>'12_MODELO'!BN64</f>
        <v>0.0</v>
      </c>
      <c r="F64" s="6">
        <f>'12_MODELO'!AV64</f>
        <v>1521514.6723445999</v>
      </c>
      <c r="G64" s="11" t="str">
        <f>IF(MAX(ABS(C64),ABS(D64),ABS(E64))&lt;0.01,"OK","REVISAR")</f>
        <v>OK</v>
      </c>
      <c r="H64" s="11" t="str">
        <f>IF(F64&lt;0,"Necessidade de financiamento","Caixa positivo")</f>
        <v>Caixa positivo</v>
      </c>
    </row>
    <row r="65" spans="1:8">
      <c r="A65" s="5">
        <v>46113</v>
      </c>
      <c r="B65" t="s">
        <v>81</v>
      </c>
      <c r="C65" s="6">
        <f>'12_MODELO'!AZ65</f>
        <v>0.0</v>
      </c>
      <c r="D65" s="6">
        <f>'12_MODELO'!BA65</f>
        <v>4.220055416226387e-10</v>
      </c>
      <c r="E65" s="6">
        <f>'12_MODELO'!BN65</f>
        <v>0.0</v>
      </c>
      <c r="F65" s="6">
        <f>'12_MODELO'!AV65</f>
        <v>1574042.1584039915</v>
      </c>
      <c r="G65" s="11" t="str">
        <f>IF(MAX(ABS(C65),ABS(D65),ABS(E65))&lt;0.01,"OK","REVISAR")</f>
        <v>OK</v>
      </c>
      <c r="H65" s="11" t="str">
        <f>IF(F65&lt;0,"Necessidade de financiamento","Caixa positivo")</f>
        <v>Caixa positivo</v>
      </c>
    </row>
    <row r="66" spans="1:8">
      <c r="A66" s="5">
        <v>46143</v>
      </c>
      <c r="B66" t="s">
        <v>81</v>
      </c>
      <c r="C66" s="6">
        <f>'12_MODELO'!AZ66</f>
        <v>9.313225746154785e-10</v>
      </c>
      <c r="D66" s="6">
        <f>'12_MODELO'!BA66</f>
        <v>1.382431946694851e-10</v>
      </c>
      <c r="E66" s="6">
        <f>'12_MODELO'!BN66</f>
        <v>0.0</v>
      </c>
      <c r="F66" s="6">
        <f>'12_MODELO'!AV66</f>
        <v>1508386.2483033203</v>
      </c>
      <c r="G66" s="11" t="str">
        <f>IF(MAX(ABS(C66),ABS(D66),ABS(E66))&lt;0.01,"OK","REVISAR")</f>
        <v>OK</v>
      </c>
      <c r="H66" s="11" t="str">
        <f>IF(F66&lt;0,"Necessidade de financiamento","Caixa positivo")</f>
        <v>Caixa positivo</v>
      </c>
    </row>
    <row r="67" spans="1:8">
      <c r="A67" s="5">
        <v>46174</v>
      </c>
      <c r="B67" t="s">
        <v>81</v>
      </c>
      <c r="C67" s="6">
        <f>'12_MODELO'!AZ67</f>
        <v>-9.313225746154785e-10</v>
      </c>
      <c r="D67" s="6">
        <f>'12_MODELO'!BA67</f>
        <v>-7.275957614183426e-12</v>
      </c>
      <c r="E67" s="6">
        <f>'12_MODELO'!BN67</f>
        <v>0.0</v>
      </c>
      <c r="F67" s="6">
        <f>'12_MODELO'!AV67</f>
        <v>1427333.7818607923</v>
      </c>
      <c r="G67" s="11" t="str">
        <f>IF(MAX(ABS(C67),ABS(D67),ABS(E67))&lt;0.01,"OK","REVISAR")</f>
        <v>OK</v>
      </c>
      <c r="H67" s="11" t="str">
        <f>IF(F67&lt;0,"Necessidade de financiamento","Caixa positivo")</f>
        <v>Caixa positivo</v>
      </c>
    </row>
    <row r="68" spans="1:8">
      <c r="A68" s="5">
        <v>46204</v>
      </c>
      <c r="B68" t="s">
        <v>81</v>
      </c>
      <c r="C68" s="6">
        <f>'12_MODELO'!AZ68</f>
        <v>0.0</v>
      </c>
      <c r="D68" s="6">
        <f>'12_MODELO'!BA68</f>
        <v>2.3283064365386963e-10</v>
      </c>
      <c r="E68" s="6">
        <f>'12_MODELO'!BN68</f>
        <v>0.0</v>
      </c>
      <c r="F68" s="6">
        <f>'12_MODELO'!AV68</f>
        <v>1921230.69074012</v>
      </c>
      <c r="G68" s="11" t="str">
        <f>IF(MAX(ABS(C68),ABS(D68),ABS(E68))&lt;0.01,"OK","REVISAR")</f>
        <v>OK</v>
      </c>
      <c r="H68" s="11" t="str">
        <f>IF(F68&lt;0,"Necessidade de financiamento","Caixa positivo")</f>
        <v>Caixa positivo</v>
      </c>
    </row>
    <row r="69" spans="1:8">
      <c r="A69" s="5">
        <v>46235</v>
      </c>
      <c r="B69" t="s">
        <v>81</v>
      </c>
      <c r="C69" s="6">
        <f>'12_MODELO'!AZ69</f>
        <v>9.313225746154785e-10</v>
      </c>
      <c r="D69" s="6">
        <f>'12_MODELO'!BA69</f>
        <v>-2.1827872842550278e-10</v>
      </c>
      <c r="E69" s="6">
        <f>'12_MODELO'!BN69</f>
        <v>0.0</v>
      </c>
      <c r="F69" s="6">
        <f>'12_MODELO'!AV69</f>
        <v>1787712.5272052716</v>
      </c>
      <c r="G69" s="11" t="str">
        <f>IF(MAX(ABS(C69),ABS(D69),ABS(E69))&lt;0.01,"OK","REVISAR")</f>
        <v>OK</v>
      </c>
      <c r="H69" s="11" t="str">
        <f>IF(F69&lt;0,"Necessidade de financiamento","Caixa positivo")</f>
        <v>Caixa positivo</v>
      </c>
    </row>
    <row r="70" spans="1:8">
      <c r="A70" s="5">
        <v>46266</v>
      </c>
      <c r="B70" t="s">
        <v>81</v>
      </c>
      <c r="C70" s="6">
        <f>'12_MODELO'!AZ70</f>
        <v>0.0</v>
      </c>
      <c r="D70" s="6">
        <f>'12_MODELO'!BA70</f>
        <v>1.0186340659856796e-10</v>
      </c>
      <c r="E70" s="6">
        <f>'12_MODELO'!BN70</f>
        <v>0.0</v>
      </c>
      <c r="F70" s="6">
        <f>'12_MODELO'!AV70</f>
        <v>1577456.3255952876</v>
      </c>
      <c r="G70" s="11" t="str">
        <f>IF(MAX(ABS(C70),ABS(D70),ABS(E70))&lt;0.01,"OK","REVISAR")</f>
        <v>OK</v>
      </c>
      <c r="H70" s="11" t="str">
        <f>IF(F70&lt;0,"Necessidade de financiamento","Caixa positivo")</f>
        <v>Caixa positivo</v>
      </c>
    </row>
    <row r="71" spans="1:8">
      <c r="A71" s="5">
        <v>46296</v>
      </c>
      <c r="B71" t="s">
        <v>81</v>
      </c>
      <c r="C71" s="6">
        <f>'12_MODELO'!AZ71</f>
        <v>0.0</v>
      </c>
      <c r="D71" s="6">
        <f>'12_MODELO'!BA71</f>
        <v>4.0745362639427185e-10</v>
      </c>
      <c r="E71" s="6">
        <f>'12_MODELO'!BN71</f>
        <v>0.0</v>
      </c>
      <c r="F71" s="6">
        <f>'12_MODELO'!AV71</f>
        <v>1338593.2011359269</v>
      </c>
      <c r="G71" s="11" t="str">
        <f>IF(MAX(ABS(C71),ABS(D71),ABS(E71))&lt;0.01,"OK","REVISAR")</f>
        <v>OK</v>
      </c>
      <c r="H71" s="11" t="str">
        <f>IF(F71&lt;0,"Necessidade de financiamento","Caixa positivo")</f>
        <v>Caixa positivo</v>
      </c>
    </row>
    <row r="72" spans="1:8">
      <c r="A72" s="5">
        <v>46327</v>
      </c>
      <c r="B72" t="s">
        <v>81</v>
      </c>
      <c r="C72" s="6">
        <f>'12_MODELO'!AZ72</f>
        <v>0.0</v>
      </c>
      <c r="D72" s="6">
        <f>'12_MODELO'!BA72</f>
        <v>1.7462298274040222e-10</v>
      </c>
      <c r="E72" s="6">
        <f>'12_MODELO'!BN72</f>
        <v>0.0</v>
      </c>
      <c r="F72" s="6">
        <f>'12_MODELO'!AV72</f>
        <v>962888.5880038643</v>
      </c>
      <c r="G72" s="11" t="str">
        <f>IF(MAX(ABS(C72),ABS(D72),ABS(E72))&lt;0.01,"OK","REVISAR")</f>
        <v>OK</v>
      </c>
      <c r="H72" s="11" t="str">
        <f>IF(F72&lt;0,"Necessidade de financiamento","Caixa positivo")</f>
        <v>Caixa positivo</v>
      </c>
    </row>
    <row r="73" spans="1:8">
      <c r="A73" s="5">
        <v>46357</v>
      </c>
      <c r="B73" t="s">
        <v>81</v>
      </c>
      <c r="C73" s="6">
        <f>'12_MODELO'!AZ73</f>
        <v>0.0</v>
      </c>
      <c r="D73" s="6">
        <f>'12_MODELO'!BA73</f>
        <v>6.984919309616089e-10</v>
      </c>
      <c r="E73" s="6">
        <f>'12_MODELO'!BN73</f>
        <v>0.0</v>
      </c>
      <c r="F73" s="6">
        <f>'12_MODELO'!AV73</f>
        <v>1188635.854023191</v>
      </c>
      <c r="G73" s="11" t="str">
        <f>IF(MAX(ABS(C73),ABS(D73),ABS(E73))&lt;0.01,"OK","REVISAR")</f>
        <v>OK</v>
      </c>
      <c r="H73" s="11" t="str">
        <f>IF(F73&lt;0,"Necessidade de financiamento","Caixa positivo")</f>
        <v>Caixa positivo</v>
      </c>
    </row>
    <row r="74" spans="1:8">
      <c r="A74" s="5">
        <v>46023</v>
      </c>
      <c r="B74" t="s">
        <v>82</v>
      </c>
      <c r="C74" s="6">
        <f>'12_MODELO'!AZ74</f>
        <v>0.0</v>
      </c>
      <c r="D74" s="6">
        <f>'12_MODELO'!BA74</f>
        <v>6.984919309616089e-10</v>
      </c>
      <c r="E74" s="6">
        <f>'12_MODELO'!BN74</f>
        <v>0.0</v>
      </c>
      <c r="F74" s="6">
        <f>'12_MODELO'!AV74</f>
        <v>2425906.042186973</v>
      </c>
      <c r="G74" s="11" t="str">
        <f>IF(MAX(ABS(C74),ABS(D74),ABS(E74))&lt;0.01,"OK","REVISAR")</f>
        <v>OK</v>
      </c>
      <c r="H74" s="11" t="str">
        <f>IF(F74&lt;0,"Necessidade de financiamento","Caixa positivo")</f>
        <v>Caixa positivo</v>
      </c>
    </row>
    <row r="75" spans="1:8">
      <c r="A75" s="5">
        <v>46054</v>
      </c>
      <c r="B75" t="s">
        <v>82</v>
      </c>
      <c r="C75" s="6">
        <f>'12_MODELO'!AZ75</f>
        <v>0.0</v>
      </c>
      <c r="D75" s="6">
        <f>'12_MODELO'!BA75</f>
        <v>2.1827872842550278e-11</v>
      </c>
      <c r="E75" s="6">
        <f>'12_MODELO'!BN75</f>
        <v>0.0</v>
      </c>
      <c r="F75" s="6">
        <f>'12_MODELO'!AV75</f>
        <v>2430636.627360684</v>
      </c>
      <c r="G75" s="11" t="str">
        <f>IF(MAX(ABS(C75),ABS(D75),ABS(E75))&lt;0.01,"OK","REVISAR")</f>
        <v>OK</v>
      </c>
      <c r="H75" s="11" t="str">
        <f>IF(F75&lt;0,"Necessidade de financiamento","Caixa positivo")</f>
        <v>Caixa positivo</v>
      </c>
    </row>
    <row r="76" spans="1:8">
      <c r="A76" s="5">
        <v>46082</v>
      </c>
      <c r="B76" t="s">
        <v>82</v>
      </c>
      <c r="C76" s="6">
        <f>'12_MODELO'!AZ76</f>
        <v>0.0</v>
      </c>
      <c r="D76" s="6">
        <f>'12_MODELO'!BA76</f>
        <v>8.731149137020111e-11</v>
      </c>
      <c r="E76" s="6">
        <f>'12_MODELO'!BN76</f>
        <v>0.0</v>
      </c>
      <c r="F76" s="6">
        <f>'12_MODELO'!AV76</f>
        <v>2100653.300394913</v>
      </c>
      <c r="G76" s="11" t="str">
        <f>IF(MAX(ABS(C76),ABS(D76),ABS(E76))&lt;0.01,"OK","REVISAR")</f>
        <v>OK</v>
      </c>
      <c r="H76" s="11" t="str">
        <f>IF(F76&lt;0,"Necessidade de financiamento","Caixa positivo")</f>
        <v>Caixa positivo</v>
      </c>
    </row>
    <row r="77" spans="1:8">
      <c r="A77" s="5">
        <v>46113</v>
      </c>
      <c r="B77" t="s">
        <v>82</v>
      </c>
      <c r="C77" s="6">
        <f>'12_MODELO'!AZ77</f>
        <v>-9.313225746154785e-10</v>
      </c>
      <c r="D77" s="6">
        <f>'12_MODELO'!BA77</f>
        <v>-4.3655745685100555e-10</v>
      </c>
      <c r="E77" s="6">
        <f>'12_MODELO'!BN77</f>
        <v>0.0</v>
      </c>
      <c r="F77" s="6">
        <f>'12_MODELO'!AV77</f>
        <v>2187048.6145946938</v>
      </c>
      <c r="G77" s="11" t="str">
        <f>IF(MAX(ABS(C77),ABS(D77),ABS(E77))&lt;0.01,"OK","REVISAR")</f>
        <v>OK</v>
      </c>
      <c r="H77" s="11" t="str">
        <f>IF(F77&lt;0,"Necessidade de financiamento","Caixa positivo")</f>
        <v>Caixa positivo</v>
      </c>
    </row>
    <row r="78" spans="1:8">
      <c r="A78" s="5">
        <v>46143</v>
      </c>
      <c r="B78" t="s">
        <v>82</v>
      </c>
      <c r="C78" s="6">
        <f>'12_MODELO'!AZ78</f>
        <v>-9.313225746154785e-10</v>
      </c>
      <c r="D78" s="6">
        <f>'12_MODELO'!BA78</f>
        <v>-2.1100277081131935e-10</v>
      </c>
      <c r="E78" s="6">
        <f>'12_MODELO'!BN78</f>
        <v>0.0</v>
      </c>
      <c r="F78" s="6">
        <f>'12_MODELO'!AV78</f>
        <v>2181632.968141726</v>
      </c>
      <c r="G78" s="11" t="str">
        <f>IF(MAX(ABS(C78),ABS(D78),ABS(E78))&lt;0.01,"OK","REVISAR")</f>
        <v>OK</v>
      </c>
      <c r="H78" s="11" t="str">
        <f>IF(F78&lt;0,"Necessidade de financiamento","Caixa positivo")</f>
        <v>Caixa positivo</v>
      </c>
    </row>
    <row r="79" spans="1:8">
      <c r="A79" s="5">
        <v>46174</v>
      </c>
      <c r="B79" t="s">
        <v>82</v>
      </c>
      <c r="C79" s="6">
        <f>'12_MODELO'!AZ79</f>
        <v>-1.862645149230957e-09</v>
      </c>
      <c r="D79" s="6">
        <f>'12_MODELO'!BA79</f>
        <v>-2.3283064365386963e-10</v>
      </c>
      <c r="E79" s="6">
        <f>'12_MODELO'!BN79</f>
        <v>0.0</v>
      </c>
      <c r="F79" s="6">
        <f>'12_MODELO'!AV79</f>
        <v>2146125.315738727</v>
      </c>
      <c r="G79" s="11" t="str">
        <f>IF(MAX(ABS(C79),ABS(D79),ABS(E79))&lt;0.01,"OK","REVISAR")</f>
        <v>OK</v>
      </c>
      <c r="H79" s="11" t="str">
        <f>IF(F79&lt;0,"Necessidade de financiamento","Caixa positivo")</f>
        <v>Caixa positivo</v>
      </c>
    </row>
    <row r="80" spans="1:8">
      <c r="A80" s="5">
        <v>46204</v>
      </c>
      <c r="B80" t="s">
        <v>82</v>
      </c>
      <c r="C80" s="6">
        <f>'12_MODELO'!AZ80</f>
        <v>-9.313225746154785e-10</v>
      </c>
      <c r="D80" s="6">
        <f>'12_MODELO'!BA80</f>
        <v>0.0</v>
      </c>
      <c r="E80" s="6">
        <f>'12_MODELO'!BN80</f>
        <v>0.0</v>
      </c>
      <c r="F80" s="6">
        <f>'12_MODELO'!AV80</f>
        <v>2579606.416655793</v>
      </c>
      <c r="G80" s="11" t="str">
        <f>IF(MAX(ABS(C80),ABS(D80),ABS(E80))&lt;0.01,"OK","REVISAR")</f>
        <v>OK</v>
      </c>
      <c r="H80" s="11" t="str">
        <f>IF(F80&lt;0,"Necessidade de financiamento","Caixa positivo")</f>
        <v>Caixa positivo</v>
      </c>
    </row>
    <row r="81" spans="1:8">
      <c r="A81" s="5">
        <v>46235</v>
      </c>
      <c r="B81" t="s">
        <v>82</v>
      </c>
      <c r="C81" s="6">
        <f>'12_MODELO'!AZ81</f>
        <v>-9.313225746154785e-10</v>
      </c>
      <c r="D81" s="6">
        <f>'12_MODELO'!BA81</f>
        <v>-6.548361852765083e-10</v>
      </c>
      <c r="E81" s="6">
        <f>'12_MODELO'!BN81</f>
        <v>0.0</v>
      </c>
      <c r="F81" s="6">
        <f>'12_MODELO'!AV81</f>
        <v>2511435.000551601</v>
      </c>
      <c r="G81" s="11" t="str">
        <f>IF(MAX(ABS(C81),ABS(D81),ABS(E81))&lt;0.01,"OK","REVISAR")</f>
        <v>OK</v>
      </c>
      <c r="H81" s="11" t="str">
        <f>IF(F81&lt;0,"Necessidade de financiamento","Caixa positivo")</f>
        <v>Caixa positivo</v>
      </c>
    </row>
    <row r="82" spans="1:8">
      <c r="A82" s="5">
        <v>46266</v>
      </c>
      <c r="B82" t="s">
        <v>82</v>
      </c>
      <c r="C82" s="6">
        <f>'12_MODELO'!AZ82</f>
        <v>0.0</v>
      </c>
      <c r="D82" s="6">
        <f>'12_MODELO'!BA82</f>
        <v>-2.9103830456733704e-10</v>
      </c>
      <c r="E82" s="6">
        <f>'12_MODELO'!BN82</f>
        <v>0.0</v>
      </c>
      <c r="F82" s="6">
        <f>'12_MODELO'!AV82</f>
        <v>2367147.8974244115</v>
      </c>
      <c r="G82" s="11" t="str">
        <f>IF(MAX(ABS(C82),ABS(D82),ABS(E82))&lt;0.01,"OK","REVISAR")</f>
        <v>OK</v>
      </c>
      <c r="H82" s="11" t="str">
        <f>IF(F82&lt;0,"Necessidade de financiamento","Caixa positivo")</f>
        <v>Caixa positivo</v>
      </c>
    </row>
    <row r="83" spans="1:8">
      <c r="A83" s="5">
        <v>46296</v>
      </c>
      <c r="B83" t="s">
        <v>82</v>
      </c>
      <c r="C83" s="6">
        <f>'12_MODELO'!AZ83</f>
        <v>0.0</v>
      </c>
      <c r="D83" s="6">
        <f>'12_MODELO'!BA83</f>
        <v>-1.7462298274040222e-10</v>
      </c>
      <c r="E83" s="6">
        <f>'12_MODELO'!BN83</f>
        <v>0.0</v>
      </c>
      <c r="F83" s="6">
        <f>'12_MODELO'!AV83</f>
        <v>2227859.352994445</v>
      </c>
      <c r="G83" s="11" t="str">
        <f>IF(MAX(ABS(C83),ABS(D83),ABS(E83))&lt;0.01,"OK","REVISAR")</f>
        <v>OK</v>
      </c>
      <c r="H83" s="11" t="str">
        <f>IF(F83&lt;0,"Necessidade de financiamento","Caixa positivo")</f>
        <v>Caixa positivo</v>
      </c>
    </row>
    <row r="84" spans="1:8">
      <c r="A84" s="5">
        <v>46327</v>
      </c>
      <c r="B84" t="s">
        <v>82</v>
      </c>
      <c r="C84" s="6">
        <f>'12_MODELO'!AZ84</f>
        <v>0.0</v>
      </c>
      <c r="D84" s="6">
        <f>'12_MODELO'!BA84</f>
        <v>-2.9103830456733704e-10</v>
      </c>
      <c r="E84" s="6">
        <f>'12_MODELO'!BN84</f>
        <v>0.0</v>
      </c>
      <c r="F84" s="6">
        <f>'12_MODELO'!AV84</f>
        <v>1992637.691124556</v>
      </c>
      <c r="G84" s="11" t="str">
        <f>IF(MAX(ABS(C84),ABS(D84),ABS(E84))&lt;0.01,"OK","REVISAR")</f>
        <v>OK</v>
      </c>
      <c r="H84" s="11" t="str">
        <f>IF(F84&lt;0,"Necessidade de financiamento","Caixa positivo")</f>
        <v>Caixa positivo</v>
      </c>
    </row>
    <row r="85" spans="1:8">
      <c r="A85" s="5">
        <v>46357</v>
      </c>
      <c r="B85" t="s">
        <v>82</v>
      </c>
      <c r="C85" s="6">
        <f>'12_MODELO'!AZ85</f>
        <v>1.862645149230957e-09</v>
      </c>
      <c r="D85" s="6">
        <f>'12_MODELO'!BA85</f>
        <v>5.238689482212067e-10</v>
      </c>
      <c r="E85" s="6">
        <f>'12_MODELO'!BN85</f>
        <v>0.0</v>
      </c>
      <c r="F85" s="6">
        <f>'12_MODELO'!AV85</f>
        <v>2217344.8944293875</v>
      </c>
      <c r="G85" s="11" t="str">
        <f>IF(MAX(ABS(C85),ABS(D85),ABS(E85))&lt;0.01,"OK","REVISAR")</f>
        <v>OK</v>
      </c>
      <c r="H85" s="11" t="str">
        <f>IF(F85&lt;0,"Necessidade de financiamento","Caixa positivo")</f>
        <v>Caixa positivo</v>
      </c>
    </row>
    <row r="86" spans="1:8">
      <c r="A86" s="5">
        <v>46023</v>
      </c>
      <c r="B86" t="s">
        <v>83</v>
      </c>
      <c r="C86" s="6">
        <f>'12_MODELO'!AZ86</f>
        <v>0.0</v>
      </c>
      <c r="D86" s="6">
        <f>'12_MODELO'!BA86</f>
        <v>-4.3655745685100555e-11</v>
      </c>
      <c r="E86" s="6">
        <f>'12_MODELO'!BN86</f>
        <v>0.0</v>
      </c>
      <c r="F86" s="6">
        <f>'12_MODELO'!AV86</f>
        <v>862432.1889228411</v>
      </c>
      <c r="G86" s="11" t="str">
        <f>IF(MAX(ABS(C86),ABS(D86),ABS(E86))&lt;0.01,"OK","REVISAR")</f>
        <v>OK</v>
      </c>
      <c r="H86" s="11" t="str">
        <f>IF(F86&lt;0,"Necessidade de financiamento","Caixa positivo")</f>
        <v>Caixa positivo</v>
      </c>
    </row>
    <row r="87" spans="1:8">
      <c r="A87" s="5">
        <v>46054</v>
      </c>
      <c r="B87" t="s">
        <v>83</v>
      </c>
      <c r="C87" s="6">
        <f>'12_MODELO'!AZ87</f>
        <v>0.0</v>
      </c>
      <c r="D87" s="6">
        <f>'12_MODELO'!BA87</f>
        <v>2.0372681319713593e-10</v>
      </c>
      <c r="E87" s="6">
        <f>'12_MODELO'!BN87</f>
        <v>0.0</v>
      </c>
      <c r="F87" s="6">
        <f>'12_MODELO'!AV87</f>
        <v>729015.2691647612</v>
      </c>
      <c r="G87" s="11" t="str">
        <f>IF(MAX(ABS(C87),ABS(D87),ABS(E87))&lt;0.01,"OK","REVISAR")</f>
        <v>OK</v>
      </c>
      <c r="H87" s="11" t="str">
        <f>IF(F87&lt;0,"Necessidade de financiamento","Caixa positivo")</f>
        <v>Caixa positivo</v>
      </c>
    </row>
    <row r="88" spans="1:8">
      <c r="A88" s="5">
        <v>46082</v>
      </c>
      <c r="B88" t="s">
        <v>83</v>
      </c>
      <c r="C88" s="6">
        <f>'12_MODELO'!AZ88</f>
        <v>0.0</v>
      </c>
      <c r="D88" s="6">
        <f>'12_MODELO'!BA88</f>
        <v>0.0</v>
      </c>
      <c r="E88" s="6">
        <f>'12_MODELO'!BN88</f>
        <v>0.0</v>
      </c>
      <c r="F88" s="6">
        <f>'12_MODELO'!AV88</f>
        <v>1805462.8788562804</v>
      </c>
      <c r="G88" s="11" t="str">
        <f>IF(MAX(ABS(C88),ABS(D88),ABS(E88))&lt;0.01,"OK","REVISAR")</f>
        <v>OK</v>
      </c>
      <c r="H88" s="11" t="str">
        <f>IF(F88&lt;0,"Necessidade de financiamento","Caixa positivo")</f>
        <v>Caixa positivo</v>
      </c>
    </row>
    <row r="89" spans="1:8">
      <c r="A89" s="5">
        <v>46113</v>
      </c>
      <c r="B89" t="s">
        <v>83</v>
      </c>
      <c r="C89" s="6">
        <f>'12_MODELO'!AZ89</f>
        <v>0.0</v>
      </c>
      <c r="D89" s="6">
        <f>'12_MODELO'!BA89</f>
        <v>-1.0186340659856796e-10</v>
      </c>
      <c r="E89" s="6">
        <f>'12_MODELO'!BN89</f>
        <v>0.0</v>
      </c>
      <c r="F89" s="6">
        <f>'12_MODELO'!AV89</f>
        <v>1768676.1265417205</v>
      </c>
      <c r="G89" s="11" t="str">
        <f>IF(MAX(ABS(C89),ABS(D89),ABS(E89))&lt;0.01,"OK","REVISAR")</f>
        <v>OK</v>
      </c>
      <c r="H89" s="11" t="str">
        <f>IF(F89&lt;0,"Necessidade de financiamento","Caixa positivo")</f>
        <v>Caixa positivo</v>
      </c>
    </row>
    <row r="90" spans="1:8">
      <c r="A90" s="5">
        <v>46143</v>
      </c>
      <c r="B90" t="s">
        <v>83</v>
      </c>
      <c r="C90" s="6">
        <f>'12_MODELO'!AZ90</f>
        <v>0.0</v>
      </c>
      <c r="D90" s="6">
        <f>'12_MODELO'!BA90</f>
        <v>-2.3283064365386963e-10</v>
      </c>
      <c r="E90" s="6">
        <f>'12_MODELO'!BN90</f>
        <v>0.0</v>
      </c>
      <c r="F90" s="6">
        <f>'12_MODELO'!AV90</f>
        <v>1543398.0282954806</v>
      </c>
      <c r="G90" s="11" t="str">
        <f>IF(MAX(ABS(C90),ABS(D90),ABS(E90))&lt;0.01,"OK","REVISAR")</f>
        <v>OK</v>
      </c>
      <c r="H90" s="11" t="str">
        <f>IF(F90&lt;0,"Necessidade de financiamento","Caixa positivo")</f>
        <v>Caixa positivo</v>
      </c>
    </row>
    <row r="91" spans="1:8">
      <c r="A91" s="5">
        <v>46174</v>
      </c>
      <c r="B91" t="s">
        <v>83</v>
      </c>
      <c r="C91" s="6">
        <f>'12_MODELO'!AZ91</f>
        <v>-1.862645149230957e-09</v>
      </c>
      <c r="D91" s="6">
        <f>'12_MODELO'!BA91</f>
        <v>6.548361852765083e-10</v>
      </c>
      <c r="E91" s="6">
        <f>'12_MODELO'!BN91</f>
        <v>0.0</v>
      </c>
      <c r="F91" s="6">
        <f>'12_MODELO'!AV91</f>
        <v>1346026.4743417208</v>
      </c>
      <c r="G91" s="11" t="str">
        <f>IF(MAX(ABS(C91),ABS(D91),ABS(E91))&lt;0.01,"OK","REVISAR")</f>
        <v>OK</v>
      </c>
      <c r="H91" s="11" t="str">
        <f>IF(F91&lt;0,"Necessidade de financiamento","Caixa positivo")</f>
        <v>Caixa positivo</v>
      </c>
    </row>
    <row r="92" spans="1:8">
      <c r="A92" s="5">
        <v>46204</v>
      </c>
      <c r="B92" t="s">
        <v>83</v>
      </c>
      <c r="C92" s="6">
        <f>'12_MODELO'!AZ92</f>
        <v>0.0</v>
      </c>
      <c r="D92" s="6">
        <f>'12_MODELO'!BA92</f>
        <v>4.656612873077393e-10</v>
      </c>
      <c r="E92" s="6">
        <f>'12_MODELO'!BN92</f>
        <v>0.0</v>
      </c>
      <c r="F92" s="6">
        <f>'12_MODELO'!AV92</f>
        <v>2004659.7837586813</v>
      </c>
      <c r="G92" s="11" t="str">
        <f>IF(MAX(ABS(C92),ABS(D92),ABS(E92))&lt;0.01,"OK","REVISAR")</f>
        <v>OK</v>
      </c>
      <c r="H92" s="11" t="str">
        <f>IF(F92&lt;0,"Necessidade de financiamento","Caixa positivo")</f>
        <v>Caixa positivo</v>
      </c>
    </row>
    <row r="93" spans="1:8">
      <c r="A93" s="5">
        <v>46235</v>
      </c>
      <c r="B93" t="s">
        <v>83</v>
      </c>
      <c r="C93" s="6">
        <f>'12_MODELO'!AZ93</f>
        <v>1.862645149230957e-09</v>
      </c>
      <c r="D93" s="6">
        <f>'12_MODELO'!BA93</f>
        <v>5.820766091346741e-11</v>
      </c>
      <c r="E93" s="6">
        <f>'12_MODELO'!BN93</f>
        <v>0.0</v>
      </c>
      <c r="F93" s="6">
        <f>'12_MODELO'!AV93</f>
        <v>1685441.7214156403</v>
      </c>
      <c r="G93" s="11" t="str">
        <f>IF(MAX(ABS(C93),ABS(D93),ABS(E93))&lt;0.01,"OK","REVISAR")</f>
        <v>OK</v>
      </c>
      <c r="H93" s="11" t="str">
        <f>IF(F93&lt;0,"Necessidade de financiamento","Caixa positivo")</f>
        <v>Caixa positivo</v>
      </c>
    </row>
    <row r="94" spans="1:8">
      <c r="A94" s="5">
        <v>46266</v>
      </c>
      <c r="B94" t="s">
        <v>83</v>
      </c>
      <c r="C94" s="6">
        <f>'12_MODELO'!AZ94</f>
        <v>0.0</v>
      </c>
      <c r="D94" s="6">
        <f>'12_MODELO'!BA94</f>
        <v>-4.0745362639427185e-10</v>
      </c>
      <c r="E94" s="6">
        <f>'12_MODELO'!BN94</f>
        <v>0.0</v>
      </c>
      <c r="F94" s="6">
        <f>'12_MODELO'!AV94</f>
        <v>1294172.8017694002</v>
      </c>
      <c r="G94" s="11" t="str">
        <f>IF(MAX(ABS(C94),ABS(D94),ABS(E94))&lt;0.01,"OK","REVISAR")</f>
        <v>OK</v>
      </c>
      <c r="H94" s="11" t="str">
        <f>IF(F94&lt;0,"Necessidade de financiamento","Caixa positivo")</f>
        <v>Caixa positivo</v>
      </c>
    </row>
    <row r="95" spans="1:8">
      <c r="A95" s="5">
        <v>46296</v>
      </c>
      <c r="B95" t="s">
        <v>83</v>
      </c>
      <c r="C95" s="6">
        <f>'12_MODELO'!AZ95</f>
        <v>0.0</v>
      </c>
      <c r="D95" s="6">
        <f>'12_MODELO'!BA95</f>
        <v>-1.1641532182693481e-10</v>
      </c>
      <c r="E95" s="6">
        <f>'12_MODELO'!BN95</f>
        <v>0.0</v>
      </c>
      <c r="F95" s="6">
        <f>'12_MODELO'!AV95</f>
        <v>791637.6311820402</v>
      </c>
      <c r="G95" s="11" t="str">
        <f>IF(MAX(ABS(C95),ABS(D95),ABS(E95))&lt;0.01,"OK","REVISAR")</f>
        <v>OK</v>
      </c>
      <c r="H95" s="11" t="str">
        <f>IF(F95&lt;0,"Necessidade de financiamento","Caixa positivo")</f>
        <v>Caixa positivo</v>
      </c>
    </row>
    <row r="96" spans="1:8">
      <c r="A96" s="5">
        <v>46327</v>
      </c>
      <c r="B96" t="s">
        <v>83</v>
      </c>
      <c r="C96" s="6">
        <f>'12_MODELO'!AZ96</f>
        <v>0.0</v>
      </c>
      <c r="D96" s="6">
        <f>'12_MODELO'!BA96</f>
        <v>4.656612873077393e-10</v>
      </c>
      <c r="E96" s="6">
        <f>'12_MODELO'!BN96</f>
        <v>0.0</v>
      </c>
      <c r="F96" s="6">
        <f>'12_MODELO'!AV96</f>
        <v>55823.501640921226</v>
      </c>
      <c r="G96" s="11" t="str">
        <f>IF(MAX(ABS(C96),ABS(D96),ABS(E96))&lt;0.01,"OK","REVISAR")</f>
        <v>OK</v>
      </c>
      <c r="H96" s="11" t="str">
        <f>IF(F96&lt;0,"Necessidade de financiamento","Caixa positivo")</f>
        <v>Caixa positivo</v>
      </c>
    </row>
    <row r="97" spans="1:8">
      <c r="A97" s="5">
        <v>46357</v>
      </c>
      <c r="B97" t="s">
        <v>83</v>
      </c>
      <c r="C97" s="6">
        <f>'12_MODELO'!AZ97</f>
        <v>0.0</v>
      </c>
      <c r="D97" s="6">
        <f>'12_MODELO'!BA97</f>
        <v>2.3283064365386963e-10</v>
      </c>
      <c r="E97" s="6">
        <f>'12_MODELO'!BN97</f>
        <v>0.0</v>
      </c>
      <c r="F97" s="6">
        <f>'12_MODELO'!AV97</f>
        <v>305554.39285960956</v>
      </c>
      <c r="G97" s="11" t="str">
        <f>IF(MAX(ABS(C97),ABS(D97),ABS(E97))&lt;0.01,"OK","REVISAR")</f>
        <v>OK</v>
      </c>
      <c r="H97" s="11" t="str">
        <f>IF(F97&lt;0,"Necessidade de financiamento","Caixa positivo")</f>
        <v>Caixa positivo</v>
      </c>
    </row>
  </sheetData>
  <conditionalFormatting sqref="C2:E97">
    <cfRule type="expression" dxfId="0" priority="1">
      <formula>ABS(C2)&gt;=0.01</formula>
    </cfRule>
  </conditionalFormatting>
  <conditionalFormatting sqref="F2:F97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5</vt:i4>
      </vt:variant>
    </vt:vector>
  </HeadingPairs>
  <TitlesOfParts>
    <vt:vector size="22" baseType="lpstr">
      <vt:lpstr>00_LEIA_ME</vt:lpstr>
      <vt:lpstr>09_VENDAS</vt:lpstr>
      <vt:lpstr>10_DESPESAS</vt:lpstr>
      <vt:lpstr>08_PREMISSAS</vt:lpstr>
      <vt:lpstr>11_SALDO_INICIAL</vt:lpstr>
      <vt:lpstr>12_MODELO</vt:lpstr>
      <vt:lpstr>13_DIARIO</vt:lpstr>
      <vt:lpstr>14_PLANO_CONTAS</vt:lpstr>
      <vt:lpstr>15_CONCILIACAO</vt:lpstr>
      <vt:lpstr>01_PAINEL</vt:lpstr>
      <vt:lpstr>02_DRE</vt:lpstr>
      <vt:lpstr>03_BALANCO</vt:lpstr>
      <vt:lpstr>04_DFC</vt:lpstr>
      <vt:lpstr>05_INDICADORES</vt:lpstr>
      <vt:lpstr>06_VARIACOES</vt:lpstr>
      <vt:lpstr>16_PONTE_PRECO_VOLUME</vt:lpstr>
      <vt:lpstr>07_CHECKS</vt:lpstr>
      <vt:lpstr>'01_PAINEL'!Print_Area</vt:lpstr>
      <vt:lpstr>'02_DRE'!Print_Area</vt:lpstr>
      <vt:lpstr>'03_BALANCO'!Print_Area</vt:lpstr>
      <vt:lpstr>'04_DFC'!Print_Area</vt:lpstr>
      <vt:lpstr>'05_INDICADORES'!Print_Area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Nexa | FP&amp;A integrado</dc:title>
  <dc:creator>Gustavo Xavier</dc:creator>
  <dc:description>Projeto autoral demonstrativo. Empresa e dados fictícios.</dc:description>
  <cp:lastModifiedBy>Gustavo Xavier</cp:lastModifiedBy>
  <dcterms:created xsi:type="dcterms:W3CDTF">2026-10-06T02:17:29Z</dcterms:created>
  <dcterms:modified xsi:type="dcterms:W3CDTF">2026-10-06T02:17:29Z</dcterms:modified>
</cp:coreProperties>
</file>